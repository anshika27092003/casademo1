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MK SETTLEMENT CALC NEW" sheetId="1" state="visible" r:id="rId1"/>
    <sheet name="CLEMENTI SETTLEMENT CALC NEW" sheetId="2" state="visible" r:id="rId2"/>
    <sheet name="HOLLAND SETTLEMENT CALC NEW" sheetId="3" state="visible" r:id="rId3"/>
    <sheet name="ADM SETTLEMENT CALC NEW" sheetId="4" state="visible" r:id="rId4"/>
    <sheet name="BB SETTLEMENT CALC NEW" sheetId="5" state="visible" r:id="rId5"/>
    <sheet name="WDLS SETTLEMENT CAL NEW" sheetId="6" state="visible" r:id="rId6"/>
    <sheet name="BEDOK SETTLEMENT CAL NEW" sheetId="7" state="visible" r:id="rId7"/>
    <sheet name="TENGAH SETTLEMENT CAL NEW" sheetId="8" state="visible" r:id="rId8"/>
    <sheet name="BOONKENG SETTLEMENT CAL NEW" sheetId="9" state="visible" r:id="rId9"/>
    <sheet name="% RATES INCENTIVES" sheetId="10" state="visible" r:id="rId10"/>
    <sheet name="% RATES INCENTIVES AMK" sheetId="11" state="visible" r:id="rId11"/>
    <sheet name="% RATES INCENTIVES HOLLAND" sheetId="12" state="visible" r:id="rId12"/>
    <sheet name="% RATES INCENTIVES TENGAH" sheetId="13" state="visible" r:id="rId13"/>
    <sheet name="% RATES INCENTIVES WDLS" sheetId="14" state="visible" r:id="rId14"/>
    <sheet name="% RATES INCENTIVES CLEMENTI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_-&quot;$&quot;* #,##0.00_-;\-&quot;$&quot;* #,##0.00_-;_-&quot;$&quot;* &quot;-&quot;??_-;_-@"/>
    <numFmt numFmtId="165" formatCode="_(&quot;$&quot;* #,##0.00_);_(&quot;$&quot;* \(#,##0.00\);_(&quot;$&quot;* &quot;-&quot;??_);_(@_)"/>
    <numFmt numFmtId="166" formatCode="&quot;$&quot;#,##0;[Red]\-&quot;$&quot;#,##0"/>
    <numFmt numFmtId="167" formatCode="#,##0.00;\(#,##0.00\)"/>
    <numFmt numFmtId="168" formatCode="0.0%"/>
    <numFmt numFmtId="169" formatCode="&quot;$&quot;#,##0_);[Red]\(&quot;$&quot;#,##0\)"/>
    <numFmt numFmtId="170" formatCode="_-&quot;$&quot;* #,##0_-;\-&quot;$&quot;* #,##0_-;_-&quot;$&quot;* &quot;-&quot;_-;_-@"/>
  </numFmts>
  <fonts count="44">
    <font>
      <name val="Trebuchet MS"/>
      <color theme="1"/>
      <sz val="11"/>
      <scheme val="minor"/>
    </font>
    <font>
      <name val="Trebuchet MS"/>
      <color theme="1"/>
      <sz val="11"/>
    </font>
    <font>
      <name val="Trebuchet MS"/>
      <color rgb="FFFF0000"/>
      <sz val="11"/>
    </font>
    <font>
      <name val="Trebuchet MS"/>
      <b val="1"/>
      <color rgb="FF0066CC"/>
      <sz val="18"/>
    </font>
    <font/>
    <font>
      <name val="Trebuchet MS"/>
      <b val="1"/>
      <color theme="1"/>
      <sz val="24"/>
    </font>
    <font>
      <name val="Trebuchet MS"/>
      <b val="1"/>
      <color rgb="FF0066CC"/>
      <sz val="26"/>
    </font>
    <font>
      <name val="Trebuchet MS"/>
      <b val="1"/>
      <color theme="1"/>
      <sz val="14"/>
    </font>
    <font>
      <name val="Trebuchet MS"/>
      <b val="1"/>
      <color rgb="FF0066CC"/>
      <sz val="20"/>
    </font>
    <font>
      <name val="Trebuchet MS"/>
      <b val="1"/>
      <color theme="1"/>
      <sz val="20"/>
    </font>
    <font>
      <name val="Trebuchet MS"/>
      <b val="1"/>
      <color rgb="FFFF0000"/>
      <sz val="20"/>
    </font>
    <font>
      <name val="Trebuchet MS"/>
      <color theme="1"/>
      <sz val="20"/>
    </font>
    <font>
      <name val="Trebuchet MS"/>
      <color theme="1"/>
      <sz val="12"/>
    </font>
    <font>
      <name val="Trebuchet MS"/>
      <color rgb="FF757070"/>
      <sz val="20"/>
    </font>
    <font>
      <name val="Trebuchet MS"/>
      <color rgb="FF800080"/>
      <sz val="20"/>
    </font>
    <font>
      <name val="Trebuchet MS"/>
      <color rgb="FF800080"/>
      <sz val="24"/>
    </font>
    <font>
      <name val="Trebuchet MS"/>
      <b val="1"/>
      <color rgb="FF800080"/>
      <sz val="24"/>
    </font>
    <font>
      <name val="Trebuchet MS"/>
      <b val="1"/>
      <color rgb="FF800080"/>
      <sz val="20"/>
    </font>
    <font>
      <name val="Trebuchet MS"/>
      <color theme="1"/>
      <sz val="18"/>
    </font>
    <font>
      <name val="Trebuchet MS"/>
      <b val="1"/>
      <color rgb="FFFF0000"/>
      <sz val="18"/>
    </font>
    <font>
      <name val="Trebuchet MS"/>
      <b val="1"/>
      <color rgb="FF0066CC"/>
      <sz val="14"/>
    </font>
    <font>
      <name val="Trebuchet MS"/>
      <color theme="1"/>
      <sz val="24"/>
    </font>
    <font>
      <name val="Trebuchet MS"/>
      <color rgb="FF7F7F7F"/>
      <sz val="20"/>
    </font>
    <font>
      <name val="Trebuchet MS"/>
      <color theme="1"/>
      <sz val="14"/>
    </font>
    <font>
      <name val="Trebuchet MS"/>
      <color theme="1"/>
      <sz val="10"/>
    </font>
    <font>
      <name val="Trebuchet MS"/>
      <color rgb="FFFF0000"/>
      <sz val="20"/>
    </font>
    <font>
      <name val="Trebuchet MS"/>
      <b val="1"/>
      <color rgb="FF0066CC"/>
      <sz val="12"/>
    </font>
    <font>
      <name val="Trebuchet MS"/>
      <color theme="1"/>
      <sz val="16"/>
    </font>
    <font>
      <name val="Trebuchet MS"/>
      <b val="1"/>
      <color theme="1"/>
      <sz val="12"/>
    </font>
    <font>
      <name val="Trebuchet MS"/>
      <b val="1"/>
      <color theme="1"/>
      <sz val="11"/>
    </font>
    <font>
      <name val="Trebuchet MS"/>
      <b val="1"/>
      <color rgb="FFFF0000"/>
      <sz val="36"/>
    </font>
    <font>
      <name val="Trebuchet MS"/>
      <color rgb="FFFF0000"/>
      <sz val="24"/>
    </font>
    <font>
      <name val="Trebuchet MS"/>
      <color rgb="FF757070"/>
      <sz val="11"/>
    </font>
    <font>
      <name val="Trebuchet MS"/>
      <color theme="7"/>
      <sz val="26"/>
    </font>
    <font>
      <name val="Trebuchet MS"/>
      <b val="1"/>
      <color rgb="FFFF0000"/>
      <sz val="26"/>
    </font>
    <font>
      <name val="Trebuchet MS"/>
      <b val="1"/>
      <color rgb="FFFF0000"/>
      <sz val="24"/>
    </font>
    <font>
      <name val="Trebuchet MS"/>
      <color theme="1"/>
      <sz val="26"/>
    </font>
    <font>
      <name val="Trebuchet MS"/>
      <color rgb="FFFF0000"/>
      <sz val="26"/>
    </font>
    <font>
      <name val="Trebuchet MS"/>
      <b val="1"/>
      <color theme="1"/>
      <sz val="16"/>
    </font>
    <font>
      <name val="Trebuchet MS"/>
      <color rgb="FFFF0000"/>
      <sz val="16"/>
    </font>
    <font>
      <name val="Trebuchet MS"/>
      <color theme="1"/>
      <sz val="22"/>
    </font>
    <font>
      <name val="Trebuchet MS"/>
      <b val="1"/>
      <color theme="1"/>
      <sz val="26"/>
    </font>
    <font>
      <name val="Arial"/>
      <color rgb="FF000000"/>
      <sz val="20"/>
    </font>
    <font>
      <name val="Trebuchet MS"/>
      <color rgb="FF000000"/>
      <sz val="20"/>
    </font>
  </fonts>
  <fills count="2">
    <fill>
      <patternFill/>
    </fill>
    <fill>
      <patternFill patternType="lightGray"/>
    </fill>
  </fills>
  <borders count="55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bottom style="double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23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1" applyAlignment="1" pivotButton="0" quotePrefix="0" xfId="0">
      <alignment horizontal="right" vertical="bottom"/>
    </xf>
    <xf numFmtId="17" fontId="3" fillId="0" borderId="2" applyAlignment="1" pivotButton="0" quotePrefix="0" xfId="0">
      <alignment horizontal="center" vertical="bottom"/>
    </xf>
    <xf numFmtId="0" fontId="4" fillId="0" borderId="3" pivotButton="0" quotePrefix="0" xfId="0"/>
    <xf numFmtId="0" fontId="5" fillId="0" borderId="4" applyAlignment="1" pivotButton="0" quotePrefix="0" xfId="0">
      <alignment vertical="bottom"/>
    </xf>
    <xf numFmtId="0" fontId="5" fillId="0" borderId="5" applyAlignment="1" pivotButton="0" quotePrefix="0" xfId="0">
      <alignment horizontal="center" vertical="bottom"/>
    </xf>
    <xf numFmtId="0" fontId="4" fillId="0" borderId="6" pivotButton="0" quotePrefix="0" xfId="0"/>
    <xf numFmtId="0" fontId="6" fillId="0" borderId="7" applyAlignment="1" pivotButton="0" quotePrefix="0" xfId="0">
      <alignment horizontal="center" vertical="bottom"/>
    </xf>
    <xf numFmtId="0" fontId="4" fillId="0" borderId="8" pivotButton="0" quotePrefix="0" xfId="0"/>
    <xf numFmtId="0" fontId="6" fillId="0" borderId="9" applyAlignment="1" pivotButton="0" quotePrefix="0" xfId="0">
      <alignment horizontal="center" vertical="bottom"/>
    </xf>
    <xf numFmtId="0" fontId="4" fillId="0" borderId="10" pivotButton="0" quotePrefix="0" xfId="0"/>
    <xf numFmtId="0" fontId="4" fillId="0" borderId="11" pivotButton="0" quotePrefix="0" xfId="0"/>
    <xf numFmtId="0" fontId="1" fillId="0" borderId="1" applyAlignment="1" pivotButton="0" quotePrefix="0" xfId="0">
      <alignment vertical="bottom"/>
    </xf>
    <xf numFmtId="0" fontId="7" fillId="0" borderId="12" applyAlignment="1" pivotButton="0" quotePrefix="0" xfId="0">
      <alignment vertical="bottom"/>
    </xf>
    <xf numFmtId="0" fontId="7" fillId="0" borderId="13" applyAlignment="1" pivotButton="0" quotePrefix="0" xfId="0">
      <alignment vertical="bottom"/>
    </xf>
    <xf numFmtId="0" fontId="1" fillId="0" borderId="14" applyAlignment="1" pivotButton="0" quotePrefix="0" xfId="0">
      <alignment vertical="bottom"/>
    </xf>
    <xf numFmtId="0" fontId="1" fillId="0" borderId="13" applyAlignment="1" pivotButton="0" quotePrefix="0" xfId="0">
      <alignment vertical="bottom"/>
    </xf>
    <xf numFmtId="0" fontId="1" fillId="0" borderId="12" applyAlignment="1" pivotButton="0" quotePrefix="0" xfId="0">
      <alignment vertical="bottom"/>
    </xf>
    <xf numFmtId="0" fontId="7" fillId="0" borderId="3" applyAlignment="1" pivotButton="0" quotePrefix="0" xfId="0">
      <alignment vertical="bottom"/>
    </xf>
    <xf numFmtId="0" fontId="1" fillId="0" borderId="15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1" fillId="0" borderId="16" applyAlignment="1" pivotButton="0" quotePrefix="0" xfId="0">
      <alignment vertical="bottom"/>
    </xf>
    <xf numFmtId="0" fontId="7" fillId="0" borderId="16" applyAlignment="1" pivotButton="0" quotePrefix="0" xfId="0">
      <alignment vertical="bottom"/>
    </xf>
    <xf numFmtId="0" fontId="7" fillId="0" borderId="17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1" fillId="0" borderId="18" applyAlignment="1" pivotButton="0" quotePrefix="0" xfId="0">
      <alignment vertical="bottom"/>
    </xf>
    <xf numFmtId="0" fontId="7" fillId="0" borderId="15" applyAlignment="1" pivotButton="0" quotePrefix="0" xfId="0">
      <alignment vertical="bottom"/>
    </xf>
    <xf numFmtId="0" fontId="1" fillId="0" borderId="19" applyAlignment="1" pivotButton="0" quotePrefix="0" xfId="0">
      <alignment vertical="bottom"/>
    </xf>
    <xf numFmtId="0" fontId="8" fillId="0" borderId="20" applyAlignment="1" pivotButton="0" quotePrefix="0" xfId="0">
      <alignment vertical="bottom"/>
    </xf>
    <xf numFmtId="0" fontId="9" fillId="0" borderId="21" applyAlignment="1" pivotButton="0" quotePrefix="0" xfId="0">
      <alignment vertical="bottom"/>
    </xf>
    <xf numFmtId="2" fontId="10" fillId="0" borderId="22" applyAlignment="1" pivotButton="0" quotePrefix="0" xfId="0">
      <alignment vertical="bottom"/>
    </xf>
    <xf numFmtId="0" fontId="11" fillId="0" borderId="14" applyAlignment="1" pivotButton="0" quotePrefix="0" xfId="0">
      <alignment vertical="bottom"/>
    </xf>
    <xf numFmtId="0" fontId="8" fillId="0" borderId="22" applyAlignment="1" pivotButton="0" quotePrefix="0" xfId="0">
      <alignment vertical="bottom"/>
    </xf>
    <xf numFmtId="0" fontId="11" fillId="0" borderId="22" applyAlignment="1" pivotButton="0" quotePrefix="0" xfId="0">
      <alignment vertical="bottom"/>
    </xf>
    <xf numFmtId="0" fontId="12" fillId="0" borderId="14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13" fillId="0" borderId="23" applyAlignment="1" pivotButton="0" quotePrefix="0" xfId="0">
      <alignment vertical="bottom"/>
    </xf>
    <xf numFmtId="2" fontId="10" fillId="0" borderId="24" applyAlignment="1" pivotButton="0" quotePrefix="0" xfId="0">
      <alignment vertical="bottom"/>
    </xf>
    <xf numFmtId="0" fontId="8" fillId="0" borderId="25" applyAlignment="1" pivotButton="0" quotePrefix="0" xfId="0">
      <alignment vertical="bottom"/>
    </xf>
    <xf numFmtId="0" fontId="13" fillId="0" borderId="25" applyAlignment="1" pivotButton="0" quotePrefix="0" xfId="0">
      <alignment vertical="bottom"/>
    </xf>
    <xf numFmtId="2" fontId="10" fillId="0" borderId="25" applyAlignment="1" pivotButton="0" quotePrefix="0" xfId="0">
      <alignment vertical="bottom"/>
    </xf>
    <xf numFmtId="0" fontId="12" fillId="0" borderId="18" applyAlignment="1" pivotButton="0" quotePrefix="0" xfId="0">
      <alignment vertical="bottom"/>
    </xf>
    <xf numFmtId="2" fontId="10" fillId="0" borderId="21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1" fillId="0" borderId="25" applyAlignment="1" pivotButton="0" quotePrefix="0" xfId="0">
      <alignment vertical="bottom"/>
    </xf>
    <xf numFmtId="0" fontId="11" fillId="0" borderId="19" applyAlignment="1" pivotButton="0" quotePrefix="0" xfId="0">
      <alignment vertical="bottom"/>
    </xf>
    <xf numFmtId="0" fontId="11" fillId="0" borderId="18" applyAlignment="1" pivotButton="0" quotePrefix="0" xfId="0">
      <alignment vertical="bottom"/>
    </xf>
    <xf numFmtId="0" fontId="9" fillId="0" borderId="22" applyAlignment="1" pivotButton="0" quotePrefix="0" xfId="0">
      <alignment vertical="bottom"/>
    </xf>
    <xf numFmtId="0" fontId="13" fillId="0" borderId="22" applyAlignment="1" pivotButton="0" quotePrefix="0" xfId="0">
      <alignment vertical="bottom"/>
    </xf>
    <xf numFmtId="0" fontId="8" fillId="0" borderId="26" applyAlignment="1" pivotButton="0" quotePrefix="0" xfId="0">
      <alignment vertical="bottom"/>
    </xf>
    <xf numFmtId="0" fontId="9" fillId="0" borderId="27" applyAlignment="1" pivotButton="0" quotePrefix="0" xfId="0">
      <alignment vertical="bottom"/>
    </xf>
    <xf numFmtId="2" fontId="10" fillId="0" borderId="28" applyAlignment="1" pivotButton="0" quotePrefix="0" xfId="0">
      <alignment vertical="bottom"/>
    </xf>
    <xf numFmtId="0" fontId="11" fillId="0" borderId="28" applyAlignment="1" pivotButton="0" quotePrefix="0" xfId="0">
      <alignment vertical="bottom"/>
    </xf>
    <xf numFmtId="2" fontId="10" fillId="0" borderId="27" applyAlignment="1" pivotButton="0" quotePrefix="0" xfId="0">
      <alignment vertical="bottom"/>
    </xf>
    <xf numFmtId="0" fontId="8" fillId="0" borderId="28" applyAlignment="1" pivotButton="0" quotePrefix="0" xfId="0">
      <alignment vertical="bottom"/>
    </xf>
    <xf numFmtId="0" fontId="11" fillId="0" borderId="29" applyAlignment="1" pivotButton="0" quotePrefix="0" xfId="0">
      <alignment vertical="bottom"/>
    </xf>
    <xf numFmtId="2" fontId="10" fillId="0" borderId="29" applyAlignment="1" pivotButton="0" quotePrefix="0" xfId="0">
      <alignment vertical="bottom"/>
    </xf>
    <xf numFmtId="0" fontId="10" fillId="0" borderId="20" applyAlignment="1" pivotButton="0" quotePrefix="0" xfId="0">
      <alignment vertical="bottom"/>
    </xf>
    <xf numFmtId="0" fontId="10" fillId="0" borderId="22" applyAlignment="1" pivotButton="0" quotePrefix="0" xfId="0">
      <alignment vertical="bottom"/>
    </xf>
    <xf numFmtId="0" fontId="9" fillId="0" borderId="25" applyAlignment="1" pivotButton="0" quotePrefix="0" xfId="0">
      <alignment vertical="bottom"/>
    </xf>
    <xf numFmtId="0" fontId="8" fillId="0" borderId="30" applyAlignment="1" pivotButton="0" quotePrefix="0" xfId="0">
      <alignment vertical="bottom"/>
    </xf>
    <xf numFmtId="0" fontId="9" fillId="0" borderId="31" applyAlignment="1" pivotButton="0" quotePrefix="0" xfId="0">
      <alignment vertical="bottom"/>
    </xf>
    <xf numFmtId="2" fontId="10" fillId="0" borderId="32" applyAlignment="1" pivotButton="0" quotePrefix="0" xfId="0">
      <alignment vertical="bottom"/>
    </xf>
    <xf numFmtId="0" fontId="8" fillId="0" borderId="33" applyAlignment="1" pivotButton="0" quotePrefix="0" xfId="0">
      <alignment vertical="bottom"/>
    </xf>
    <xf numFmtId="0" fontId="9" fillId="0" borderId="34" applyAlignment="1" pivotButton="0" quotePrefix="0" xfId="0">
      <alignment vertical="bottom"/>
    </xf>
    <xf numFmtId="2" fontId="10" fillId="0" borderId="34" applyAlignment="1" pivotButton="0" quotePrefix="0" xfId="0">
      <alignment vertical="bottom"/>
    </xf>
    <xf numFmtId="0" fontId="8" fillId="0" borderId="34" applyAlignment="1" pivotButton="0" quotePrefix="0" xfId="0">
      <alignment vertical="bottom"/>
    </xf>
    <xf numFmtId="0" fontId="11" fillId="0" borderId="34" applyAlignment="1" pivotButton="0" quotePrefix="0" xfId="0">
      <alignment vertical="bottom"/>
    </xf>
    <xf numFmtId="0" fontId="13" fillId="0" borderId="34" applyAlignment="1" pivotButton="0" quotePrefix="0" xfId="0">
      <alignment vertical="bottom"/>
    </xf>
    <xf numFmtId="0" fontId="14" fillId="0" borderId="35" applyAlignment="1" pivotButton="0" quotePrefix="0" xfId="0">
      <alignment vertical="bottom"/>
    </xf>
    <xf numFmtId="0" fontId="15" fillId="0" borderId="36" applyAlignment="1" pivotButton="0" quotePrefix="0" xfId="0">
      <alignment vertical="bottom"/>
    </xf>
    <xf numFmtId="2" fontId="16" fillId="0" borderId="37" applyAlignment="1" pivotButton="0" quotePrefix="0" xfId="0">
      <alignment vertical="bottom"/>
    </xf>
    <xf numFmtId="0" fontId="17" fillId="0" borderId="38" applyAlignment="1" pivotButton="0" quotePrefix="0" xfId="0">
      <alignment vertical="bottom"/>
    </xf>
    <xf numFmtId="2" fontId="17" fillId="0" borderId="38" applyAlignment="1" pivotButton="0" quotePrefix="0" xfId="0">
      <alignment vertical="bottom"/>
    </xf>
    <xf numFmtId="0" fontId="17" fillId="0" borderId="39" applyAlignment="1" pivotButton="0" quotePrefix="0" xfId="0">
      <alignment vertical="bottom"/>
    </xf>
    <xf numFmtId="0" fontId="14" fillId="0" borderId="39" applyAlignment="1" pivotButton="0" quotePrefix="0" xfId="0">
      <alignment vertical="bottom"/>
    </xf>
    <xf numFmtId="2" fontId="14" fillId="0" borderId="39" applyAlignment="1" pivotButton="0" quotePrefix="0" xfId="0">
      <alignment vertical="bottom"/>
    </xf>
    <xf numFmtId="2" fontId="14" fillId="0" borderId="37" applyAlignment="1" pivotButton="0" quotePrefix="0" xfId="0">
      <alignment vertical="bottom"/>
    </xf>
    <xf numFmtId="0" fontId="14" fillId="0" borderId="38" applyAlignment="1" pivotButton="0" quotePrefix="0" xfId="0">
      <alignment vertical="bottom"/>
    </xf>
    <xf numFmtId="2" fontId="14" fillId="0" borderId="40" applyAlignment="1" pivotButton="0" quotePrefix="0" xfId="0">
      <alignment vertical="bottom"/>
    </xf>
    <xf numFmtId="0" fontId="14" fillId="0" borderId="37" applyAlignment="1" pivotButton="0" quotePrefix="0" xfId="0">
      <alignment vertical="bottom"/>
    </xf>
    <xf numFmtId="0" fontId="17" fillId="0" borderId="37" applyAlignment="1" pivotButton="0" quotePrefix="0" xfId="0">
      <alignment vertical="bottom"/>
    </xf>
    <xf numFmtId="0" fontId="14" fillId="0" borderId="40" applyAlignment="1" pivotButton="0" quotePrefix="0" xfId="0">
      <alignment vertical="bottom"/>
    </xf>
    <xf numFmtId="0" fontId="18" fillId="0" borderId="0" applyAlignment="1" pivotButton="0" quotePrefix="0" xfId="0">
      <alignment vertical="bottom"/>
    </xf>
    <xf numFmtId="0" fontId="19" fillId="0" borderId="25" applyAlignment="1" pivotButton="0" quotePrefix="0" xfId="0">
      <alignment horizontal="center" vertical="bottom"/>
    </xf>
    <xf numFmtId="0" fontId="4" fillId="0" borderId="21" pivotButton="0" quotePrefix="0" xfId="0"/>
    <xf numFmtId="0" fontId="19" fillId="0" borderId="16" applyAlignment="1" pivotButton="0" quotePrefix="0" xfId="0">
      <alignment horizontal="center" vertical="bottom"/>
    </xf>
    <xf numFmtId="0" fontId="1" fillId="0" borderId="22" applyAlignment="1" pivotButton="0" quotePrefix="0" xfId="0">
      <alignment vertical="bottom"/>
    </xf>
    <xf numFmtId="0" fontId="20" fillId="0" borderId="22" applyAlignment="1" pivotButton="0" quotePrefix="0" xfId="0">
      <alignment vertical="bottom"/>
    </xf>
    <xf numFmtId="2" fontId="21" fillId="0" borderId="22" applyAlignment="1" pivotButton="0" quotePrefix="0" xfId="0">
      <alignment vertical="bottom"/>
    </xf>
    <xf numFmtId="2" fontId="13" fillId="0" borderId="41" applyAlignment="1" pivotButton="0" quotePrefix="0" xfId="0">
      <alignment vertical="bottom"/>
    </xf>
    <xf numFmtId="2" fontId="13" fillId="0" borderId="22" applyAlignment="1" pivotButton="0" quotePrefix="0" xfId="0">
      <alignment vertical="bottom"/>
    </xf>
    <xf numFmtId="0" fontId="13" fillId="0" borderId="41" applyAlignment="1" pivotButton="0" quotePrefix="0" xfId="0">
      <alignment vertical="bottom"/>
    </xf>
    <xf numFmtId="0" fontId="20" fillId="0" borderId="22" applyAlignment="1" pivotButton="0" quotePrefix="0" xfId="0">
      <alignment vertical="bottom"/>
    </xf>
    <xf numFmtId="2" fontId="21" fillId="0" borderId="22" applyAlignment="1" pivotButton="0" quotePrefix="0" xfId="0">
      <alignment vertical="bottom"/>
    </xf>
    <xf numFmtId="0" fontId="1" fillId="0" borderId="22" applyAlignment="1" pivotButton="0" quotePrefix="0" xfId="0">
      <alignment vertical="bottom" wrapText="1"/>
    </xf>
    <xf numFmtId="0" fontId="22" fillId="0" borderId="41" applyAlignment="1" pivotButton="0" quotePrefix="0" xfId="0">
      <alignment vertical="bottom"/>
    </xf>
    <xf numFmtId="0" fontId="13" fillId="0" borderId="41" applyAlignment="1" pivotButton="0" quotePrefix="0" xfId="0">
      <alignment vertical="bottom"/>
    </xf>
    <xf numFmtId="0" fontId="23" fillId="0" borderId="22" applyAlignment="1" pivotButton="0" quotePrefix="0" xfId="0">
      <alignment vertical="bottom" wrapText="1"/>
    </xf>
    <xf numFmtId="0" fontId="1" fillId="0" borderId="22" applyAlignment="1" pivotButton="0" quotePrefix="0" xfId="0">
      <alignment vertical="center" wrapText="1"/>
    </xf>
    <xf numFmtId="0" fontId="24" fillId="0" borderId="22" applyAlignment="1" pivotButton="0" quotePrefix="0" xfId="0">
      <alignment vertical="bottom" wrapText="1"/>
    </xf>
    <xf numFmtId="0" fontId="20" fillId="0" borderId="22" applyAlignment="1" pivotButton="0" quotePrefix="0" xfId="0">
      <alignment vertical="bottom" wrapText="1"/>
    </xf>
    <xf numFmtId="0" fontId="13" fillId="0" borderId="42" applyAlignment="1" pivotButton="0" quotePrefix="0" xfId="0">
      <alignment vertical="bottom"/>
    </xf>
    <xf numFmtId="0" fontId="23" fillId="0" borderId="22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13" fillId="0" borderId="0" applyAlignment="1" pivotButton="0" quotePrefix="0" xfId="0">
      <alignment vertical="bottom"/>
    </xf>
    <xf numFmtId="2" fontId="25" fillId="0" borderId="22" applyAlignment="1" pivotButton="0" quotePrefix="0" xfId="0">
      <alignment vertical="bottom"/>
    </xf>
    <xf numFmtId="2" fontId="26" fillId="0" borderId="22" applyAlignment="1" pivotButton="0" quotePrefix="0" xfId="0">
      <alignment vertical="bottom"/>
    </xf>
    <xf numFmtId="2" fontId="11" fillId="0" borderId="22" applyAlignment="1" pivotButton="0" quotePrefix="0" xfId="0">
      <alignment vertical="bottom"/>
    </xf>
    <xf numFmtId="2" fontId="8" fillId="0" borderId="22" applyAlignment="1" pivotButton="0" quotePrefix="0" xfId="0">
      <alignment vertical="bottom"/>
    </xf>
    <xf numFmtId="2" fontId="20" fillId="0" borderId="22" applyAlignment="1" pivotButton="0" quotePrefix="0" xfId="0">
      <alignment vertical="bottom"/>
    </xf>
    <xf numFmtId="0" fontId="27" fillId="0" borderId="22" applyAlignment="1" pivotButton="0" quotePrefix="0" xfId="0">
      <alignment vertical="bottom" wrapText="1"/>
    </xf>
    <xf numFmtId="164" fontId="11" fillId="0" borderId="22" applyAlignment="1" pivotButton="0" quotePrefix="0" xfId="0">
      <alignment vertical="bottom"/>
    </xf>
    <xf numFmtId="165" fontId="11" fillId="0" borderId="22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28" fillId="0" borderId="22" applyAlignment="1" pivotButton="0" quotePrefix="0" xfId="0">
      <alignment horizontal="center" vertical="bottom"/>
    </xf>
    <xf numFmtId="165" fontId="28" fillId="0" borderId="22" applyAlignment="1" pivotButton="0" quotePrefix="0" xfId="0">
      <alignment horizontal="center" vertical="bottom"/>
    </xf>
    <xf numFmtId="0" fontId="1" fillId="0" borderId="22" applyAlignment="1" pivotButton="0" quotePrefix="0" xfId="0">
      <alignment horizontal="center" vertical="bottom"/>
    </xf>
    <xf numFmtId="165" fontId="1" fillId="0" borderId="22" applyAlignment="1" pivotButton="0" quotePrefix="0" xfId="0">
      <alignment horizontal="center" vertical="bottom"/>
    </xf>
    <xf numFmtId="0" fontId="29" fillId="0" borderId="0" applyAlignment="1" pivotButton="0" quotePrefix="0" xfId="0">
      <alignment vertical="bottom"/>
    </xf>
    <xf numFmtId="0" fontId="7" fillId="0" borderId="22" applyAlignment="1" pivotButton="0" quotePrefix="0" xfId="0">
      <alignment horizontal="center" vertical="bottom"/>
    </xf>
    <xf numFmtId="166" fontId="7" fillId="0" borderId="22" applyAlignment="1" pivotButton="0" quotePrefix="0" xfId="0">
      <alignment horizontal="center" vertical="bottom"/>
    </xf>
    <xf numFmtId="17" fontId="23" fillId="0" borderId="22" applyAlignment="1" pivotButton="0" quotePrefix="0" xfId="0">
      <alignment horizontal="center" vertical="bottom"/>
    </xf>
    <xf numFmtId="166" fontId="23" fillId="0" borderId="22" applyAlignment="1" pivotButton="0" quotePrefix="0" xfId="0">
      <alignment horizontal="center" vertical="bottom"/>
    </xf>
    <xf numFmtId="165" fontId="23" fillId="0" borderId="22" applyAlignment="1" pivotButton="0" quotePrefix="0" xfId="0">
      <alignment horizontal="center" vertical="bottom"/>
    </xf>
    <xf numFmtId="166" fontId="23" fillId="0" borderId="22" applyAlignment="1" pivotButton="0" quotePrefix="0" xfId="0">
      <alignment horizontal="center" vertical="bottom"/>
    </xf>
    <xf numFmtId="0" fontId="20" fillId="0" borderId="26" applyAlignment="1" pivotButton="0" quotePrefix="0" xfId="0">
      <alignment vertical="bottom"/>
    </xf>
    <xf numFmtId="2" fontId="21" fillId="0" borderId="42" applyAlignment="1" pivotButton="0" quotePrefix="0" xfId="0">
      <alignment vertical="bottom"/>
    </xf>
    <xf numFmtId="0" fontId="20" fillId="0" borderId="26" applyAlignment="1" pivotButton="0" quotePrefix="0" xfId="0">
      <alignment vertical="bottom"/>
    </xf>
    <xf numFmtId="0" fontId="21" fillId="0" borderId="22" applyAlignment="1" pivotButton="0" quotePrefix="0" xfId="0">
      <alignment vertical="bottom"/>
    </xf>
    <xf numFmtId="0" fontId="21" fillId="0" borderId="22" applyAlignment="1" pivotButton="0" quotePrefix="0" xfId="0">
      <alignment vertical="bottom"/>
    </xf>
    <xf numFmtId="0" fontId="23" fillId="0" borderId="22" applyAlignment="1" pivotButton="0" quotePrefix="0" xfId="0">
      <alignment horizontal="center" vertical="bottom"/>
    </xf>
    <xf numFmtId="0" fontId="23" fillId="0" borderId="0" applyAlignment="1" pivotButton="0" quotePrefix="0" xfId="0">
      <alignment vertical="bottom"/>
    </xf>
    <xf numFmtId="17" fontId="1" fillId="0" borderId="0" applyAlignment="1" pivotButton="0" quotePrefix="0" xfId="0">
      <alignment vertical="bottom"/>
    </xf>
    <xf numFmtId="2" fontId="1" fillId="0" borderId="0" applyAlignment="1" pivotButton="0" quotePrefix="0" xfId="0">
      <alignment vertical="bottom"/>
    </xf>
    <xf numFmtId="2" fontId="23" fillId="0" borderId="0" applyAlignment="1" pivotButton="0" quotePrefix="0" xfId="0">
      <alignment vertical="bottom"/>
    </xf>
    <xf numFmtId="0" fontId="30" fillId="0" borderId="22" applyAlignment="1" pivotButton="0" quotePrefix="0" xfId="0">
      <alignment vertical="bottom"/>
    </xf>
    <xf numFmtId="2" fontId="30" fillId="0" borderId="22" applyAlignment="1" pivotButton="0" quotePrefix="0" xfId="0">
      <alignment vertical="bottom"/>
    </xf>
    <xf numFmtId="0" fontId="31" fillId="0" borderId="30" applyAlignment="1" pivotButton="0" quotePrefix="0" xfId="0">
      <alignment vertical="bottom"/>
    </xf>
    <xf numFmtId="2" fontId="31" fillId="0" borderId="43" applyAlignment="1" pivotButton="0" quotePrefix="0" xfId="0">
      <alignment vertical="bottom"/>
    </xf>
    <xf numFmtId="4" fontId="18" fillId="0" borderId="0" applyAlignment="1" pivotButton="0" quotePrefix="0" xfId="0">
      <alignment vertical="bottom"/>
    </xf>
    <xf numFmtId="0" fontId="8" fillId="0" borderId="4" applyAlignment="1" pivotButton="0" quotePrefix="0" xfId="0">
      <alignment vertical="bottom"/>
    </xf>
    <xf numFmtId="0" fontId="13" fillId="0" borderId="44" applyAlignment="1" pivotButton="0" quotePrefix="0" xfId="0">
      <alignment vertical="bottom"/>
    </xf>
    <xf numFmtId="0" fontId="31" fillId="0" borderId="4" applyAlignment="1" pivotButton="0" quotePrefix="0" xfId="0">
      <alignment vertical="bottom"/>
    </xf>
    <xf numFmtId="9" fontId="31" fillId="0" borderId="44" applyAlignment="1" pivotButton="0" quotePrefix="0" xfId="0">
      <alignment vertical="bottom"/>
    </xf>
    <xf numFmtId="0" fontId="32" fillId="0" borderId="0" applyAlignment="1" pivotButton="0" quotePrefix="0" xfId="0">
      <alignment vertical="bottom"/>
    </xf>
    <xf numFmtId="2" fontId="33" fillId="0" borderId="9" applyAlignment="1" pivotButton="0" quotePrefix="0" xfId="0">
      <alignment horizontal="center" vertical="bottom"/>
    </xf>
    <xf numFmtId="2" fontId="34" fillId="0" borderId="10" applyAlignment="1" pivotButton="0" quotePrefix="0" xfId="0">
      <alignment vertical="bottom"/>
    </xf>
    <xf numFmtId="2" fontId="35" fillId="0" borderId="11" applyAlignment="1" pivotButton="0" quotePrefix="0" xfId="0">
      <alignment vertical="bottom"/>
    </xf>
    <xf numFmtId="0" fontId="36" fillId="0" borderId="0" applyAlignment="1" pivotButton="0" quotePrefix="0" xfId="0">
      <alignment vertical="bottom"/>
    </xf>
    <xf numFmtId="0" fontId="37" fillId="0" borderId="0" applyAlignment="1" pivotButton="0" quotePrefix="0" xfId="0">
      <alignment vertical="bottom"/>
    </xf>
    <xf numFmtId="0" fontId="23" fillId="0" borderId="0" applyAlignment="1" pivotButton="0" quotePrefix="0" xfId="0">
      <alignment horizontal="center" vertical="bottom"/>
    </xf>
    <xf numFmtId="165" fontId="23" fillId="0" borderId="0" applyAlignment="1" pivotButton="0" quotePrefix="0" xfId="0">
      <alignment horizontal="center" vertical="bottom"/>
    </xf>
    <xf numFmtId="0" fontId="38" fillId="0" borderId="22" applyAlignment="1" pivotButton="0" quotePrefix="0" xfId="0">
      <alignment vertical="bottom"/>
    </xf>
    <xf numFmtId="165" fontId="38" fillId="0" borderId="22" applyAlignment="1" pivotButton="0" quotePrefix="0" xfId="0">
      <alignment vertical="bottom"/>
    </xf>
    <xf numFmtId="1" fontId="39" fillId="0" borderId="22" applyAlignment="1" pivotButton="0" quotePrefix="0" xfId="0">
      <alignment vertical="bottom"/>
    </xf>
    <xf numFmtId="0" fontId="5" fillId="0" borderId="22" applyAlignment="1" pivotButton="0" quotePrefix="0" xfId="0">
      <alignment horizontal="center" vertical="bottom"/>
    </xf>
    <xf numFmtId="2" fontId="5" fillId="0" borderId="22" applyAlignment="1" pivotButton="0" quotePrefix="0" xfId="0">
      <alignment horizontal="center" vertical="bottom"/>
    </xf>
    <xf numFmtId="2" fontId="38" fillId="0" borderId="22" applyAlignment="1" pivotButton="0" quotePrefix="0" xfId="0">
      <alignment vertical="bottom"/>
    </xf>
    <xf numFmtId="164" fontId="38" fillId="0" borderId="22" applyAlignment="1" pivotButton="0" quotePrefix="0" xfId="0">
      <alignment vertical="bottom"/>
    </xf>
    <xf numFmtId="0" fontId="40" fillId="0" borderId="0" applyAlignment="1" pivotButton="0" quotePrefix="0" xfId="0">
      <alignment vertical="bottom"/>
    </xf>
    <xf numFmtId="0" fontId="7" fillId="0" borderId="22" applyAlignment="1" pivotButton="0" quotePrefix="0" xfId="0">
      <alignment vertical="bottom"/>
    </xf>
    <xf numFmtId="0" fontId="27" fillId="0" borderId="22" applyAlignment="1" pivotButton="0" quotePrefix="0" xfId="0">
      <alignment vertical="bottom"/>
    </xf>
    <xf numFmtId="9" fontId="1" fillId="0" borderId="22" applyAlignment="1" pivotButton="0" quotePrefix="0" xfId="0">
      <alignment vertical="bottom"/>
    </xf>
    <xf numFmtId="2" fontId="27" fillId="0" borderId="22" applyAlignment="1" pivotButton="0" quotePrefix="0" xfId="0">
      <alignment vertical="bottom"/>
    </xf>
    <xf numFmtId="0" fontId="20" fillId="0" borderId="0" applyAlignment="1" pivotButton="0" quotePrefix="0" xfId="0">
      <alignment vertical="bottom"/>
    </xf>
    <xf numFmtId="2" fontId="21" fillId="0" borderId="0" applyAlignment="1" pivotButton="0" quotePrefix="0" xfId="0">
      <alignment vertical="bottom"/>
    </xf>
    <xf numFmtId="0" fontId="41" fillId="0" borderId="9" applyAlignment="1" pivotButton="0" quotePrefix="0" xfId="0">
      <alignment horizontal="center" vertical="bottom"/>
    </xf>
    <xf numFmtId="0" fontId="41" fillId="0" borderId="9" applyAlignment="1" pivotButton="0" quotePrefix="0" xfId="0">
      <alignment horizontal="center" vertical="center"/>
    </xf>
    <xf numFmtId="167" fontId="42" fillId="0" borderId="22" applyAlignment="1" pivotButton="0" quotePrefix="0" xfId="0">
      <alignment vertical="center" wrapText="1"/>
    </xf>
    <xf numFmtId="167" fontId="43" fillId="0" borderId="22" applyAlignment="1" pivotButton="0" quotePrefix="0" xfId="0">
      <alignment vertical="center" wrapText="1"/>
    </xf>
    <xf numFmtId="167" fontId="43" fillId="0" borderId="21" applyAlignment="1" pivotButton="0" quotePrefix="0" xfId="0">
      <alignment vertical="center" wrapText="1"/>
    </xf>
    <xf numFmtId="167" fontId="43" fillId="0" borderId="31" applyAlignment="1" pivotButton="0" quotePrefix="0" xfId="0">
      <alignment vertical="center" wrapText="1"/>
    </xf>
    <xf numFmtId="0" fontId="10" fillId="0" borderId="25" applyAlignment="1" pivotButton="0" quotePrefix="0" xfId="0">
      <alignment vertical="bottom"/>
    </xf>
    <xf numFmtId="167" fontId="42" fillId="0" borderId="34" applyAlignment="1" pivotButton="0" quotePrefix="0" xfId="0">
      <alignment vertical="center" wrapText="1"/>
    </xf>
    <xf numFmtId="0" fontId="8" fillId="0" borderId="45" applyAlignment="1" pivotButton="0" quotePrefix="0" xfId="0">
      <alignment vertical="bottom"/>
    </xf>
    <xf numFmtId="2" fontId="21" fillId="0" borderId="41" applyAlignment="1" pivotButton="0" quotePrefix="0" xfId="0">
      <alignment vertical="bottom"/>
    </xf>
    <xf numFmtId="0" fontId="10" fillId="0" borderId="32" applyAlignment="1" pivotButton="0" quotePrefix="0" xfId="0">
      <alignment vertical="bottom"/>
    </xf>
    <xf numFmtId="2" fontId="25" fillId="0" borderId="32" applyAlignment="1" pivotButton="0" quotePrefix="0" xfId="0">
      <alignment vertical="bottom"/>
    </xf>
    <xf numFmtId="0" fontId="1" fillId="0" borderId="32" applyAlignment="1" pivotButton="0" quotePrefix="0" xfId="0">
      <alignment vertical="bottom"/>
    </xf>
    <xf numFmtId="0" fontId="31" fillId="0" borderId="22" applyAlignment="1" pivotButton="0" quotePrefix="0" xfId="0">
      <alignment vertical="bottom"/>
    </xf>
    <xf numFmtId="168" fontId="31" fillId="0" borderId="22" applyAlignment="1" pivotButton="0" quotePrefix="0" xfId="0">
      <alignment vertical="bottom"/>
    </xf>
    <xf numFmtId="167" fontId="43" fillId="0" borderId="20" applyAlignment="1" pivotButton="0" quotePrefix="0" xfId="0">
      <alignment vertical="center" wrapText="1"/>
    </xf>
    <xf numFmtId="167" fontId="43" fillId="0" borderId="27" applyAlignment="1" pivotButton="0" quotePrefix="0" xfId="0">
      <alignment vertical="center" wrapText="1"/>
    </xf>
    <xf numFmtId="0" fontId="8" fillId="0" borderId="29" applyAlignment="1" pivotButton="0" quotePrefix="0" xfId="0">
      <alignment vertical="bottom"/>
    </xf>
    <xf numFmtId="167" fontId="15" fillId="0" borderId="36" applyAlignment="1" pivotButton="0" quotePrefix="0" xfId="0">
      <alignment vertical="bottom"/>
    </xf>
    <xf numFmtId="167" fontId="14" fillId="0" borderId="39" applyAlignment="1" pivotButton="0" quotePrefix="0" xfId="0">
      <alignment vertical="bottom"/>
    </xf>
    <xf numFmtId="167" fontId="14" fillId="0" borderId="38" applyAlignment="1" pivotButton="0" quotePrefix="0" xfId="0">
      <alignment vertical="bottom"/>
    </xf>
    <xf numFmtId="167" fontId="14" fillId="0" borderId="37" applyAlignment="1" pivotButton="0" quotePrefix="0" xfId="0">
      <alignment vertical="bottom"/>
    </xf>
    <xf numFmtId="167" fontId="14" fillId="0" borderId="40" applyAlignment="1" pivotButton="0" quotePrefix="0" xfId="0">
      <alignment vertical="bottom"/>
    </xf>
    <xf numFmtId="0" fontId="12" fillId="0" borderId="19" applyAlignment="1" pivotButton="0" quotePrefix="0" xfId="0">
      <alignment vertical="bottom"/>
    </xf>
    <xf numFmtId="0" fontId="11" fillId="0" borderId="21" applyAlignment="1" pivotButton="0" quotePrefix="0" xfId="0">
      <alignment vertical="bottom"/>
    </xf>
    <xf numFmtId="0" fontId="11" fillId="0" borderId="46" applyAlignment="1" pivotButton="0" quotePrefix="0" xfId="0">
      <alignment vertical="bottom"/>
    </xf>
    <xf numFmtId="0" fontId="11" fillId="0" borderId="47" applyAlignment="1" pivotButton="0" quotePrefix="0" xfId="0">
      <alignment vertical="bottom"/>
    </xf>
    <xf numFmtId="167" fontId="11" fillId="0" borderId="21" applyAlignment="1" pivotButton="0" quotePrefix="0" xfId="0">
      <alignment vertical="center" wrapText="1"/>
    </xf>
    <xf numFmtId="0" fontId="11" fillId="0" borderId="44" applyAlignment="1" pivotButton="0" quotePrefix="0" xfId="0">
      <alignment vertical="bottom"/>
    </xf>
    <xf numFmtId="0" fontId="5" fillId="0" borderId="26" applyAlignment="1" pivotButton="0" quotePrefix="0" xfId="0">
      <alignment vertical="bottom"/>
    </xf>
    <xf numFmtId="0" fontId="5" fillId="0" borderId="29" applyAlignment="1" pivotButton="0" quotePrefix="0" xfId="0">
      <alignment horizontal="center" vertical="bottom"/>
    </xf>
    <xf numFmtId="0" fontId="4" fillId="0" borderId="48" pivotButton="0" quotePrefix="0" xfId="0"/>
    <xf numFmtId="0" fontId="41" fillId="0" borderId="25" applyAlignment="1" pivotButton="0" quotePrefix="0" xfId="0">
      <alignment horizontal="center" vertical="bottom"/>
    </xf>
    <xf numFmtId="0" fontId="4" fillId="0" borderId="46" pivotButton="0" quotePrefix="0" xfId="0"/>
    <xf numFmtId="0" fontId="1" fillId="0" borderId="49" applyAlignment="1" pivotButton="0" quotePrefix="0" xfId="0">
      <alignment vertical="bottom"/>
    </xf>
    <xf numFmtId="0" fontId="7" fillId="0" borderId="49" applyAlignment="1" pivotButton="0" quotePrefix="0" xfId="0">
      <alignment vertical="bottom"/>
    </xf>
    <xf numFmtId="167" fontId="43" fillId="0" borderId="34" applyAlignment="1" pivotButton="0" quotePrefix="0" xfId="0">
      <alignment vertical="center" wrapText="1"/>
    </xf>
    <xf numFmtId="0" fontId="13" fillId="0" borderId="24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2" fontId="10" fillId="0" borderId="0" applyAlignment="1" pivotButton="0" quotePrefix="0" xfId="0">
      <alignment vertical="bottom"/>
    </xf>
    <xf numFmtId="167" fontId="43" fillId="0" borderId="25" applyAlignment="1" pivotButton="0" quotePrefix="0" xfId="0">
      <alignment vertical="center" wrapText="1"/>
    </xf>
    <xf numFmtId="0" fontId="29" fillId="0" borderId="0" applyAlignment="1" pivotButton="0" quotePrefix="0" xfId="0">
      <alignment horizontal="center" vertical="bottom"/>
    </xf>
    <xf numFmtId="164" fontId="1" fillId="0" borderId="0" applyAlignment="1" pivotButton="0" quotePrefix="0" xfId="0">
      <alignment horizontal="center" vertical="bottom"/>
    </xf>
    <xf numFmtId="169" fontId="1" fillId="0" borderId="0" applyAlignment="1" pivotButton="0" quotePrefix="0" xfId="0">
      <alignment horizontal="center" vertical="bottom"/>
    </xf>
    <xf numFmtId="9" fontId="1" fillId="0" borderId="0" applyAlignment="1" pivotButton="0" quotePrefix="0" xfId="0">
      <alignment horizontal="center" vertical="bottom"/>
    </xf>
    <xf numFmtId="17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bottom"/>
    </xf>
    <xf numFmtId="166" fontId="1" fillId="0" borderId="0" applyAlignment="1" pivotButton="0" quotePrefix="0" xfId="0">
      <alignment horizontal="center" vertical="bottom"/>
    </xf>
    <xf numFmtId="168" fontId="1" fillId="0" borderId="0" applyAlignment="1" pivotButton="0" quotePrefix="0" xfId="0">
      <alignment horizontal="center" vertical="bottom"/>
    </xf>
    <xf numFmtId="168" fontId="1" fillId="0" borderId="0" applyAlignment="1" pivotButton="0" quotePrefix="0" xfId="0">
      <alignment horizontal="left" vertical="bottom"/>
    </xf>
    <xf numFmtId="0" fontId="0" fillId="0" borderId="0" pivotButton="0" quotePrefix="0" xfId="0"/>
    <xf numFmtId="17" fontId="3" fillId="0" borderId="50" applyAlignment="1" pivotButton="0" quotePrefix="0" xfId="0">
      <alignment horizontal="center" vertical="bottom"/>
    </xf>
    <xf numFmtId="0" fontId="0" fillId="0" borderId="3" pivotButton="0" quotePrefix="0" xfId="0"/>
    <xf numFmtId="0" fontId="5" fillId="0" borderId="44" applyAlignment="1" pivotButton="0" quotePrefix="0" xfId="0">
      <alignment horizontal="center" vertical="bottom"/>
    </xf>
    <xf numFmtId="0" fontId="0" fillId="0" borderId="6" pivotButton="0" quotePrefix="0" xfId="0"/>
    <xf numFmtId="0" fontId="6" fillId="0" borderId="54" applyAlignment="1" pivotButton="0" quotePrefix="0" xfId="0">
      <alignment horizontal="center" vertical="bottom"/>
    </xf>
    <xf numFmtId="0" fontId="0" fillId="0" borderId="8" pivotButton="0" quotePrefix="0" xfId="0"/>
    <xf numFmtId="0" fontId="6" fillId="0" borderId="53" applyAlignment="1" pivotButton="0" quotePrefix="0" xfId="0">
      <alignment horizontal="center" vertical="bottom"/>
    </xf>
    <xf numFmtId="0" fontId="0" fillId="0" borderId="10" pivotButton="0" quotePrefix="0" xfId="0"/>
    <xf numFmtId="0" fontId="0" fillId="0" borderId="11" pivotButton="0" quotePrefix="0" xfId="0"/>
    <xf numFmtId="0" fontId="19" fillId="0" borderId="22" applyAlignment="1" pivotButton="0" quotePrefix="0" xfId="0">
      <alignment horizontal="center" vertical="bottom"/>
    </xf>
    <xf numFmtId="0" fontId="0" fillId="0" borderId="21" pivotButton="0" quotePrefix="0" xfId="0"/>
    <xf numFmtId="0" fontId="19" fillId="0" borderId="17" applyAlignment="1" pivotButton="0" quotePrefix="0" xfId="0">
      <alignment horizontal="center" vertical="bottom"/>
    </xf>
    <xf numFmtId="0" fontId="41" fillId="0" borderId="53" applyAlignment="1" pivotButton="0" quotePrefix="0" xfId="0">
      <alignment horizontal="center" vertical="bottom"/>
    </xf>
    <xf numFmtId="0" fontId="41" fillId="0" borderId="53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bottom"/>
    </xf>
    <xf numFmtId="0" fontId="0" fillId="0" borderId="48" pivotButton="0" quotePrefix="0" xfId="0"/>
    <xf numFmtId="0" fontId="41" fillId="0" borderId="22" applyAlignment="1" pivotButton="0" quotePrefix="0" xfId="0">
      <alignment horizontal="center" vertical="bottom"/>
    </xf>
    <xf numFmtId="0" fontId="0" fillId="0" borderId="4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None</author>
  </authors>
  <commentList>
    <comment ref="C46" authorId="0" shapeId="0">
      <text>
        <t xml:space="preserve">nova:
INCL OFFICE RENTAL FROM JAN 2026
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C45" authorId="0" shapeId="0">
      <text>
        <t xml:space="preserve">nova:
INCL OFFICE RENTAL FROM JAN 2026
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C45" authorId="0" shapeId="0">
      <text>
        <t xml:space="preserve">nova:
INCL OFFICE RENTAL FROM JAN 2026
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C45" authorId="0" shapeId="0">
      <text>
        <t xml:space="preserve">nova:
INCL OFFICE RENTAL FROM JAN 2026
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C45" authorId="0" shapeId="0">
      <text>
        <t xml:space="preserve">nova:
INCL OFFICE RENTAL FROM JAN 2026
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C45" authorId="0" shapeId="0">
      <text>
        <t xml:space="preserve">nova:
INCL OFFICE RENTAL FROM JAN 2026
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C45" authorId="0" shapeId="0">
      <text>
        <t xml:space="preserve">nova:
INCL OFFICE RENTAL FROM JAN 2026
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C45" authorId="0" shapeId="0">
      <text>
        <t xml:space="preserve">nova:
INCL OFFICE RENTAL FROM JAN 2026
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C45" authorId="0" shapeId="0">
      <text>
        <t xml:space="preserve">nova:
INCL OFFICE RENTAL FROM JAN 2026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FAE3E"/>
      </a:folHlink>
    </a:clrScheme>
    <a:fontScheme name="Sheets">
      <a:majorFont>
        <a:latin typeface="Trebuchet MS"/>
        <a:ea typeface="Trebuchet MS"/>
        <a:cs typeface="Trebuchet MS"/>
      </a:majorFont>
      <a:minorFont>
        <a:latin typeface="Trebuchet MS"/>
        <a:ea typeface="Trebuchet MS"/>
        <a:cs typeface="Trebuchet M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tabColor rgb="FFFF99CC"/>
    <outlinePr summaryBelow="1" summaryRight="1"/>
    <pageSetUpPr/>
  </sheetPr>
  <dimension ref="A1:AL1001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32.5" customWidth="1" style="220" min="1" max="1"/>
    <col width="76.13" customWidth="1" style="220" min="2" max="2"/>
    <col width="43.5" customWidth="1" style="220" min="3" max="3"/>
    <col width="27.75" customWidth="1" style="220" min="4" max="4"/>
    <col width="33" customWidth="1" style="220" min="5" max="5"/>
    <col width="56.75" customWidth="1" style="220" min="6" max="6"/>
    <col width="33.88" customWidth="1" style="220" min="7" max="7"/>
    <col width="28" customWidth="1" style="220" min="8" max="8"/>
    <col width="33" customWidth="1" style="220" min="9" max="9"/>
    <col width="56.75" customWidth="1" style="220" min="10" max="10"/>
    <col width="30.13" customWidth="1" style="220" min="11" max="11"/>
    <col width="28" customWidth="1" style="220" min="12" max="12"/>
    <col width="33.13" customWidth="1" style="220" min="13" max="13"/>
    <col width="56.75" customWidth="1" style="220" min="14" max="14"/>
    <col width="30.13" customWidth="1" style="220" min="15" max="15"/>
    <col width="41.75" customWidth="1" style="220" min="16" max="16"/>
    <col hidden="1" width="28.13" customWidth="1" style="220" min="17" max="17"/>
    <col hidden="1" width="56.75" customWidth="1" style="220" min="18" max="18"/>
    <col hidden="1" width="30.13" customWidth="1" style="220" min="19" max="19"/>
    <col hidden="1" width="27.38" customWidth="1" style="220" min="20" max="20"/>
    <col width="33.38" customWidth="1" style="220" min="21" max="21"/>
    <col width="56.75" customWidth="1" style="220" min="22" max="22"/>
    <col width="30.13" customWidth="1" style="220" min="23" max="23"/>
    <col width="47.63" customWidth="1" style="220" min="24" max="24"/>
    <col width="33.88" customWidth="1" style="220" min="25" max="25"/>
    <col width="56.75" customWidth="1" style="220" min="26" max="26"/>
    <col width="30.13" customWidth="1" style="220" min="27" max="27"/>
    <col width="22.88" customWidth="1" style="220" min="28" max="28"/>
    <col width="8.880000000000001" customWidth="1" style="220" min="29" max="29"/>
    <col width="32.75" customWidth="1" style="220" min="30" max="30"/>
    <col width="56.75" customWidth="1" style="220" min="31" max="31"/>
    <col width="30.13" customWidth="1" style="220" min="32" max="32"/>
    <col width="22.88" customWidth="1" style="220" min="33" max="33"/>
    <col width="8.880000000000001" customWidth="1" style="220" min="34" max="34"/>
    <col hidden="1" width="31.88" customWidth="1" style="220" min="35" max="35"/>
    <col hidden="1" width="52.63" customWidth="1" style="220" min="36" max="36"/>
    <col hidden="1" width="20" customWidth="1" style="220" min="37" max="37"/>
    <col hidden="1" width="19.25" customWidth="1" style="220" min="38" max="38"/>
  </cols>
  <sheetData>
    <row r="1" ht="16.5" customHeight="1" s="220">
      <c r="A1" s="1" t="n"/>
      <c r="B1" s="1" t="n"/>
      <c r="C1" s="2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17.25" customHeight="1" s="220">
      <c r="A2" s="1" t="n"/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</row>
    <row r="3" ht="23.25" customHeight="1" s="220">
      <c r="A3" s="3" t="inlineStr">
        <is>
          <t>MONTH/YEAR:</t>
        </is>
      </c>
      <c r="B3" s="221" t="n">
        <v>46023</v>
      </c>
      <c r="C3" s="222" t="n"/>
      <c r="D3" s="1" t="n"/>
      <c r="E3" s="3" t="inlineStr">
        <is>
          <t>MONTH/YEAR:</t>
        </is>
      </c>
      <c r="F3" s="221">
        <f>B3</f>
        <v/>
      </c>
      <c r="G3" s="222" t="n"/>
      <c r="H3" s="1" t="n"/>
      <c r="I3" s="3" t="inlineStr">
        <is>
          <t>MONTH/YEAR:</t>
        </is>
      </c>
      <c r="J3" s="221">
        <f>B3</f>
        <v/>
      </c>
      <c r="K3" s="222" t="n"/>
      <c r="L3" s="1" t="n"/>
      <c r="M3" s="3" t="inlineStr">
        <is>
          <t>MONTH/YEAR:</t>
        </is>
      </c>
      <c r="N3" s="221">
        <f>B3</f>
        <v/>
      </c>
      <c r="O3" s="222" t="n"/>
      <c r="P3" s="1" t="n"/>
      <c r="Q3" s="3" t="inlineStr">
        <is>
          <t>MONTH/YEAR:</t>
        </is>
      </c>
      <c r="R3" s="221">
        <f>B3</f>
        <v/>
      </c>
      <c r="S3" s="222" t="n"/>
      <c r="T3" s="1" t="n"/>
      <c r="U3" s="3" t="inlineStr">
        <is>
          <t>MONTH/YEAR:</t>
        </is>
      </c>
      <c r="V3" s="221">
        <f>B3</f>
        <v/>
      </c>
      <c r="W3" s="222" t="n"/>
      <c r="X3" s="1" t="n"/>
      <c r="Y3" s="3" t="inlineStr">
        <is>
          <t>MONTH/YEAR:</t>
        </is>
      </c>
      <c r="Z3" s="221">
        <f>B3</f>
        <v/>
      </c>
      <c r="AA3" s="222" t="n"/>
      <c r="AB3" s="1" t="n"/>
      <c r="AC3" s="1" t="n"/>
      <c r="AD3" s="3" t="inlineStr">
        <is>
          <t>MONTH/YEAR:</t>
        </is>
      </c>
      <c r="AE3" s="221">
        <f>B3</f>
        <v/>
      </c>
      <c r="AF3" s="222" t="n"/>
      <c r="AG3" s="1" t="n"/>
      <c r="AH3" s="1" t="n"/>
      <c r="AI3" s="3" t="inlineStr">
        <is>
          <t>MONTH/YEAR:</t>
        </is>
      </c>
      <c r="AJ3" s="221">
        <f>AE3</f>
        <v/>
      </c>
      <c r="AK3" s="222" t="n"/>
      <c r="AL3" s="1" t="n"/>
    </row>
    <row r="4" ht="31.5" customHeight="1" s="220">
      <c r="A4" s="6" t="inlineStr">
        <is>
          <t>BRANCH:</t>
        </is>
      </c>
      <c r="B4" s="223" t="inlineStr">
        <is>
          <t>CASA DENTAL AMK PTE LTD</t>
        </is>
      </c>
      <c r="C4" s="224" t="n"/>
      <c r="D4" s="1" t="n"/>
      <c r="E4" s="6" t="inlineStr">
        <is>
          <t>BRANCH:</t>
        </is>
      </c>
      <c r="F4" s="223" t="inlineStr">
        <is>
          <t>CASA DENTAL AMK PTE LTD</t>
        </is>
      </c>
      <c r="G4" s="224" t="n"/>
      <c r="H4" s="1" t="n"/>
      <c r="I4" s="6" t="inlineStr">
        <is>
          <t>BRANCH:</t>
        </is>
      </c>
      <c r="J4" s="223" t="inlineStr">
        <is>
          <t>CASA DENTAL AMK PTE LTD</t>
        </is>
      </c>
      <c r="K4" s="224" t="n"/>
      <c r="L4" s="1" t="n"/>
      <c r="M4" s="6" t="inlineStr">
        <is>
          <t>BRANCH:</t>
        </is>
      </c>
      <c r="N4" s="223" t="inlineStr">
        <is>
          <t>CASA DENTAL AMK PTE LTD</t>
        </is>
      </c>
      <c r="O4" s="224" t="n"/>
      <c r="P4" s="1" t="n"/>
      <c r="Q4" s="6" t="inlineStr">
        <is>
          <t>BRANCH:</t>
        </is>
      </c>
      <c r="R4" s="223" t="inlineStr">
        <is>
          <t>CASA DENTAL AMK PTE LTD</t>
        </is>
      </c>
      <c r="S4" s="224" t="n"/>
      <c r="T4" s="1" t="n"/>
      <c r="U4" s="6" t="inlineStr">
        <is>
          <t>BRANCH:</t>
        </is>
      </c>
      <c r="V4" s="223" t="inlineStr">
        <is>
          <t>CASA DENTAL AMK PTE LTD</t>
        </is>
      </c>
      <c r="W4" s="224" t="n"/>
      <c r="X4" s="1" t="n"/>
      <c r="Y4" s="6" t="inlineStr">
        <is>
          <t>BRANCH:</t>
        </is>
      </c>
      <c r="Z4" s="223" t="inlineStr">
        <is>
          <t>CASA DENTAL AMK PTE LTD</t>
        </is>
      </c>
      <c r="AA4" s="224" t="n"/>
      <c r="AB4" s="1" t="n"/>
      <c r="AC4" s="1" t="n"/>
      <c r="AD4" s="6" t="inlineStr">
        <is>
          <t>BRANCH:</t>
        </is>
      </c>
      <c r="AE4" s="223" t="inlineStr">
        <is>
          <t>CASA DENTAL AMK PTE LTD</t>
        </is>
      </c>
      <c r="AF4" s="224" t="n"/>
      <c r="AG4" s="1" t="n"/>
      <c r="AH4" s="1" t="n"/>
      <c r="AI4" s="6" t="inlineStr">
        <is>
          <t>BRANCH:</t>
        </is>
      </c>
      <c r="AJ4" s="223" t="inlineStr">
        <is>
          <t>CASA DENTAL AMK PTE LTD</t>
        </is>
      </c>
      <c r="AK4" s="224" t="n"/>
      <c r="AL4" s="1" t="n"/>
    </row>
    <row r="5" ht="34.5" customHeight="1" s="220">
      <c r="A5" s="225" t="inlineStr">
        <is>
          <t>ALL PROVIDERS SETTLEMENT</t>
        </is>
      </c>
      <c r="C5" s="226" t="n"/>
      <c r="D5" s="1" t="n"/>
      <c r="E5" s="227" t="inlineStr">
        <is>
          <t>DR CHAN</t>
        </is>
      </c>
      <c r="F5" s="228" t="n"/>
      <c r="G5" s="229" t="n"/>
      <c r="H5" s="1" t="n"/>
      <c r="I5" s="227" t="inlineStr">
        <is>
          <t>DR JASMINE</t>
        </is>
      </c>
      <c r="J5" s="228" t="n"/>
      <c r="K5" s="229" t="n"/>
      <c r="L5" s="1" t="n"/>
      <c r="M5" s="227" t="inlineStr">
        <is>
          <t>DR JIAWEN</t>
        </is>
      </c>
      <c r="N5" s="228" t="n"/>
      <c r="O5" s="229" t="n"/>
      <c r="P5" s="1" t="n"/>
      <c r="Q5" s="227" t="inlineStr">
        <is>
          <t xml:space="preserve">DR KALIE </t>
        </is>
      </c>
      <c r="R5" s="228" t="n"/>
      <c r="S5" s="229" t="n"/>
      <c r="T5" s="1" t="n"/>
      <c r="U5" s="227" t="inlineStr">
        <is>
          <t>DR JOLEEN</t>
        </is>
      </c>
      <c r="V5" s="228" t="n"/>
      <c r="W5" s="229" t="n"/>
      <c r="X5" s="1" t="n"/>
      <c r="Y5" s="227" t="inlineStr">
        <is>
          <t>DR BRANDON</t>
        </is>
      </c>
      <c r="Z5" s="228" t="n"/>
      <c r="AA5" s="229" t="n"/>
      <c r="AB5" s="1" t="n"/>
      <c r="AC5" s="1" t="n"/>
      <c r="AD5" s="227" t="inlineStr">
        <is>
          <t>DR JEAN CHONG</t>
        </is>
      </c>
      <c r="AE5" s="228" t="n"/>
      <c r="AF5" s="229" t="n"/>
      <c r="AG5" s="1" t="n"/>
      <c r="AH5" s="1" t="n"/>
      <c r="AI5" s="227" t="inlineStr">
        <is>
          <t>DR ANDREW YIN</t>
        </is>
      </c>
      <c r="AJ5" s="228" t="n"/>
      <c r="AK5" s="229" t="n"/>
      <c r="AL5" s="1" t="n"/>
    </row>
    <row r="6" ht="18.75" customHeight="1" s="220">
      <c r="A6" s="14" t="n"/>
      <c r="B6" s="15" t="n"/>
      <c r="C6" s="16" t="inlineStr">
        <is>
          <t>ADMIN CHARGES</t>
        </is>
      </c>
      <c r="D6" s="17" t="n"/>
      <c r="E6" s="18" t="n"/>
      <c r="F6" s="15" t="n"/>
      <c r="G6" s="16" t="inlineStr">
        <is>
          <t>ADMIN CHARGES</t>
        </is>
      </c>
      <c r="H6" s="17" t="n"/>
      <c r="I6" s="19" t="n"/>
      <c r="J6" s="15" t="inlineStr">
        <is>
          <t>TOTALS</t>
        </is>
      </c>
      <c r="K6" s="20" t="inlineStr">
        <is>
          <t>ADMIN CHARGES</t>
        </is>
      </c>
      <c r="L6" s="17" t="n"/>
      <c r="M6" s="21" t="n"/>
      <c r="N6" s="22" t="n"/>
      <c r="O6" s="16" t="inlineStr">
        <is>
          <t>ADMIN CHARGES</t>
        </is>
      </c>
      <c r="P6" s="1" t="n"/>
      <c r="Q6" s="23" t="n"/>
      <c r="R6" s="24" t="n"/>
      <c r="S6" s="25" t="inlineStr">
        <is>
          <t>ADMIN CHARGES</t>
        </is>
      </c>
      <c r="T6" s="1" t="n"/>
      <c r="U6" s="26" t="n"/>
      <c r="V6" s="24" t="n"/>
      <c r="W6" s="27" t="inlineStr">
        <is>
          <t>ADMIN CHARGES</t>
        </is>
      </c>
      <c r="X6" s="28" t="n"/>
      <c r="Y6" s="14" t="n"/>
      <c r="Z6" s="29" t="n"/>
      <c r="AA6" s="22" t="inlineStr">
        <is>
          <t>ADMIN CHARGES</t>
        </is>
      </c>
      <c r="AB6" s="1" t="n"/>
      <c r="AC6" s="1" t="n"/>
      <c r="AD6" s="26" t="n"/>
      <c r="AE6" s="27" t="n"/>
      <c r="AF6" s="27" t="inlineStr">
        <is>
          <t>ADMIN CHARGES</t>
        </is>
      </c>
      <c r="AG6" s="30" t="n"/>
      <c r="AH6" s="1" t="n"/>
      <c r="AI6" s="23" t="n"/>
      <c r="AJ6" s="25" t="n"/>
      <c r="AK6" s="25" t="inlineStr">
        <is>
          <t>ADMIN CHARGES</t>
        </is>
      </c>
      <c r="AL6" s="1" t="n"/>
    </row>
    <row r="7" ht="27.75" customHeight="1" s="220">
      <c r="A7" s="31" t="inlineStr">
        <is>
          <t>AIA</t>
        </is>
      </c>
      <c r="B7" s="32" t="inlineStr">
        <is>
          <t>None_test</t>
        </is>
      </c>
      <c r="C7" s="33">
        <f>B7*0.05*1.09</f>
        <v/>
      </c>
      <c r="D7" s="34" t="n"/>
      <c r="E7" s="35" t="inlineStr">
        <is>
          <t>AIA</t>
        </is>
      </c>
      <c r="F7" s="36" t="n"/>
      <c r="G7" s="33">
        <f>F7*0.05*1.09</f>
        <v/>
      </c>
      <c r="H7" s="37" t="n"/>
      <c r="I7" s="35" t="inlineStr">
        <is>
          <t>AIA</t>
        </is>
      </c>
      <c r="J7" s="36" t="n"/>
      <c r="K7" s="33">
        <f>J7*0.05*1.09</f>
        <v/>
      </c>
      <c r="L7" s="37" t="n"/>
      <c r="M7" s="35" t="inlineStr">
        <is>
          <t>AIA</t>
        </is>
      </c>
      <c r="N7" s="36" t="n"/>
      <c r="O7" s="33">
        <f>N7*0.05*1.09</f>
        <v/>
      </c>
      <c r="P7" s="38" t="n"/>
      <c r="Q7" s="31" t="inlineStr">
        <is>
          <t>AIA</t>
        </is>
      </c>
      <c r="R7" s="39" t="n"/>
      <c r="S7" s="40">
        <f>R7*0.05*1.09</f>
        <v/>
      </c>
      <c r="T7" s="38" t="n"/>
      <c r="U7" s="41" t="inlineStr">
        <is>
          <t>AIA</t>
        </is>
      </c>
      <c r="V7" s="42" t="n"/>
      <c r="W7" s="43">
        <f>V7*0.05*1.09</f>
        <v/>
      </c>
      <c r="X7" s="44" t="n"/>
      <c r="Y7" s="31" t="inlineStr">
        <is>
          <t>AIA</t>
        </is>
      </c>
      <c r="Z7" s="36" t="n"/>
      <c r="AA7" s="45">
        <f>Z7*0.05*1.09</f>
        <v/>
      </c>
      <c r="AB7" s="46" t="n"/>
      <c r="AC7" s="46" t="n"/>
      <c r="AD7" s="41" t="inlineStr">
        <is>
          <t>AIA</t>
        </is>
      </c>
      <c r="AE7" s="47" t="n"/>
      <c r="AF7" s="43">
        <f>AE7*0.05*1.09</f>
        <v/>
      </c>
      <c r="AG7" s="48" t="n"/>
      <c r="AH7" s="46" t="n"/>
      <c r="AI7" s="31" t="inlineStr">
        <is>
          <t>AIA</t>
        </is>
      </c>
      <c r="AJ7" s="39" t="n"/>
      <c r="AK7" s="40">
        <f>AJ7*0.05*1.09</f>
        <v/>
      </c>
      <c r="AL7" s="46" t="n"/>
    </row>
    <row r="8" ht="27.75" customHeight="1" s="220">
      <c r="A8" s="31" t="inlineStr">
        <is>
          <t>ALLIANCE</t>
        </is>
      </c>
      <c r="B8" s="32" t="n"/>
      <c r="C8" s="33">
        <f>B8*0.05*1.09</f>
        <v/>
      </c>
      <c r="D8" s="34" t="n"/>
      <c r="E8" s="35" t="inlineStr">
        <is>
          <t>ALLIANCE</t>
        </is>
      </c>
      <c r="F8" s="36" t="n"/>
      <c r="G8" s="33">
        <f>F8*0.05*1.09</f>
        <v/>
      </c>
      <c r="H8" s="37" t="n"/>
      <c r="I8" s="35" t="inlineStr">
        <is>
          <t>ALLIANCE</t>
        </is>
      </c>
      <c r="J8" s="36" t="n"/>
      <c r="K8" s="33">
        <f>J8*0.05*1.09</f>
        <v/>
      </c>
      <c r="L8" s="37" t="n"/>
      <c r="M8" s="35" t="inlineStr">
        <is>
          <t>ALLIANCE</t>
        </is>
      </c>
      <c r="N8" s="36" t="n"/>
      <c r="O8" s="33">
        <f>N8*0.05*1.09</f>
        <v/>
      </c>
      <c r="P8" s="38" t="n"/>
      <c r="Q8" s="31" t="n"/>
      <c r="R8" s="39" t="n"/>
      <c r="S8" s="40" t="n"/>
      <c r="T8" s="38" t="n"/>
      <c r="U8" s="41" t="inlineStr">
        <is>
          <t>ALLIANCE</t>
        </is>
      </c>
      <c r="V8" s="42" t="n"/>
      <c r="W8" s="43">
        <f>V8*0.05*1.09</f>
        <v/>
      </c>
      <c r="X8" s="44" t="n"/>
      <c r="Y8" s="31" t="inlineStr">
        <is>
          <t>ALLIANCE</t>
        </is>
      </c>
      <c r="Z8" s="36" t="n"/>
      <c r="AA8" s="45">
        <f>Z8*0.05*1.09</f>
        <v/>
      </c>
      <c r="AB8" s="46" t="n"/>
      <c r="AC8" s="46" t="n"/>
      <c r="AD8" s="41" t="inlineStr">
        <is>
          <t>ALLIANCE</t>
        </is>
      </c>
      <c r="AE8" s="47" t="n"/>
      <c r="AF8" s="43">
        <f>AE8*0.05*1.09</f>
        <v/>
      </c>
      <c r="AG8" s="48" t="n"/>
      <c r="AH8" s="46" t="n"/>
      <c r="AI8" s="31" t="n"/>
      <c r="AJ8" s="39" t="n"/>
      <c r="AK8" s="40" t="n"/>
      <c r="AL8" s="46" t="n"/>
    </row>
    <row r="9" ht="27.75" customHeight="1" s="220">
      <c r="A9" s="31" t="inlineStr">
        <is>
          <t>AMEX</t>
        </is>
      </c>
      <c r="B9" s="32" t="n"/>
      <c r="C9" s="33">
        <f>B9*0.0195</f>
        <v/>
      </c>
      <c r="D9" s="34" t="n"/>
      <c r="E9" s="35" t="inlineStr">
        <is>
          <t>AMEX</t>
        </is>
      </c>
      <c r="F9" s="36" t="n"/>
      <c r="G9" s="33">
        <f>F9*0.0195</f>
        <v/>
      </c>
      <c r="H9" s="34" t="n"/>
      <c r="I9" s="35" t="inlineStr">
        <is>
          <t>AMEX</t>
        </is>
      </c>
      <c r="J9" s="36" t="n"/>
      <c r="K9" s="33">
        <f>J9*0.0195</f>
        <v/>
      </c>
      <c r="L9" s="34" t="n"/>
      <c r="M9" s="35" t="inlineStr">
        <is>
          <t>AMEX</t>
        </is>
      </c>
      <c r="N9" s="36" t="n"/>
      <c r="O9" s="33">
        <f>N9*0.0195</f>
        <v/>
      </c>
      <c r="P9" s="46" t="n"/>
      <c r="Q9" s="31" t="inlineStr">
        <is>
          <t>AMEX</t>
        </is>
      </c>
      <c r="R9" s="39" t="n"/>
      <c r="S9" s="40">
        <f>R9*0.0195</f>
        <v/>
      </c>
      <c r="T9" s="46" t="n"/>
      <c r="U9" s="41" t="inlineStr">
        <is>
          <t>AMEX</t>
        </is>
      </c>
      <c r="V9" s="42" t="n"/>
      <c r="W9" s="43">
        <f>V9*0.0195</f>
        <v/>
      </c>
      <c r="X9" s="49" t="n"/>
      <c r="Y9" s="31" t="inlineStr">
        <is>
          <t>AMEX</t>
        </is>
      </c>
      <c r="Z9" s="36" t="n"/>
      <c r="AA9" s="45">
        <f>Z9*0.0195</f>
        <v/>
      </c>
      <c r="AB9" s="46" t="n"/>
      <c r="AC9" s="46" t="n"/>
      <c r="AD9" s="41" t="inlineStr">
        <is>
          <t>AMEX</t>
        </is>
      </c>
      <c r="AE9" s="47" t="n"/>
      <c r="AF9" s="43">
        <f>AE9*0.0195</f>
        <v/>
      </c>
      <c r="AG9" s="48" t="n"/>
      <c r="AH9" s="46" t="n"/>
      <c r="AI9" s="31" t="inlineStr">
        <is>
          <t>AMEX</t>
        </is>
      </c>
      <c r="AJ9" s="39" t="n"/>
      <c r="AK9" s="40">
        <f>AJ9*0.0195</f>
        <v/>
      </c>
      <c r="AL9" s="46" t="n"/>
    </row>
    <row r="10" ht="27.75" customHeight="1" s="220">
      <c r="A10" s="31" t="inlineStr">
        <is>
          <t>BABYBONUS</t>
        </is>
      </c>
      <c r="B10" s="32" t="n"/>
      <c r="C10" s="33">
        <f>B10*0.008</f>
        <v/>
      </c>
      <c r="D10" s="34" t="n"/>
      <c r="E10" s="35" t="inlineStr">
        <is>
          <t>BABYBONUS</t>
        </is>
      </c>
      <c r="F10" s="50" t="n"/>
      <c r="G10" s="33">
        <f>F10*0.008</f>
        <v/>
      </c>
      <c r="H10" s="34" t="n"/>
      <c r="I10" s="35" t="inlineStr">
        <is>
          <t>BABYBONUS</t>
        </is>
      </c>
      <c r="J10" s="50" t="n"/>
      <c r="K10" s="33">
        <f>J10*0.008</f>
        <v/>
      </c>
      <c r="L10" s="34" t="n"/>
      <c r="M10" s="35" t="inlineStr">
        <is>
          <t>BABYBONUS</t>
        </is>
      </c>
      <c r="N10" s="36" t="n"/>
      <c r="O10" s="33">
        <f>N10*0.008</f>
        <v/>
      </c>
      <c r="P10" s="46" t="n"/>
      <c r="Q10" s="31" t="n"/>
      <c r="R10" s="39" t="n"/>
      <c r="S10" s="40" t="n"/>
      <c r="T10" s="46" t="n"/>
      <c r="U10" s="35" t="inlineStr">
        <is>
          <t>BABYBONUS</t>
        </is>
      </c>
      <c r="V10" s="51" t="n"/>
      <c r="W10" s="33">
        <f>V10*0.008</f>
        <v/>
      </c>
      <c r="X10" s="49" t="n"/>
      <c r="Y10" s="31" t="inlineStr">
        <is>
          <t>BABYBONUS</t>
        </is>
      </c>
      <c r="Z10" s="36" t="n"/>
      <c r="AA10" s="45">
        <f>Z10*0.008</f>
        <v/>
      </c>
      <c r="AB10" s="46" t="n"/>
      <c r="AC10" s="46" t="n"/>
      <c r="AD10" s="41" t="inlineStr">
        <is>
          <t>BABYBONUS</t>
        </is>
      </c>
      <c r="AE10" s="47" t="n"/>
      <c r="AF10" s="43">
        <f>AE10*0.008</f>
        <v/>
      </c>
      <c r="AG10" s="48" t="n"/>
      <c r="AH10" s="46" t="n"/>
      <c r="AI10" s="31" t="n"/>
      <c r="AJ10" s="39" t="n"/>
      <c r="AK10" s="40" t="n"/>
      <c r="AL10" s="46" t="n"/>
    </row>
    <row r="11" ht="27.75" customHeight="1" s="220">
      <c r="A11" s="31" t="inlineStr">
        <is>
          <t>CASH</t>
        </is>
      </c>
      <c r="B11" s="32" t="n"/>
      <c r="C11" s="33" t="n"/>
      <c r="D11" s="34" t="n"/>
      <c r="E11" s="35" t="inlineStr">
        <is>
          <t>CASH</t>
        </is>
      </c>
      <c r="F11" s="36" t="n"/>
      <c r="G11" s="33" t="n"/>
      <c r="H11" s="34" t="n"/>
      <c r="I11" s="35" t="inlineStr">
        <is>
          <t>CASH</t>
        </is>
      </c>
      <c r="J11" s="36" t="n"/>
      <c r="K11" s="33" t="n"/>
      <c r="L11" s="34" t="n"/>
      <c r="M11" s="35" t="inlineStr">
        <is>
          <t>CASH</t>
        </is>
      </c>
      <c r="N11" s="36" t="n"/>
      <c r="O11" s="33" t="n"/>
      <c r="P11" s="46" t="n"/>
      <c r="Q11" s="31" t="inlineStr">
        <is>
          <t>ALLIANCE</t>
        </is>
      </c>
      <c r="R11" s="39" t="n"/>
      <c r="S11" s="40">
        <f>R11*0.05*1.09</f>
        <v/>
      </c>
      <c r="T11" s="46" t="n"/>
      <c r="U11" s="35" t="inlineStr">
        <is>
          <t>CASH</t>
        </is>
      </c>
      <c r="V11" s="51" t="n"/>
      <c r="W11" s="33" t="n"/>
      <c r="X11" s="49" t="n"/>
      <c r="Y11" s="31" t="inlineStr">
        <is>
          <t>CASH</t>
        </is>
      </c>
      <c r="Z11" s="36" t="n"/>
      <c r="AA11" s="45" t="n"/>
      <c r="AB11" s="46" t="n"/>
      <c r="AC11" s="46" t="n"/>
      <c r="AD11" s="41" t="inlineStr">
        <is>
          <t>CASH</t>
        </is>
      </c>
      <c r="AE11" s="47" t="n"/>
      <c r="AF11" s="43" t="n"/>
      <c r="AG11" s="48" t="n"/>
      <c r="AH11" s="46" t="n"/>
      <c r="AI11" s="31" t="inlineStr">
        <is>
          <t>ALLIANCE</t>
        </is>
      </c>
      <c r="AJ11" s="39" t="n"/>
      <c r="AK11" s="40">
        <f>AJ11*0.05*1.09</f>
        <v/>
      </c>
      <c r="AL11" s="46" t="n"/>
    </row>
    <row r="12" ht="27.75" customHeight="1" s="220">
      <c r="A12" s="31" t="inlineStr">
        <is>
          <t>CASA VOUCHER</t>
        </is>
      </c>
      <c r="B12" s="32" t="n"/>
      <c r="C12" s="33" t="n"/>
      <c r="D12" s="34" t="n"/>
      <c r="E12" s="35" t="inlineStr">
        <is>
          <t>CASA VOUCHER</t>
        </is>
      </c>
      <c r="F12" s="36" t="n"/>
      <c r="G12" s="33" t="n"/>
      <c r="H12" s="34" t="n"/>
      <c r="I12" s="35" t="inlineStr">
        <is>
          <t>CASA VOUCHER</t>
        </is>
      </c>
      <c r="J12" s="36" t="n"/>
      <c r="K12" s="33" t="n"/>
      <c r="L12" s="34" t="n"/>
      <c r="M12" s="35" t="inlineStr">
        <is>
          <t>CASA VOUCHER</t>
        </is>
      </c>
      <c r="N12" s="36" t="n"/>
      <c r="O12" s="33" t="n"/>
      <c r="P12" s="46" t="n"/>
      <c r="Q12" s="31" t="inlineStr">
        <is>
          <t>CASH</t>
        </is>
      </c>
      <c r="R12" s="39" t="n"/>
      <c r="S12" s="40" t="n"/>
      <c r="T12" s="46" t="n"/>
      <c r="U12" s="35" t="inlineStr">
        <is>
          <t>CASA VOUCHER</t>
        </is>
      </c>
      <c r="V12" s="51" t="n"/>
      <c r="W12" s="33" t="n"/>
      <c r="X12" s="49" t="n"/>
      <c r="Y12" s="31" t="inlineStr">
        <is>
          <t>CASA VOUCHER</t>
        </is>
      </c>
      <c r="Z12" s="36" t="n"/>
      <c r="AA12" s="45" t="n"/>
      <c r="AB12" s="46" t="n"/>
      <c r="AC12" s="46" t="n"/>
      <c r="AD12" s="35" t="inlineStr">
        <is>
          <t>CASA VOUCHER</t>
        </is>
      </c>
      <c r="AE12" s="47" t="n"/>
      <c r="AF12" s="43" t="n"/>
      <c r="AG12" s="48" t="n"/>
      <c r="AH12" s="46" t="n"/>
      <c r="AI12" s="31" t="inlineStr">
        <is>
          <t>CASH</t>
        </is>
      </c>
      <c r="AJ12" s="39" t="n"/>
      <c r="AK12" s="40" t="n"/>
      <c r="AL12" s="46" t="n"/>
    </row>
    <row r="13" ht="27.75" customHeight="1" s="220">
      <c r="A13" s="52" t="inlineStr">
        <is>
          <t>CDC VOUCHER</t>
        </is>
      </c>
      <c r="B13" s="53" t="n"/>
      <c r="C13" s="54" t="n"/>
      <c r="D13" s="34" t="n"/>
      <c r="E13" s="35" t="inlineStr">
        <is>
          <t>CDC VOUCHER</t>
        </is>
      </c>
      <c r="F13" s="36" t="n"/>
      <c r="G13" s="33" t="n"/>
      <c r="H13" s="34" t="n"/>
      <c r="I13" s="35" t="inlineStr">
        <is>
          <t>CDC VOUCHER</t>
        </is>
      </c>
      <c r="J13" s="36" t="n"/>
      <c r="K13" s="33" t="n"/>
      <c r="L13" s="34" t="n"/>
      <c r="M13" s="35" t="inlineStr">
        <is>
          <t>CDC VOUCHER</t>
        </is>
      </c>
      <c r="N13" s="36" t="n"/>
      <c r="O13" s="33" t="n"/>
      <c r="P13" s="46" t="n"/>
      <c r="Q13" s="31" t="inlineStr">
        <is>
          <t>CASA VOUCHER</t>
        </is>
      </c>
      <c r="R13" s="39" t="n"/>
      <c r="S13" s="40" t="n"/>
      <c r="T13" s="46" t="n"/>
      <c r="U13" s="35" t="inlineStr">
        <is>
          <t>CDC VOUCHER</t>
        </is>
      </c>
      <c r="V13" s="51" t="n"/>
      <c r="W13" s="33" t="n"/>
      <c r="X13" s="49" t="n"/>
      <c r="Y13" s="52" t="inlineStr">
        <is>
          <t>CDC VOUCHER</t>
        </is>
      </c>
      <c r="Z13" s="55" t="n"/>
      <c r="AA13" s="56" t="n"/>
      <c r="AB13" s="46" t="n"/>
      <c r="AC13" s="46" t="n"/>
      <c r="AD13" s="57" t="inlineStr">
        <is>
          <t>CDC VOUCHER</t>
        </is>
      </c>
      <c r="AE13" s="58" t="n"/>
      <c r="AF13" s="59" t="n"/>
      <c r="AG13" s="48" t="n"/>
      <c r="AH13" s="46" t="n"/>
      <c r="AI13" s="31" t="inlineStr">
        <is>
          <t>CASA VOUCHER</t>
        </is>
      </c>
      <c r="AJ13" s="39" t="n"/>
      <c r="AK13" s="40" t="n"/>
      <c r="AL13" s="46" t="n"/>
    </row>
    <row r="14" ht="27.75" customHeight="1" s="220">
      <c r="A14" s="31" t="inlineStr">
        <is>
          <t>CHAS</t>
        </is>
      </c>
      <c r="B14" s="32" t="n"/>
      <c r="C14" s="33" t="n"/>
      <c r="D14" s="34" t="n"/>
      <c r="E14" s="35" t="inlineStr">
        <is>
          <t>CHAS</t>
        </is>
      </c>
      <c r="F14" s="36" t="n"/>
      <c r="G14" s="33" t="n"/>
      <c r="H14" s="34" t="n"/>
      <c r="I14" s="35" t="inlineStr">
        <is>
          <t>CHAS</t>
        </is>
      </c>
      <c r="J14" s="36" t="n"/>
      <c r="K14" s="33" t="n"/>
      <c r="L14" s="34" t="n"/>
      <c r="M14" s="35" t="inlineStr">
        <is>
          <t>CHAS</t>
        </is>
      </c>
      <c r="N14" s="36" t="n"/>
      <c r="O14" s="33" t="n"/>
      <c r="P14" s="46" t="n"/>
      <c r="Q14" s="31" t="n"/>
      <c r="R14" s="39" t="n"/>
      <c r="S14" s="40" t="n"/>
      <c r="T14" s="46" t="n"/>
      <c r="U14" s="35" t="inlineStr">
        <is>
          <t>CHAS</t>
        </is>
      </c>
      <c r="V14" s="51" t="n"/>
      <c r="W14" s="33" t="n"/>
      <c r="X14" s="49" t="n"/>
      <c r="Y14" s="31" t="inlineStr">
        <is>
          <t>CHAS</t>
        </is>
      </c>
      <c r="Z14" s="36" t="n"/>
      <c r="AA14" s="45" t="n"/>
      <c r="AB14" s="46" t="n"/>
      <c r="AC14" s="46" t="n"/>
      <c r="AD14" s="35" t="inlineStr">
        <is>
          <t>CHAS</t>
        </is>
      </c>
      <c r="AE14" s="47" t="n"/>
      <c r="AF14" s="43" t="n"/>
      <c r="AG14" s="48" t="n"/>
      <c r="AH14" s="46" t="n"/>
      <c r="AI14" s="31" t="n"/>
      <c r="AJ14" s="39" t="n"/>
      <c r="AK14" s="40" t="n"/>
      <c r="AL14" s="46" t="n"/>
    </row>
    <row r="15" ht="27.75" customHeight="1" s="220">
      <c r="A15" s="31" t="inlineStr">
        <is>
          <t>CYNERGY</t>
        </is>
      </c>
      <c r="B15" s="32" t="n"/>
      <c r="C15" s="33" t="n"/>
      <c r="D15" s="34" t="n"/>
      <c r="E15" s="35" t="inlineStr">
        <is>
          <t>CYNERGY</t>
        </is>
      </c>
      <c r="F15" s="36" t="n"/>
      <c r="G15" s="33" t="n"/>
      <c r="H15" s="34" t="n"/>
      <c r="I15" s="35" t="inlineStr">
        <is>
          <t>CYNERGY</t>
        </is>
      </c>
      <c r="J15" s="36" t="n"/>
      <c r="K15" s="33" t="n"/>
      <c r="L15" s="34" t="n"/>
      <c r="M15" s="35" t="inlineStr">
        <is>
          <t>CYNERGY</t>
        </is>
      </c>
      <c r="N15" s="36" t="n"/>
      <c r="O15" s="33" t="n"/>
      <c r="P15" s="46" t="n"/>
      <c r="Q15" s="31" t="n"/>
      <c r="R15" s="39" t="n"/>
      <c r="S15" s="40" t="n"/>
      <c r="T15" s="46" t="n"/>
      <c r="U15" s="35" t="inlineStr">
        <is>
          <t>CYNERGY</t>
        </is>
      </c>
      <c r="V15" s="51" t="n"/>
      <c r="W15" s="33" t="n"/>
      <c r="X15" s="49" t="n"/>
      <c r="Y15" s="31" t="inlineStr">
        <is>
          <t>CYNERGY</t>
        </is>
      </c>
      <c r="Z15" s="36" t="n"/>
      <c r="AA15" s="45" t="n"/>
      <c r="AB15" s="46" t="n"/>
      <c r="AC15" s="46" t="n"/>
      <c r="AD15" s="35" t="inlineStr">
        <is>
          <t>CYNERGY</t>
        </is>
      </c>
      <c r="AE15" s="47" t="n"/>
      <c r="AF15" s="43" t="n"/>
      <c r="AG15" s="48" t="n"/>
      <c r="AH15" s="46" t="n"/>
      <c r="AI15" s="31" t="n"/>
      <c r="AJ15" s="39" t="n"/>
      <c r="AK15" s="40" t="n"/>
      <c r="AL15" s="46" t="n"/>
    </row>
    <row r="16" ht="27.75" customHeight="1" s="220">
      <c r="A16" s="35" t="inlineStr">
        <is>
          <t>DA ADEPT HEALTH</t>
        </is>
      </c>
      <c r="B16" s="50" t="n"/>
      <c r="C16" s="33">
        <f>B16*8%</f>
        <v/>
      </c>
      <c r="D16" s="34" t="n"/>
      <c r="E16" s="35" t="inlineStr">
        <is>
          <t>DA ADEPT HEALTH</t>
        </is>
      </c>
      <c r="F16" s="36" t="n"/>
      <c r="G16" s="33">
        <f>F16*8%</f>
        <v/>
      </c>
      <c r="H16" s="34" t="n"/>
      <c r="I16" s="35" t="inlineStr">
        <is>
          <t>DA ADEPT HEALTH</t>
        </is>
      </c>
      <c r="J16" s="36" t="n"/>
      <c r="K16" s="33">
        <f>J16*8%</f>
        <v/>
      </c>
      <c r="L16" s="34" t="n"/>
      <c r="M16" s="35" t="inlineStr">
        <is>
          <t>DA ADEPT HEALTH</t>
        </is>
      </c>
      <c r="N16" s="36" t="n"/>
      <c r="O16" s="33">
        <f>N16*8%</f>
        <v/>
      </c>
      <c r="P16" s="46" t="n"/>
      <c r="Q16" s="31" t="n"/>
      <c r="R16" s="39" t="n"/>
      <c r="S16" s="40" t="n"/>
      <c r="T16" s="46" t="n"/>
      <c r="U16" s="35" t="inlineStr">
        <is>
          <t>DA ADEPT HEALTH</t>
        </is>
      </c>
      <c r="V16" s="51" t="n"/>
      <c r="W16" s="33">
        <f>V16*8%</f>
        <v/>
      </c>
      <c r="X16" s="49" t="n"/>
      <c r="Y16" s="52" t="inlineStr">
        <is>
          <t>DA ADEPT HEALTH</t>
        </is>
      </c>
      <c r="Z16" s="55" t="n"/>
      <c r="AA16" s="56">
        <f>Z16*8%</f>
        <v/>
      </c>
      <c r="AB16" s="46" t="n"/>
      <c r="AC16" s="46" t="n"/>
      <c r="AD16" s="57" t="inlineStr">
        <is>
          <t>DA ADEPT HEALTH</t>
        </is>
      </c>
      <c r="AE16" s="58" t="n"/>
      <c r="AF16" s="59">
        <f>AE16*8%</f>
        <v/>
      </c>
      <c r="AG16" s="48" t="n"/>
      <c r="AH16" s="46" t="n"/>
      <c r="AI16" s="31" t="n"/>
      <c r="AJ16" s="39" t="n"/>
      <c r="AK16" s="40" t="n"/>
      <c r="AL16" s="46" t="n"/>
    </row>
    <row r="17" ht="27.75" customHeight="1" s="220">
      <c r="A17" s="60" t="inlineStr">
        <is>
          <t>DEPOSIT</t>
        </is>
      </c>
      <c r="B17" s="32" t="n"/>
      <c r="C17" s="33">
        <f>G17+K17+O17+O17+S17+W17+AA17+AF17</f>
        <v/>
      </c>
      <c r="D17" s="34" t="n"/>
      <c r="E17" s="61" t="inlineStr">
        <is>
          <t>DEPOSIT</t>
        </is>
      </c>
      <c r="F17" s="36" t="n"/>
      <c r="G17" s="33" t="n"/>
      <c r="H17" s="34" t="n"/>
      <c r="I17" s="61" t="inlineStr">
        <is>
          <t>DEPOSIT</t>
        </is>
      </c>
      <c r="J17" s="36" t="n"/>
      <c r="K17" s="33" t="n"/>
      <c r="L17" s="34" t="n"/>
      <c r="M17" s="61" t="inlineStr">
        <is>
          <t>DEPOSIT</t>
        </is>
      </c>
      <c r="N17" s="36" t="n"/>
      <c r="O17" s="33" t="n"/>
      <c r="P17" s="46" t="n"/>
      <c r="Q17" s="31" t="inlineStr">
        <is>
          <t>DEPOSIT</t>
        </is>
      </c>
      <c r="R17" s="39" t="n"/>
      <c r="S17" s="40" t="n">
        <v>0</v>
      </c>
      <c r="T17" s="46" t="n"/>
      <c r="U17" s="61" t="inlineStr">
        <is>
          <t>DEPOSIT</t>
        </is>
      </c>
      <c r="V17" s="51" t="n"/>
      <c r="W17" s="33" t="n"/>
      <c r="X17" s="49" t="n"/>
      <c r="Y17" s="60" t="inlineStr">
        <is>
          <t>DEPOSIT</t>
        </is>
      </c>
      <c r="Z17" s="36" t="n"/>
      <c r="AA17" s="45" t="n"/>
      <c r="AB17" s="46" t="n"/>
      <c r="AC17" s="46" t="n"/>
      <c r="AD17" s="61" t="inlineStr">
        <is>
          <t>DEPOSIT</t>
        </is>
      </c>
      <c r="AE17" s="47" t="n"/>
      <c r="AF17" s="43" t="n"/>
      <c r="AG17" s="48" t="n"/>
      <c r="AH17" s="46" t="n"/>
      <c r="AI17" s="60" t="inlineStr">
        <is>
          <t>DEPOSIT</t>
        </is>
      </c>
      <c r="AJ17" s="39" t="n"/>
      <c r="AK17" s="40" t="n"/>
      <c r="AL17" s="46" t="n"/>
    </row>
    <row r="18" ht="27.75" customHeight="1" s="220">
      <c r="A18" s="31" t="inlineStr">
        <is>
          <t>IHP</t>
        </is>
      </c>
      <c r="B18" s="32" t="n"/>
      <c r="C18" s="33">
        <f>B18*0.051*1.09</f>
        <v/>
      </c>
      <c r="D18" s="34" t="n"/>
      <c r="E18" s="35" t="inlineStr">
        <is>
          <t>IHP</t>
        </is>
      </c>
      <c r="F18" s="36" t="n"/>
      <c r="G18" s="33">
        <f>F18*0.051*1.09</f>
        <v/>
      </c>
      <c r="H18" s="34" t="n"/>
      <c r="I18" s="35" t="inlineStr">
        <is>
          <t>IHP</t>
        </is>
      </c>
      <c r="J18" s="36" t="n"/>
      <c r="K18" s="33">
        <f>J18*0.051*1.09</f>
        <v/>
      </c>
      <c r="L18" s="34" t="n"/>
      <c r="M18" s="35" t="inlineStr">
        <is>
          <t>IHP</t>
        </is>
      </c>
      <c r="N18" s="36" t="n"/>
      <c r="O18" s="33">
        <f>N18*0.051*1.09</f>
        <v/>
      </c>
      <c r="P18" s="46" t="n"/>
      <c r="Q18" s="31" t="n"/>
      <c r="R18" s="39" t="n"/>
      <c r="S18" s="40" t="n"/>
      <c r="T18" s="46" t="n"/>
      <c r="U18" s="35" t="inlineStr">
        <is>
          <t>IHP</t>
        </is>
      </c>
      <c r="V18" s="51" t="n"/>
      <c r="W18" s="33">
        <f>V18*0.051*1.09</f>
        <v/>
      </c>
      <c r="X18" s="49" t="n"/>
      <c r="Y18" s="31" t="inlineStr">
        <is>
          <t>IHP</t>
        </is>
      </c>
      <c r="Z18" s="36" t="n"/>
      <c r="AA18" s="45">
        <f>Z18*0.051*1.09</f>
        <v/>
      </c>
      <c r="AB18" s="46" t="n"/>
      <c r="AC18" s="46" t="n"/>
      <c r="AD18" s="35" t="inlineStr">
        <is>
          <t>IHP</t>
        </is>
      </c>
      <c r="AE18" s="47" t="n"/>
      <c r="AF18" s="43">
        <f>AE18*0.051*1.09</f>
        <v/>
      </c>
      <c r="AG18" s="48" t="n"/>
      <c r="AH18" s="46" t="n"/>
      <c r="AI18" s="60" t="n"/>
      <c r="AJ18" s="39" t="n"/>
      <c r="AK18" s="40" t="n"/>
      <c r="AL18" s="46" t="n"/>
    </row>
    <row r="19" ht="27.75" customHeight="1" s="220">
      <c r="A19" s="31" t="inlineStr">
        <is>
          <t>JCB</t>
        </is>
      </c>
      <c r="B19" s="32" t="n"/>
      <c r="C19" s="33">
        <f>B19*0.15*1.09</f>
        <v/>
      </c>
      <c r="D19" s="34" t="n"/>
      <c r="E19" s="35" t="inlineStr">
        <is>
          <t>JCB</t>
        </is>
      </c>
      <c r="F19" s="50" t="n"/>
      <c r="G19" s="33">
        <f>F19*0.15*1.09</f>
        <v/>
      </c>
      <c r="H19" s="34" t="n"/>
      <c r="I19" s="35" t="inlineStr">
        <is>
          <t>JCB</t>
        </is>
      </c>
      <c r="J19" s="50" t="n"/>
      <c r="K19" s="33">
        <f>J19*0.15*1.09</f>
        <v/>
      </c>
      <c r="L19" s="34" t="n"/>
      <c r="M19" s="35" t="inlineStr">
        <is>
          <t>JCB</t>
        </is>
      </c>
      <c r="N19" s="50" t="n"/>
      <c r="O19" s="33">
        <f>N19*0.15*1.09</f>
        <v/>
      </c>
      <c r="P19" s="46" t="n"/>
      <c r="Q19" s="31" t="n"/>
      <c r="R19" s="39" t="n"/>
      <c r="S19" s="40" t="n"/>
      <c r="T19" s="46" t="n"/>
      <c r="U19" s="35" t="inlineStr">
        <is>
          <t>JCB</t>
        </is>
      </c>
      <c r="V19" s="50" t="n"/>
      <c r="W19" s="33">
        <f>V19*0.15*1.09</f>
        <v/>
      </c>
      <c r="X19" s="49" t="n"/>
      <c r="Y19" s="31" t="inlineStr">
        <is>
          <t>JCB</t>
        </is>
      </c>
      <c r="Z19" s="50" t="n"/>
      <c r="AA19" s="45">
        <f>Z19*0.15*1.09</f>
        <v/>
      </c>
      <c r="AB19" s="46" t="n"/>
      <c r="AC19" s="46" t="n"/>
      <c r="AD19" s="35" t="inlineStr">
        <is>
          <t>JCB</t>
        </is>
      </c>
      <c r="AE19" s="62" t="n"/>
      <c r="AF19" s="43">
        <f>AE19*0.15*1.09</f>
        <v/>
      </c>
      <c r="AG19" s="48" t="n"/>
      <c r="AH19" s="46" t="n"/>
      <c r="AI19" s="60" t="n"/>
      <c r="AJ19" s="39" t="n"/>
      <c r="AK19" s="40" t="n"/>
      <c r="AL19" s="46" t="n"/>
    </row>
    <row r="20" ht="27.75" customHeight="1" s="220">
      <c r="A20" s="31" t="inlineStr">
        <is>
          <t>MASTER</t>
        </is>
      </c>
      <c r="B20" s="32" t="n"/>
      <c r="C20" s="33">
        <f>B20*0.021</f>
        <v/>
      </c>
      <c r="D20" s="34" t="n"/>
      <c r="E20" s="35" t="inlineStr">
        <is>
          <t>MASTER</t>
        </is>
      </c>
      <c r="F20" s="36" t="n"/>
      <c r="G20" s="33">
        <f>F20*0.021</f>
        <v/>
      </c>
      <c r="H20" s="34" t="n"/>
      <c r="I20" s="35" t="inlineStr">
        <is>
          <t>MASTER</t>
        </is>
      </c>
      <c r="J20" s="36" t="n"/>
      <c r="K20" s="33">
        <f>J20*0.021</f>
        <v/>
      </c>
      <c r="L20" s="34" t="n"/>
      <c r="M20" s="35" t="inlineStr">
        <is>
          <t>MASTER</t>
        </is>
      </c>
      <c r="N20" s="36" t="n"/>
      <c r="O20" s="33">
        <f>N20*0.021</f>
        <v/>
      </c>
      <c r="P20" s="46" t="n"/>
      <c r="Q20" s="31" t="n"/>
      <c r="R20" s="39" t="n"/>
      <c r="S20" s="40" t="n"/>
      <c r="T20" s="46" t="n"/>
      <c r="U20" s="35" t="inlineStr">
        <is>
          <t>MASTER</t>
        </is>
      </c>
      <c r="V20" s="51" t="n"/>
      <c r="W20" s="33">
        <f>V20*0.021</f>
        <v/>
      </c>
      <c r="X20" s="49" t="n"/>
      <c r="Y20" s="31" t="inlineStr">
        <is>
          <t>MASTER</t>
        </is>
      </c>
      <c r="Z20" s="36" t="n"/>
      <c r="AA20" s="45">
        <f>Z20*0.021</f>
        <v/>
      </c>
      <c r="AB20" s="46" t="n"/>
      <c r="AC20" s="46" t="n"/>
      <c r="AD20" s="35" t="inlineStr">
        <is>
          <t>MASTER</t>
        </is>
      </c>
      <c r="AE20" s="47" t="n"/>
      <c r="AF20" s="43">
        <f>AE20*0.021</f>
        <v/>
      </c>
      <c r="AG20" s="48" t="n"/>
      <c r="AH20" s="46" t="n"/>
      <c r="AI20" s="60" t="n"/>
      <c r="AJ20" s="39" t="n"/>
      <c r="AK20" s="40" t="n"/>
      <c r="AL20" s="46" t="n"/>
    </row>
    <row r="21" ht="27.75" customHeight="1" s="220">
      <c r="A21" s="31" t="inlineStr">
        <is>
          <t>MEDISAVE</t>
        </is>
      </c>
      <c r="B21" s="32" t="n"/>
      <c r="C21" s="33" t="n"/>
      <c r="D21" s="34" t="n"/>
      <c r="E21" s="35" t="inlineStr">
        <is>
          <t>MEDISAVE</t>
        </is>
      </c>
      <c r="F21" s="36" t="n"/>
      <c r="G21" s="33" t="n"/>
      <c r="H21" s="34" t="n"/>
      <c r="I21" s="35" t="inlineStr">
        <is>
          <t>MEDISAVE</t>
        </is>
      </c>
      <c r="J21" s="36" t="n"/>
      <c r="K21" s="33" t="n"/>
      <c r="L21" s="34" t="n"/>
      <c r="M21" s="35" t="inlineStr">
        <is>
          <t>MEDISAVE</t>
        </is>
      </c>
      <c r="N21" s="36" t="n"/>
      <c r="O21" s="33" t="n"/>
      <c r="P21" s="46" t="n"/>
      <c r="Q21" s="31" t="n"/>
      <c r="R21" s="39" t="n"/>
      <c r="S21" s="40" t="n"/>
      <c r="T21" s="46" t="n"/>
      <c r="U21" s="35" t="inlineStr">
        <is>
          <t>MEDISAVE</t>
        </is>
      </c>
      <c r="V21" s="51" t="n"/>
      <c r="W21" s="33" t="n"/>
      <c r="X21" s="49" t="n"/>
      <c r="Y21" s="31" t="inlineStr">
        <is>
          <t>MEDISAVE</t>
        </is>
      </c>
      <c r="Z21" s="36" t="n"/>
      <c r="AA21" s="45" t="n"/>
      <c r="AB21" s="46" t="n"/>
      <c r="AC21" s="46" t="n"/>
      <c r="AD21" s="35" t="inlineStr">
        <is>
          <t>MEDISAVE</t>
        </is>
      </c>
      <c r="AE21" s="47" t="n"/>
      <c r="AF21" s="43" t="n"/>
      <c r="AG21" s="48" t="n"/>
      <c r="AH21" s="46" t="n"/>
      <c r="AI21" s="60" t="n"/>
      <c r="AJ21" s="39" t="n"/>
      <c r="AK21" s="40" t="n"/>
      <c r="AL21" s="46" t="n"/>
    </row>
    <row r="22" ht="27.75" customHeight="1" s="220">
      <c r="A22" s="52" t="inlineStr">
        <is>
          <t>mednefits</t>
        </is>
      </c>
      <c r="B22" s="53" t="n"/>
      <c r="C22" s="54">
        <f>B22*20%</f>
        <v/>
      </c>
      <c r="D22" s="34" t="n"/>
      <c r="E22" s="35" t="inlineStr">
        <is>
          <t>mednefits</t>
        </is>
      </c>
      <c r="F22" s="50" t="n"/>
      <c r="G22" s="33">
        <f>F22*20%</f>
        <v/>
      </c>
      <c r="H22" s="34" t="n"/>
      <c r="I22" s="35" t="inlineStr">
        <is>
          <t>mednefits</t>
        </is>
      </c>
      <c r="J22" s="50" t="n"/>
      <c r="K22" s="33">
        <f>J22*20%</f>
        <v/>
      </c>
      <c r="L22" s="34" t="n"/>
      <c r="M22" s="35" t="inlineStr">
        <is>
          <t>mednefits</t>
        </is>
      </c>
      <c r="N22" s="36" t="n"/>
      <c r="O22" s="33">
        <f>N22*20%</f>
        <v/>
      </c>
      <c r="P22" s="46" t="n"/>
      <c r="Q22" s="31" t="n"/>
      <c r="R22" s="39" t="n"/>
      <c r="S22" s="40" t="n"/>
      <c r="T22" s="46" t="n"/>
      <c r="U22" s="35" t="inlineStr">
        <is>
          <t>mednefits</t>
        </is>
      </c>
      <c r="V22" s="51" t="n"/>
      <c r="W22" s="33">
        <f>V22*20%</f>
        <v/>
      </c>
      <c r="X22" s="49" t="n"/>
      <c r="Y22" s="52" t="inlineStr">
        <is>
          <t>mednefits</t>
        </is>
      </c>
      <c r="Z22" s="55" t="n"/>
      <c r="AA22" s="56">
        <f>Z22*20%</f>
        <v/>
      </c>
      <c r="AB22" s="46" t="n"/>
      <c r="AC22" s="46" t="n"/>
      <c r="AD22" s="57" t="inlineStr">
        <is>
          <t>mednefits</t>
        </is>
      </c>
      <c r="AE22" s="58" t="n"/>
      <c r="AF22" s="59">
        <f>AE22*20%</f>
        <v/>
      </c>
      <c r="AG22" s="48" t="n"/>
      <c r="AH22" s="46" t="n"/>
      <c r="AI22" s="60" t="n"/>
      <c r="AJ22" s="39" t="n"/>
      <c r="AK22" s="40" t="n"/>
      <c r="AL22" s="46" t="n"/>
    </row>
    <row r="23" ht="27.75" customHeight="1" s="220">
      <c r="A23" s="35" t="inlineStr">
        <is>
          <t>MHC</t>
        </is>
      </c>
      <c r="B23" s="50" t="n"/>
      <c r="C23" s="33">
        <f>B23*0.15*1.09</f>
        <v/>
      </c>
      <c r="D23" s="34" t="n"/>
      <c r="E23" s="35" t="inlineStr">
        <is>
          <t>MHC</t>
        </is>
      </c>
      <c r="F23" s="36" t="n"/>
      <c r="G23" s="33">
        <f>F23*0.15*1.09</f>
        <v/>
      </c>
      <c r="H23" s="34" t="n"/>
      <c r="I23" s="35" t="inlineStr">
        <is>
          <t>MHC</t>
        </is>
      </c>
      <c r="J23" s="36" t="n"/>
      <c r="K23" s="33">
        <f>J23*0.15*1.09</f>
        <v/>
      </c>
      <c r="L23" s="34" t="n"/>
      <c r="M23" s="35" t="inlineStr">
        <is>
          <t>MHC</t>
        </is>
      </c>
      <c r="N23" s="36" t="n"/>
      <c r="O23" s="33">
        <f>N23*0.15*1.09</f>
        <v/>
      </c>
      <c r="P23" s="46" t="n"/>
      <c r="Q23" s="31" t="n"/>
      <c r="R23" s="39" t="n"/>
      <c r="S23" s="40" t="n"/>
      <c r="T23" s="46" t="n"/>
      <c r="U23" s="35" t="inlineStr">
        <is>
          <t>MHC</t>
        </is>
      </c>
      <c r="V23" s="51" t="n"/>
      <c r="W23" s="33">
        <f>V23*0.15*1.09</f>
        <v/>
      </c>
      <c r="X23" s="48" t="n"/>
      <c r="Y23" s="35" t="inlineStr">
        <is>
          <t>MHC</t>
        </is>
      </c>
      <c r="Z23" s="36" t="n"/>
      <c r="AA23" s="33">
        <f>Z23*0.15*1.09</f>
        <v/>
      </c>
      <c r="AB23" s="46" t="n"/>
      <c r="AC23" s="46" t="n"/>
      <c r="AD23" s="35" t="inlineStr">
        <is>
          <t>MHC</t>
        </is>
      </c>
      <c r="AE23" s="36" t="n"/>
      <c r="AF23" s="33">
        <f>AE23*0.15*1.09</f>
        <v/>
      </c>
      <c r="AG23" s="48" t="n"/>
      <c r="AH23" s="46" t="n"/>
      <c r="AI23" s="60" t="n"/>
      <c r="AJ23" s="39" t="n"/>
      <c r="AK23" s="40" t="n"/>
      <c r="AL23" s="46" t="n"/>
    </row>
    <row r="24" ht="27.75" customHeight="1" s="220">
      <c r="A24" s="31" t="inlineStr">
        <is>
          <t>NETS</t>
        </is>
      </c>
      <c r="B24" s="32" t="n"/>
      <c r="C24" s="33">
        <f>B24*0.008</f>
        <v/>
      </c>
      <c r="D24" s="34" t="n"/>
      <c r="E24" s="35" t="inlineStr">
        <is>
          <t>NETS</t>
        </is>
      </c>
      <c r="F24" s="36" t="n"/>
      <c r="G24" s="33">
        <f>F24*0.008</f>
        <v/>
      </c>
      <c r="H24" s="34" t="n"/>
      <c r="I24" s="35" t="inlineStr">
        <is>
          <t>NETS</t>
        </is>
      </c>
      <c r="J24" s="36" t="n"/>
      <c r="K24" s="33">
        <f>J24*0.008</f>
        <v/>
      </c>
      <c r="L24" s="34" t="n"/>
      <c r="M24" s="35" t="inlineStr">
        <is>
          <t>NETS</t>
        </is>
      </c>
      <c r="N24" s="36" t="n"/>
      <c r="O24" s="33">
        <f>N24*0.008</f>
        <v/>
      </c>
      <c r="P24" s="46" t="n"/>
      <c r="Q24" s="31" t="n"/>
      <c r="R24" s="39" t="n"/>
      <c r="S24" s="40" t="n"/>
      <c r="T24" s="46" t="n"/>
      <c r="U24" s="35" t="inlineStr">
        <is>
          <t>NETS</t>
        </is>
      </c>
      <c r="V24" s="51" t="n"/>
      <c r="W24" s="33">
        <f>V24*0.008</f>
        <v/>
      </c>
      <c r="X24" s="48" t="n"/>
      <c r="Y24" s="35" t="inlineStr">
        <is>
          <t>NETS</t>
        </is>
      </c>
      <c r="Z24" s="36" t="n"/>
      <c r="AA24" s="33">
        <f>Z24*0.008</f>
        <v/>
      </c>
      <c r="AB24" s="46" t="n"/>
      <c r="AC24" s="46" t="n"/>
      <c r="AD24" s="35" t="inlineStr">
        <is>
          <t>NETS</t>
        </is>
      </c>
      <c r="AE24" s="36" t="n"/>
      <c r="AF24" s="33">
        <f>AE24*0.008</f>
        <v/>
      </c>
      <c r="AG24" s="48" t="n"/>
      <c r="AH24" s="46" t="n"/>
      <c r="AI24" s="60" t="n"/>
      <c r="AJ24" s="39" t="n"/>
      <c r="AK24" s="40" t="n"/>
      <c r="AL24" s="46" t="n"/>
    </row>
    <row r="25" ht="27.75" customHeight="1" s="220">
      <c r="A25" s="35" t="inlineStr">
        <is>
          <t>PARKWAY</t>
        </is>
      </c>
      <c r="B25" s="36" t="n"/>
      <c r="C25" s="33" t="n"/>
      <c r="D25" s="34" t="n"/>
      <c r="E25" s="35" t="inlineStr">
        <is>
          <t>PARKWAY</t>
        </is>
      </c>
      <c r="F25" s="36" t="n"/>
      <c r="G25" s="61">
        <f>F25*10%</f>
        <v/>
      </c>
      <c r="H25" s="34" t="n"/>
      <c r="I25" s="35" t="inlineStr">
        <is>
          <t>PARKWAY</t>
        </is>
      </c>
      <c r="J25" s="36" t="n"/>
      <c r="K25" s="61">
        <f>J25*10%</f>
        <v/>
      </c>
      <c r="L25" s="34" t="n"/>
      <c r="M25" s="35" t="inlineStr">
        <is>
          <t>PARKWAY</t>
        </is>
      </c>
      <c r="N25" s="36" t="n"/>
      <c r="O25" s="61">
        <f>N25*10%</f>
        <v/>
      </c>
      <c r="P25" s="46" t="n"/>
      <c r="Q25" s="31" t="n"/>
      <c r="R25" s="39" t="n"/>
      <c r="S25" s="40" t="n"/>
      <c r="T25" s="46" t="n"/>
      <c r="U25" s="35" t="inlineStr">
        <is>
          <t>PARKWAY</t>
        </is>
      </c>
      <c r="V25" s="36" t="n"/>
      <c r="W25" s="61">
        <f>V25*10%</f>
        <v/>
      </c>
      <c r="X25" s="48" t="n"/>
      <c r="Y25" s="35" t="inlineStr">
        <is>
          <t>PARKWAY</t>
        </is>
      </c>
      <c r="Z25" s="36" t="n"/>
      <c r="AA25" s="33">
        <f>Z25*10%</f>
        <v/>
      </c>
      <c r="AB25" s="46" t="n"/>
      <c r="AC25" s="46" t="n"/>
      <c r="AD25" s="35" t="inlineStr">
        <is>
          <t>PARKWAY</t>
        </is>
      </c>
      <c r="AE25" s="36" t="n"/>
      <c r="AF25" s="33">
        <f>AE25*10%</f>
        <v/>
      </c>
      <c r="AG25" s="48" t="n"/>
      <c r="AH25" s="46" t="n"/>
      <c r="AI25" s="60" t="n"/>
      <c r="AJ25" s="39" t="n"/>
      <c r="AK25" s="40" t="n"/>
      <c r="AL25" s="46" t="n"/>
    </row>
    <row r="26" ht="27.75" customHeight="1" s="220">
      <c r="A26" s="31" t="inlineStr">
        <is>
          <t>PAYNOW</t>
        </is>
      </c>
      <c r="B26" s="50" t="n"/>
      <c r="D26" s="34" t="n"/>
      <c r="E26" s="35" t="inlineStr">
        <is>
          <t>PAYNOW</t>
        </is>
      </c>
      <c r="F26" s="36" t="n"/>
      <c r="G26" s="33" t="n"/>
      <c r="H26" s="34" t="n"/>
      <c r="I26" s="35" t="inlineStr">
        <is>
          <t>PAYNOW</t>
        </is>
      </c>
      <c r="J26" s="36" t="n"/>
      <c r="K26" s="33" t="n"/>
      <c r="L26" s="34" t="n"/>
      <c r="M26" s="35" t="inlineStr">
        <is>
          <t>PAYNOW</t>
        </is>
      </c>
      <c r="N26" s="36" t="n"/>
      <c r="O26" s="33" t="n"/>
      <c r="P26" s="46" t="n"/>
      <c r="Q26" s="31" t="n"/>
      <c r="R26" s="39" t="n"/>
      <c r="S26" s="40" t="n"/>
      <c r="T26" s="46" t="n"/>
      <c r="U26" s="35" t="inlineStr">
        <is>
          <t>PAYNOW</t>
        </is>
      </c>
      <c r="V26" s="50" t="n"/>
      <c r="W26" s="33" t="n"/>
      <c r="X26" s="48" t="n"/>
      <c r="Y26" s="35" t="inlineStr">
        <is>
          <t>PAYNOW</t>
        </is>
      </c>
      <c r="Z26" s="36" t="n"/>
      <c r="AA26" s="33" t="n"/>
      <c r="AB26" s="46" t="n"/>
      <c r="AC26" s="46" t="n"/>
      <c r="AD26" s="35" t="inlineStr">
        <is>
          <t>PAYNOW</t>
        </is>
      </c>
      <c r="AE26" s="36" t="n"/>
      <c r="AF26" s="33" t="n"/>
      <c r="AG26" s="48" t="n"/>
      <c r="AH26" s="46" t="n"/>
      <c r="AI26" s="60" t="n"/>
      <c r="AJ26" s="39" t="n"/>
      <c r="AK26" s="40" t="n"/>
      <c r="AL26" s="46" t="n"/>
    </row>
    <row r="27" ht="27.75" customHeight="1" s="220">
      <c r="A27" s="63" t="inlineStr">
        <is>
          <t>RHI</t>
        </is>
      </c>
      <c r="B27" s="64" t="n"/>
      <c r="C27" s="65" t="n"/>
      <c r="D27" s="34" t="n"/>
      <c r="E27" s="35" t="inlineStr">
        <is>
          <t>RHI</t>
        </is>
      </c>
      <c r="F27" s="36" t="n"/>
      <c r="G27" s="33" t="n"/>
      <c r="H27" s="34" t="n"/>
      <c r="I27" s="35" t="inlineStr">
        <is>
          <t>RHI</t>
        </is>
      </c>
      <c r="J27" s="36" t="n"/>
      <c r="K27" s="33" t="n"/>
      <c r="L27" s="34" t="n"/>
      <c r="M27" s="35" t="inlineStr">
        <is>
          <t>RHI</t>
        </is>
      </c>
      <c r="N27" s="36" t="n"/>
      <c r="O27" s="33" t="n"/>
      <c r="P27" s="46" t="n"/>
      <c r="Q27" s="31" t="n"/>
      <c r="R27" s="39" t="n"/>
      <c r="S27" s="40" t="n"/>
      <c r="T27" s="46" t="n"/>
      <c r="U27" s="35" t="inlineStr">
        <is>
          <t>RHI</t>
        </is>
      </c>
      <c r="V27" s="51" t="n"/>
      <c r="W27" s="33" t="n"/>
      <c r="X27" s="48" t="n"/>
      <c r="Y27" s="35" t="inlineStr">
        <is>
          <t>RHI</t>
        </is>
      </c>
      <c r="Z27" s="36" t="n"/>
      <c r="AA27" s="33" t="n"/>
      <c r="AB27" s="46" t="n"/>
      <c r="AC27" s="46" t="n"/>
      <c r="AD27" s="35" t="inlineStr">
        <is>
          <t>RHI</t>
        </is>
      </c>
      <c r="AE27" s="36" t="n"/>
      <c r="AF27" s="33" t="n"/>
      <c r="AG27" s="48" t="n"/>
      <c r="AH27" s="46" t="n"/>
      <c r="AI27" s="60" t="n"/>
      <c r="AJ27" s="39" t="n"/>
      <c r="AK27" s="40" t="n"/>
      <c r="AL27" s="46" t="n"/>
    </row>
    <row r="28" ht="27.75" customHeight="1" s="220">
      <c r="A28" s="35" t="inlineStr">
        <is>
          <t>SAH</t>
        </is>
      </c>
      <c r="B28" s="36" t="n"/>
      <c r="C28" s="61">
        <f>B28*8%</f>
        <v/>
      </c>
      <c r="D28" s="34" t="n"/>
      <c r="E28" s="35" t="inlineStr">
        <is>
          <t>SAH</t>
        </is>
      </c>
      <c r="F28" s="36" t="n"/>
      <c r="G28" s="61">
        <f>F28*8%</f>
        <v/>
      </c>
      <c r="H28" s="34" t="n"/>
      <c r="I28" s="35" t="inlineStr">
        <is>
          <t>SAH</t>
        </is>
      </c>
      <c r="J28" s="36" t="n"/>
      <c r="K28" s="61">
        <f>J28*8%</f>
        <v/>
      </c>
      <c r="L28" s="34" t="n"/>
      <c r="M28" s="35" t="inlineStr">
        <is>
          <t>SAH</t>
        </is>
      </c>
      <c r="N28" s="36" t="n"/>
      <c r="O28" s="61">
        <f>N28*8%</f>
        <v/>
      </c>
      <c r="P28" s="46" t="n"/>
      <c r="Q28" s="31" t="n"/>
      <c r="R28" s="39" t="n"/>
      <c r="S28" s="40" t="n"/>
      <c r="T28" s="46" t="n"/>
      <c r="U28" s="35" t="inlineStr">
        <is>
          <t>SAH</t>
        </is>
      </c>
      <c r="V28" s="36" t="n"/>
      <c r="W28" s="61">
        <f>V28*8%</f>
        <v/>
      </c>
      <c r="X28" s="48" t="n"/>
      <c r="Y28" s="35" t="inlineStr">
        <is>
          <t>SAH</t>
        </is>
      </c>
      <c r="Z28" s="36" t="n"/>
      <c r="AA28" s="61">
        <f>Z28*8%</f>
        <v/>
      </c>
      <c r="AB28" s="46" t="n"/>
      <c r="AC28" s="46" t="n"/>
      <c r="AD28" s="35" t="inlineStr">
        <is>
          <t>SAH</t>
        </is>
      </c>
      <c r="AE28" s="36" t="n"/>
      <c r="AF28" s="61">
        <f>AE28*8%</f>
        <v/>
      </c>
      <c r="AG28" s="48" t="n"/>
      <c r="AH28" s="46" t="n"/>
      <c r="AI28" s="60" t="n"/>
      <c r="AJ28" s="39" t="n"/>
      <c r="AK28" s="40" t="n"/>
      <c r="AL28" s="46" t="n"/>
    </row>
    <row r="29" ht="27.75" customHeight="1" s="220">
      <c r="A29" s="52" t="inlineStr">
        <is>
          <t>UNION PAY</t>
        </is>
      </c>
      <c r="B29" s="53" t="n"/>
      <c r="C29" s="54">
        <f>B29*2.5%</f>
        <v/>
      </c>
      <c r="D29" s="34" t="n"/>
      <c r="E29" s="35" t="inlineStr">
        <is>
          <t>UNION PAY</t>
        </is>
      </c>
      <c r="F29" s="36" t="n"/>
      <c r="G29" s="33">
        <f>F29*2.5%</f>
        <v/>
      </c>
      <c r="H29" s="34" t="n"/>
      <c r="I29" s="35" t="inlineStr">
        <is>
          <t>UNION PAY</t>
        </is>
      </c>
      <c r="J29" s="36" t="n"/>
      <c r="K29" s="33">
        <f>J29*2.5%</f>
        <v/>
      </c>
      <c r="L29" s="34" t="n"/>
      <c r="M29" s="35" t="inlineStr">
        <is>
          <t>UNION PAY</t>
        </is>
      </c>
      <c r="N29" s="36" t="n"/>
      <c r="O29" s="33">
        <f>N29*2.5%</f>
        <v/>
      </c>
      <c r="P29" s="46" t="n"/>
      <c r="Q29" s="31" t="n"/>
      <c r="R29" s="39" t="n"/>
      <c r="S29" s="40" t="n"/>
      <c r="T29" s="46" t="n"/>
      <c r="U29" s="35" t="inlineStr">
        <is>
          <t>UNION PAY</t>
        </is>
      </c>
      <c r="V29" s="36" t="n"/>
      <c r="W29" s="33">
        <f>V29*2.5%</f>
        <v/>
      </c>
      <c r="X29" s="48" t="n"/>
      <c r="Y29" s="35" t="inlineStr">
        <is>
          <t>UNION PAY</t>
        </is>
      </c>
      <c r="Z29" s="36" t="n"/>
      <c r="AA29" s="33">
        <f>Z29*2.5%</f>
        <v/>
      </c>
      <c r="AB29" s="46" t="n"/>
      <c r="AC29" s="46" t="n"/>
      <c r="AD29" s="35" t="inlineStr">
        <is>
          <t>UNION PAY</t>
        </is>
      </c>
      <c r="AE29" s="36" t="n"/>
      <c r="AF29" s="33">
        <f>AE29*2.5%</f>
        <v/>
      </c>
      <c r="AG29" s="48" t="n"/>
      <c r="AH29" s="46" t="n"/>
      <c r="AI29" s="60" t="n"/>
      <c r="AJ29" s="39" t="n"/>
      <c r="AK29" s="40" t="n"/>
      <c r="AL29" s="46" t="n"/>
    </row>
    <row r="30" ht="28.5" customHeight="1" s="220">
      <c r="A30" s="66" t="inlineStr">
        <is>
          <t>VISA</t>
        </is>
      </c>
      <c r="B30" s="67" t="n"/>
      <c r="C30" s="68">
        <f>B30*0.021</f>
        <v/>
      </c>
      <c r="D30" s="34" t="n"/>
      <c r="E30" s="69" t="inlineStr">
        <is>
          <t>VISA</t>
        </is>
      </c>
      <c r="F30" s="70" t="n"/>
      <c r="G30" s="68">
        <f>F30*0.021</f>
        <v/>
      </c>
      <c r="H30" s="34" t="n"/>
      <c r="I30" s="69" t="inlineStr">
        <is>
          <t>VISA</t>
        </is>
      </c>
      <c r="J30" s="70" t="n"/>
      <c r="K30" s="68">
        <f>J30*0.021</f>
        <v/>
      </c>
      <c r="L30" s="34" t="n"/>
      <c r="M30" s="69" t="inlineStr">
        <is>
          <t>VISA</t>
        </is>
      </c>
      <c r="N30" s="70" t="n"/>
      <c r="O30" s="68">
        <f>N30*0.021</f>
        <v/>
      </c>
      <c r="P30" s="46" t="n"/>
      <c r="Q30" s="31" t="n"/>
      <c r="R30" s="39" t="n"/>
      <c r="S30" s="40" t="n"/>
      <c r="T30" s="46" t="n"/>
      <c r="U30" s="69" t="inlineStr">
        <is>
          <t>VISA</t>
        </is>
      </c>
      <c r="V30" s="71" t="n"/>
      <c r="W30" s="68">
        <f>V30*0.021</f>
        <v/>
      </c>
      <c r="X30" s="48" t="n"/>
      <c r="Y30" s="69" t="inlineStr">
        <is>
          <t>VISA</t>
        </is>
      </c>
      <c r="Z30" s="70" t="n"/>
      <c r="AA30" s="68">
        <f>Z30*0.021</f>
        <v/>
      </c>
      <c r="AB30" s="46" t="n"/>
      <c r="AC30" s="46" t="n"/>
      <c r="AD30" s="69" t="inlineStr">
        <is>
          <t>VISA</t>
        </is>
      </c>
      <c r="AE30" s="70" t="n"/>
      <c r="AF30" s="68">
        <f>AE30*0.021</f>
        <v/>
      </c>
      <c r="AG30" s="48" t="n"/>
      <c r="AH30" s="46" t="n"/>
      <c r="AI30" s="60" t="n"/>
      <c r="AJ30" s="39" t="n"/>
      <c r="AK30" s="40" t="n"/>
      <c r="AL30" s="46" t="n"/>
    </row>
    <row r="31" ht="32.25" customHeight="1" s="220">
      <c r="A31" s="72" t="inlineStr">
        <is>
          <t>TOTAL INCOME</t>
        </is>
      </c>
      <c r="B31" s="73">
        <f>SUM(B7:B30)</f>
        <v/>
      </c>
      <c r="C31" s="74">
        <f>SUM(C7:C30)</f>
        <v/>
      </c>
      <c r="D31" s="34" t="n"/>
      <c r="E31" s="75" t="inlineStr">
        <is>
          <t>DR TOTAL INCOME</t>
        </is>
      </c>
      <c r="F31" s="75">
        <f>SUM(F7:F30)</f>
        <v/>
      </c>
      <c r="G31" s="76">
        <f>SUM(G7:G30)</f>
        <v/>
      </c>
      <c r="H31" s="34" t="n"/>
      <c r="I31" s="77" t="inlineStr">
        <is>
          <t>DR TOTAL INCOME</t>
        </is>
      </c>
      <c r="J31" s="78">
        <f>SUM(J7:J30)</f>
        <v/>
      </c>
      <c r="K31" s="79">
        <f>SUM(K7:K30)</f>
        <v/>
      </c>
      <c r="L31" s="34" t="n"/>
      <c r="M31" s="77" t="inlineStr">
        <is>
          <t>DR TOTAL INCOME</t>
        </is>
      </c>
      <c r="N31" s="78">
        <f>SUM(N7:N30)</f>
        <v/>
      </c>
      <c r="O31" s="80">
        <f>SUM(O7:O30)</f>
        <v/>
      </c>
      <c r="P31" s="46" t="n"/>
      <c r="Q31" s="31" t="n"/>
      <c r="R31" s="39" t="n"/>
      <c r="S31" s="40" t="n"/>
      <c r="T31" s="46" t="n"/>
      <c r="U31" s="75" t="inlineStr">
        <is>
          <t>DR TOTAL INCOME</t>
        </is>
      </c>
      <c r="V31" s="81">
        <f>SUM(V7:V30)</f>
        <v/>
      </c>
      <c r="W31" s="82">
        <f>SUM(W7:W30)</f>
        <v/>
      </c>
      <c r="X31" s="49" t="n"/>
      <c r="Y31" s="77" t="inlineStr">
        <is>
          <t>DR TOTAL INCOME</t>
        </is>
      </c>
      <c r="Z31" s="83">
        <f>SUM(Z7:Z30)</f>
        <v/>
      </c>
      <c r="AA31" s="79">
        <f>SUM(AA7:AA30)</f>
        <v/>
      </c>
      <c r="AB31" s="46" t="n"/>
      <c r="AC31" s="46" t="n"/>
      <c r="AD31" s="84" t="inlineStr">
        <is>
          <t>DR TOTAL INCOME</t>
        </is>
      </c>
      <c r="AE31" s="85">
        <f>SUM(AE7:AE30)</f>
        <v/>
      </c>
      <c r="AF31" s="82">
        <f>SUM(AF7:AF30)</f>
        <v/>
      </c>
      <c r="AG31" s="48" t="n"/>
      <c r="AH31" s="46" t="n"/>
      <c r="AI31" s="60" t="n"/>
      <c r="AJ31" s="39" t="n"/>
      <c r="AK31" s="40" t="n"/>
      <c r="AL31" s="46" t="n"/>
    </row>
    <row r="32" ht="29.25" customHeight="1" s="220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31" t="n"/>
      <c r="R32" s="39" t="n"/>
      <c r="S32" s="40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8" t="n"/>
      <c r="AH32" s="46" t="n"/>
      <c r="AI32" s="60" t="n"/>
      <c r="AJ32" s="39" t="n"/>
      <c r="AK32" s="40" t="n"/>
      <c r="AL32" s="46" t="n"/>
    </row>
    <row r="33" ht="23.25" customHeight="1" s="220">
      <c r="A33" s="86" t="n"/>
      <c r="B33" s="230" t="inlineStr">
        <is>
          <t>EXPENSES</t>
        </is>
      </c>
      <c r="C33" s="231" t="n"/>
      <c r="D33" s="86" t="n"/>
      <c r="E33" s="86" t="n"/>
      <c r="F33" s="232" t="inlineStr">
        <is>
          <t>DEDUCTIONS</t>
        </is>
      </c>
      <c r="G33" s="222" t="n"/>
      <c r="H33" s="90" t="inlineStr">
        <is>
          <t>REMARKS</t>
        </is>
      </c>
      <c r="I33" s="86" t="n"/>
      <c r="J33" s="230" t="inlineStr">
        <is>
          <t>DEDUCTIONS</t>
        </is>
      </c>
      <c r="K33" s="231" t="n"/>
      <c r="L33" s="90" t="inlineStr">
        <is>
          <t>REMARKS</t>
        </is>
      </c>
      <c r="M33" s="86" t="n"/>
      <c r="N33" s="230" t="inlineStr">
        <is>
          <t>DEDUCTIONS</t>
        </is>
      </c>
      <c r="O33" s="231" t="n"/>
      <c r="P33" s="90" t="inlineStr">
        <is>
          <t>REMARKS</t>
        </is>
      </c>
      <c r="Q33" s="86" t="n"/>
      <c r="R33" s="232" t="inlineStr">
        <is>
          <t>DEDUCTIONS</t>
        </is>
      </c>
      <c r="S33" s="222" t="n"/>
      <c r="T33" s="90" t="inlineStr">
        <is>
          <t>REMARKS</t>
        </is>
      </c>
      <c r="U33" s="86" t="n"/>
      <c r="V33" s="230" t="inlineStr">
        <is>
          <t>DEDUCTIONS</t>
        </is>
      </c>
      <c r="W33" s="231" t="n"/>
      <c r="X33" s="90" t="inlineStr">
        <is>
          <t>REMARKS</t>
        </is>
      </c>
      <c r="Y33" s="86" t="n"/>
      <c r="Z33" s="230" t="inlineStr">
        <is>
          <t>DEDUCTIONS</t>
        </is>
      </c>
      <c r="AA33" s="231" t="n"/>
      <c r="AB33" s="90" t="inlineStr">
        <is>
          <t>REMARKS</t>
        </is>
      </c>
      <c r="AC33" s="86" t="n"/>
      <c r="AD33" s="86" t="n"/>
      <c r="AE33" s="230" t="inlineStr">
        <is>
          <t>DEDUCTIONS</t>
        </is>
      </c>
      <c r="AF33" s="231" t="n"/>
      <c r="AG33" s="90" t="inlineStr">
        <is>
          <t>REMARKS</t>
        </is>
      </c>
      <c r="AH33" s="86" t="n"/>
      <c r="AI33" s="86" t="n"/>
      <c r="AJ33" s="232" t="inlineStr">
        <is>
          <t>DEDUCTIONS</t>
        </is>
      </c>
      <c r="AK33" s="222" t="n"/>
      <c r="AL33" s="90" t="inlineStr">
        <is>
          <t>REMARKS</t>
        </is>
      </c>
    </row>
    <row r="34" ht="30.75" customHeight="1" s="220">
      <c r="A34" s="1" t="n"/>
      <c r="B34" s="96" t="inlineStr">
        <is>
          <t>ADMIN FEE</t>
        </is>
      </c>
      <c r="C34" s="97">
        <f>SUM(C7:C30)</f>
        <v/>
      </c>
      <c r="D34" s="1" t="n"/>
      <c r="E34" s="1" t="n"/>
      <c r="F34" s="31" t="inlineStr">
        <is>
          <t>ADMIN CHARGES</t>
        </is>
      </c>
      <c r="G34" s="93">
        <f>G31</f>
        <v/>
      </c>
      <c r="H34" s="90" t="n"/>
      <c r="I34" s="1" t="n"/>
      <c r="J34" s="35" t="inlineStr">
        <is>
          <t>ADMIN CHARGES</t>
        </is>
      </c>
      <c r="K34" s="94">
        <f>K31</f>
        <v/>
      </c>
      <c r="L34" s="90" t="n"/>
      <c r="M34" s="1" t="n"/>
      <c r="N34" s="35" t="inlineStr">
        <is>
          <t>ADMIN CHARGES</t>
        </is>
      </c>
      <c r="O34" s="94">
        <f>O31</f>
        <v/>
      </c>
      <c r="P34" s="90" t="n"/>
      <c r="Q34" s="1" t="n"/>
      <c r="R34" s="31" t="inlineStr">
        <is>
          <t>ADMIN CHARGES</t>
        </is>
      </c>
      <c r="S34" s="93">
        <f>#REF!</f>
        <v/>
      </c>
      <c r="T34" s="90" t="n"/>
      <c r="U34" s="1" t="n"/>
      <c r="V34" s="35" t="inlineStr">
        <is>
          <t>ADMIN CHARGES</t>
        </is>
      </c>
      <c r="W34" s="94">
        <f>W31</f>
        <v/>
      </c>
      <c r="X34" s="90" t="n"/>
      <c r="Y34" s="1" t="n"/>
      <c r="Z34" s="35" t="inlineStr">
        <is>
          <t>ADMIN CHARGES</t>
        </is>
      </c>
      <c r="AA34" s="94">
        <f>AA31</f>
        <v/>
      </c>
      <c r="AB34" s="90" t="n"/>
      <c r="AC34" s="1" t="n"/>
      <c r="AD34" s="1" t="n"/>
      <c r="AE34" s="35" t="inlineStr">
        <is>
          <t>ADMIN CHARGES</t>
        </is>
      </c>
      <c r="AF34" s="94">
        <f>AF31</f>
        <v/>
      </c>
      <c r="AG34" s="90" t="n"/>
      <c r="AH34" s="1" t="n"/>
      <c r="AI34" s="1" t="n"/>
      <c r="AJ34" s="31" t="inlineStr">
        <is>
          <t>ADMIN CHARGES</t>
        </is>
      </c>
      <c r="AK34" s="93">
        <f>#REF!</f>
        <v/>
      </c>
      <c r="AL34" s="90" t="n"/>
    </row>
    <row r="35" ht="30.75" customHeight="1" s="220">
      <c r="A35" s="1" t="n"/>
      <c r="B35" s="96" t="inlineStr">
        <is>
          <t>GST</t>
        </is>
      </c>
      <c r="C35" s="97">
        <f>G35+K35+O35+S35+W35+AA35+AF35+AK35</f>
        <v/>
      </c>
      <c r="D35" s="1" t="n"/>
      <c r="E35" s="1" t="n"/>
      <c r="F35" s="31" t="inlineStr">
        <is>
          <t>GST</t>
        </is>
      </c>
      <c r="G35" s="100" t="n"/>
      <c r="H35" s="90" t="n"/>
      <c r="I35" s="1" t="n"/>
      <c r="J35" s="35" t="inlineStr">
        <is>
          <t>GST</t>
        </is>
      </c>
      <c r="K35" s="51" t="n"/>
      <c r="L35" s="90" t="n"/>
      <c r="M35" s="1" t="n"/>
      <c r="N35" s="35" t="inlineStr">
        <is>
          <t>GST</t>
        </is>
      </c>
      <c r="O35" s="51" t="n"/>
      <c r="P35" s="90" t="n"/>
      <c r="Q35" s="1" t="n"/>
      <c r="R35" s="31" t="inlineStr">
        <is>
          <t>GST</t>
        </is>
      </c>
      <c r="S35" s="100" t="n"/>
      <c r="T35" s="90" t="n"/>
      <c r="U35" s="1" t="n"/>
      <c r="V35" s="35" t="inlineStr">
        <is>
          <t>GST</t>
        </is>
      </c>
      <c r="W35" s="51" t="n"/>
      <c r="X35" s="90" t="n"/>
      <c r="Y35" s="1" t="n"/>
      <c r="Z35" s="35" t="inlineStr">
        <is>
          <t>GST</t>
        </is>
      </c>
      <c r="AA35" s="51" t="n"/>
      <c r="AB35" s="90" t="n"/>
      <c r="AC35" s="1" t="n"/>
      <c r="AD35" s="1" t="n"/>
      <c r="AE35" s="35" t="inlineStr">
        <is>
          <t>GST</t>
        </is>
      </c>
      <c r="AF35" s="51" t="n"/>
      <c r="AG35" s="90" t="n"/>
      <c r="AH35" s="1" t="n"/>
      <c r="AI35" s="1" t="n"/>
      <c r="AJ35" s="31" t="inlineStr">
        <is>
          <t>GST</t>
        </is>
      </c>
      <c r="AK35" s="100" t="n"/>
      <c r="AL35" s="90" t="n"/>
    </row>
    <row r="36" ht="30.75" customHeight="1" s="220">
      <c r="A36" s="1" t="n"/>
      <c r="B36" s="96" t="inlineStr">
        <is>
          <t>RENTAL</t>
        </is>
      </c>
      <c r="C36" s="97" t="n"/>
      <c r="D36" s="1" t="n"/>
      <c r="E36" s="1" t="n"/>
      <c r="F36" s="31" t="inlineStr">
        <is>
          <t>ICC-5</t>
        </is>
      </c>
      <c r="G36" s="100" t="n"/>
      <c r="H36" s="90" t="n"/>
      <c r="I36" s="1" t="n"/>
      <c r="J36" s="35" t="inlineStr">
        <is>
          <t>ICC-5</t>
        </is>
      </c>
      <c r="K36" s="51" t="n"/>
      <c r="L36" s="90" t="n"/>
      <c r="M36" s="1" t="n"/>
      <c r="N36" s="35" t="inlineStr">
        <is>
          <t>ICC-5</t>
        </is>
      </c>
      <c r="O36" s="51" t="n"/>
      <c r="P36" s="90" t="n"/>
      <c r="Q36" s="1" t="n"/>
      <c r="R36" s="31" t="n"/>
      <c r="S36" s="100" t="n"/>
      <c r="T36" s="90" t="n"/>
      <c r="U36" s="1" t="n"/>
      <c r="V36" s="35" t="inlineStr">
        <is>
          <t>ICC-5</t>
        </is>
      </c>
      <c r="W36" s="51" t="n"/>
      <c r="X36" s="90" t="n"/>
      <c r="Y36" s="1" t="n"/>
      <c r="Z36" s="35" t="inlineStr">
        <is>
          <t>ICC-5</t>
        </is>
      </c>
      <c r="AA36" s="51" t="n"/>
      <c r="AB36" s="90" t="n"/>
      <c r="AC36" s="1" t="n"/>
      <c r="AD36" s="1" t="n"/>
      <c r="AE36" s="35" t="inlineStr">
        <is>
          <t>ICC-5</t>
        </is>
      </c>
      <c r="AF36" s="51" t="n"/>
      <c r="AG36" s="90" t="n"/>
      <c r="AH36" s="1" t="n"/>
      <c r="AI36" s="1" t="n"/>
      <c r="AJ36" s="31" t="n"/>
      <c r="AK36" s="100" t="n"/>
      <c r="AL36" s="90" t="n"/>
    </row>
    <row r="37" ht="30.75" customHeight="1" s="220">
      <c r="A37" s="1" t="n"/>
      <c r="B37" s="96" t="inlineStr">
        <is>
          <t>LOAN INTEREST</t>
        </is>
      </c>
      <c r="C37" s="97" t="n"/>
      <c r="D37" s="1" t="n"/>
      <c r="E37" s="1" t="n"/>
      <c r="F37" s="31" t="inlineStr">
        <is>
          <t>PRODUCTS</t>
        </is>
      </c>
      <c r="G37" s="100" t="n"/>
      <c r="H37" s="90" t="n"/>
      <c r="I37" s="1" t="n"/>
      <c r="J37" s="35" t="inlineStr">
        <is>
          <t>PRODUCTS</t>
        </is>
      </c>
      <c r="K37" s="51" t="n"/>
      <c r="L37" s="90" t="n"/>
      <c r="M37" s="1" t="n"/>
      <c r="N37" s="35" t="inlineStr">
        <is>
          <t>PRODUCTS</t>
        </is>
      </c>
      <c r="O37" s="51" t="n"/>
      <c r="P37" s="90" t="n"/>
      <c r="Q37" s="1" t="n"/>
      <c r="R37" s="31" t="n"/>
      <c r="S37" s="100" t="n"/>
      <c r="T37" s="90" t="n"/>
      <c r="U37" s="1" t="n"/>
      <c r="V37" s="35" t="inlineStr">
        <is>
          <t>PRODUCTS</t>
        </is>
      </c>
      <c r="W37" s="51" t="n"/>
      <c r="X37" s="90" t="n"/>
      <c r="Y37" s="1" t="n"/>
      <c r="Z37" s="35" t="inlineStr">
        <is>
          <t>PRODUCTS</t>
        </is>
      </c>
      <c r="AA37" s="51" t="n"/>
      <c r="AB37" s="90" t="n"/>
      <c r="AC37" s="1" t="n"/>
      <c r="AD37" s="1" t="n"/>
      <c r="AE37" s="35" t="inlineStr">
        <is>
          <t>PRODUCTS</t>
        </is>
      </c>
      <c r="AF37" s="51" t="n"/>
      <c r="AG37" s="90" t="n"/>
      <c r="AH37" s="1" t="n"/>
      <c r="AI37" s="1" t="n"/>
      <c r="AJ37" s="31" t="n"/>
      <c r="AK37" s="100" t="n"/>
      <c r="AL37" s="90" t="n"/>
    </row>
    <row r="38" ht="30.75" customHeight="1" s="220">
      <c r="A38" s="1" t="n"/>
      <c r="B38" s="96" t="inlineStr">
        <is>
          <t xml:space="preserve">NEW CATEGORY </t>
        </is>
      </c>
      <c r="C38" s="97" t="inlineStr">
        <is>
          <t>Amount</t>
        </is>
      </c>
      <c r="D38" s="1" t="n"/>
      <c r="E38" s="1" t="n"/>
      <c r="F38" s="31" t="n"/>
      <c r="G38" s="100" t="n"/>
      <c r="H38" s="90" t="n"/>
      <c r="I38" s="1" t="n"/>
      <c r="J38" s="35" t="n"/>
      <c r="K38" s="51" t="n"/>
      <c r="L38" s="90" t="n"/>
      <c r="M38" s="1" t="n"/>
      <c r="N38" s="35" t="n"/>
      <c r="O38" s="51" t="n"/>
      <c r="P38" s="90" t="n"/>
      <c r="Q38" s="1" t="n"/>
      <c r="R38" s="31" t="n"/>
      <c r="S38" s="100" t="n"/>
      <c r="T38" s="90" t="n"/>
      <c r="U38" s="1" t="n"/>
      <c r="V38" s="35" t="n"/>
      <c r="W38" s="51" t="n"/>
      <c r="X38" s="90" t="n"/>
      <c r="Y38" s="1" t="n"/>
      <c r="Z38" s="35" t="n"/>
      <c r="AA38" s="51" t="n"/>
      <c r="AB38" s="90" t="n"/>
      <c r="AC38" s="1" t="n"/>
      <c r="AD38" s="1" t="n"/>
      <c r="AE38" s="35" t="n"/>
      <c r="AF38" s="51" t="n"/>
      <c r="AG38" s="90" t="n"/>
      <c r="AH38" s="1" t="n"/>
      <c r="AI38" s="1" t="n"/>
      <c r="AJ38" s="31" t="n"/>
      <c r="AK38" s="100" t="n"/>
      <c r="AL38" s="90" t="n"/>
    </row>
    <row r="39" ht="30.75" customHeight="1" s="220">
      <c r="A39" s="1" t="n"/>
      <c r="B39" s="96" t="inlineStr">
        <is>
          <t xml:space="preserve">IRAS TAX </t>
        </is>
      </c>
      <c r="C39" s="97" t="n"/>
      <c r="D39" s="1" t="n"/>
      <c r="E39" s="1" t="n"/>
      <c r="F39" s="31" t="inlineStr">
        <is>
          <t>ORTHO (B+B)</t>
        </is>
      </c>
      <c r="G39" s="100" t="n"/>
      <c r="H39" s="90" t="n"/>
      <c r="I39" s="1" t="n"/>
      <c r="J39" s="35" t="inlineStr">
        <is>
          <t>ORTHO (B+B)</t>
        </is>
      </c>
      <c r="K39" s="51" t="n"/>
      <c r="L39" s="90" t="n"/>
      <c r="M39" s="1" t="n"/>
      <c r="N39" s="35" t="inlineStr">
        <is>
          <t>ORTHO (B+B)</t>
        </is>
      </c>
      <c r="O39" s="51" t="n"/>
      <c r="P39" s="90" t="n"/>
      <c r="Q39" s="1" t="n"/>
      <c r="R39" s="31" t="n"/>
      <c r="S39" s="100" t="n"/>
      <c r="T39" s="90" t="n"/>
      <c r="U39" s="1" t="n"/>
      <c r="V39" s="35" t="inlineStr">
        <is>
          <t>ORTHO (B+B)</t>
        </is>
      </c>
      <c r="W39" s="51" t="n"/>
      <c r="X39" s="90" t="n"/>
      <c r="Y39" s="1" t="n"/>
      <c r="Z39" s="35" t="inlineStr">
        <is>
          <t>ORTHO (B+B)</t>
        </is>
      </c>
      <c r="AA39" s="51" t="n"/>
      <c r="AB39" s="90" t="n"/>
      <c r="AC39" s="1" t="n"/>
      <c r="AD39" s="1" t="n"/>
      <c r="AE39" s="35" t="inlineStr">
        <is>
          <t>ORTHO (B+B)</t>
        </is>
      </c>
      <c r="AF39" s="51" t="n"/>
      <c r="AG39" s="90" t="n"/>
      <c r="AH39" s="1" t="n"/>
      <c r="AI39" s="1" t="n"/>
      <c r="AJ39" s="31" t="n"/>
      <c r="AK39" s="100" t="n"/>
      <c r="AL39" s="90" t="n"/>
    </row>
    <row r="40" ht="30.75" customHeight="1" s="220">
      <c r="A40" s="1" t="n"/>
      <c r="B40" s="96" t="inlineStr">
        <is>
          <t>CK SECRETARIAL / ACCOUNTS SERVICES</t>
        </is>
      </c>
      <c r="C40" s="97" t="n"/>
      <c r="D40" s="1" t="n"/>
      <c r="E40" s="1" t="n"/>
      <c r="F40" s="31" t="inlineStr">
        <is>
          <t>ABUTMENTS</t>
        </is>
      </c>
      <c r="G40" s="100" t="n"/>
      <c r="H40" s="98" t="n"/>
      <c r="I40" s="1" t="n"/>
      <c r="J40" s="35" t="inlineStr">
        <is>
          <t>ABUTMENTS</t>
        </is>
      </c>
      <c r="K40" s="51" t="n"/>
      <c r="L40" s="90" t="n"/>
      <c r="M40" s="1" t="n"/>
      <c r="N40" s="35" t="inlineStr">
        <is>
          <t>ABUTMENTS</t>
        </is>
      </c>
      <c r="O40" s="51" t="n"/>
      <c r="P40" s="90" t="n"/>
      <c r="Q40" s="1" t="n"/>
      <c r="R40" s="31" t="n"/>
      <c r="S40" s="100" t="n"/>
      <c r="T40" s="90" t="n"/>
      <c r="U40" s="1" t="n"/>
      <c r="V40" s="35" t="inlineStr">
        <is>
          <t>ABUTMENTS</t>
        </is>
      </c>
      <c r="W40" s="51" t="n"/>
      <c r="X40" s="90" t="n"/>
      <c r="Y40" s="1" t="n"/>
      <c r="Z40" s="35" t="inlineStr">
        <is>
          <t>ABUTMENTS</t>
        </is>
      </c>
      <c r="AA40" s="51" t="n"/>
      <c r="AB40" s="90" t="n"/>
      <c r="AC40" s="1" t="n"/>
      <c r="AD40" s="1" t="n"/>
      <c r="AE40" s="35" t="inlineStr">
        <is>
          <t>ABUTMENTS</t>
        </is>
      </c>
      <c r="AF40" s="51" t="n"/>
      <c r="AG40" s="90" t="n"/>
      <c r="AH40" s="1" t="n"/>
      <c r="AI40" s="1" t="n"/>
      <c r="AJ40" s="31" t="n"/>
      <c r="AK40" s="100" t="n"/>
      <c r="AL40" s="90" t="n"/>
    </row>
    <row r="41" ht="30.75" customHeight="1" s="220">
      <c r="A41" s="1" t="n"/>
      <c r="B41" s="96" t="inlineStr">
        <is>
          <t>TOWN COUNCIL</t>
        </is>
      </c>
      <c r="C41" s="97">
        <f>160.5+103.75</f>
        <v/>
      </c>
      <c r="D41" s="1" t="n"/>
      <c r="E41" s="1" t="n"/>
      <c r="F41" s="31" t="inlineStr">
        <is>
          <t>IMPLANT</t>
        </is>
      </c>
      <c r="G41" s="99" t="n"/>
      <c r="H41" s="90" t="n"/>
      <c r="I41" s="1" t="n"/>
      <c r="J41" s="35" t="inlineStr">
        <is>
          <t>IMPLANT</t>
        </is>
      </c>
      <c r="K41" s="51" t="n"/>
      <c r="L41" s="90" t="n"/>
      <c r="M41" s="1" t="n"/>
      <c r="N41" s="35" t="inlineStr">
        <is>
          <t>IMPLANT</t>
        </is>
      </c>
      <c r="O41" s="51" t="n"/>
      <c r="P41" s="90" t="n"/>
      <c r="Q41" s="1" t="n"/>
      <c r="R41" s="31" t="n"/>
      <c r="S41" s="100" t="n"/>
      <c r="T41" s="90" t="n"/>
      <c r="U41" s="1" t="n"/>
      <c r="V41" s="35" t="inlineStr">
        <is>
          <t>IMPLANT</t>
        </is>
      </c>
      <c r="W41" s="51" t="n"/>
      <c r="X41" s="90" t="n"/>
      <c r="Y41" s="1" t="n"/>
      <c r="Z41" s="35" t="inlineStr">
        <is>
          <t>IMPLANT</t>
        </is>
      </c>
      <c r="AA41" s="51" t="n"/>
      <c r="AB41" s="90" t="n"/>
      <c r="AC41" s="1" t="n"/>
      <c r="AD41" s="1" t="n"/>
      <c r="AE41" s="35" t="inlineStr">
        <is>
          <t>IMPLANT</t>
        </is>
      </c>
      <c r="AF41" s="51" t="n"/>
      <c r="AG41" s="90" t="n"/>
      <c r="AH41" s="1" t="n"/>
      <c r="AI41" s="1" t="n"/>
      <c r="AJ41" s="31" t="n"/>
      <c r="AK41" s="100" t="n"/>
      <c r="AL41" s="90" t="n"/>
    </row>
    <row r="42" ht="30.75" customHeight="1" s="220">
      <c r="A42" s="1" t="n"/>
      <c r="B42" s="96" t="inlineStr">
        <is>
          <t>SERVICE &amp; CONSERVANCY CHARGES</t>
        </is>
      </c>
      <c r="C42" s="97" t="n">
        <v>400</v>
      </c>
      <c r="D42" s="1" t="n"/>
      <c r="E42" s="1" t="n"/>
      <c r="F42" s="31" t="inlineStr">
        <is>
          <t>SKY LAB</t>
        </is>
      </c>
      <c r="G42" s="100" t="n"/>
      <c r="H42" s="90" t="n"/>
      <c r="I42" s="1" t="n"/>
      <c r="J42" s="35" t="inlineStr">
        <is>
          <t>SKY LAB</t>
        </is>
      </c>
      <c r="K42" s="51" t="n"/>
      <c r="L42" s="90" t="n"/>
      <c r="M42" s="1" t="n"/>
      <c r="N42" s="35" t="inlineStr">
        <is>
          <t>SKY LAB</t>
        </is>
      </c>
      <c r="O42" s="51" t="n"/>
      <c r="P42" s="90" t="n"/>
      <c r="Q42" s="1" t="n"/>
      <c r="R42" s="31" t="n"/>
      <c r="S42" s="100" t="n"/>
      <c r="T42" s="90" t="n"/>
      <c r="U42" s="1" t="n"/>
      <c r="V42" s="35" t="inlineStr">
        <is>
          <t>SKY LAB</t>
        </is>
      </c>
      <c r="W42" s="51" t="n"/>
      <c r="X42" s="90" t="n"/>
      <c r="Y42" s="1" t="n"/>
      <c r="Z42" s="35" t="inlineStr">
        <is>
          <t>SKY LAB</t>
        </is>
      </c>
      <c r="AA42" s="51" t="n"/>
      <c r="AB42" s="90" t="n"/>
      <c r="AC42" s="1" t="n"/>
      <c r="AD42" s="1" t="n"/>
      <c r="AE42" s="35" t="inlineStr">
        <is>
          <t>SKY LAB</t>
        </is>
      </c>
      <c r="AF42" s="51" t="n"/>
      <c r="AG42" s="90" t="n"/>
      <c r="AH42" s="1" t="n"/>
      <c r="AI42" s="1" t="n"/>
      <c r="AJ42" s="31" t="n"/>
      <c r="AK42" s="100" t="n"/>
      <c r="AL42" s="90" t="n"/>
    </row>
    <row r="43" ht="30.75" customHeight="1" s="220">
      <c r="A43" s="1" t="n"/>
      <c r="B43" s="96" t="inlineStr">
        <is>
          <t>SP</t>
        </is>
      </c>
      <c r="C43" s="97" t="n"/>
      <c r="D43" s="1" t="n"/>
      <c r="E43" s="1" t="n"/>
      <c r="F43" s="31" t="inlineStr">
        <is>
          <t>DIGICADCAM</t>
        </is>
      </c>
      <c r="G43" s="100" t="n"/>
      <c r="H43" s="90" t="n"/>
      <c r="I43" s="1" t="n"/>
      <c r="J43" s="35" t="inlineStr">
        <is>
          <t>DIGICADCAM</t>
        </is>
      </c>
      <c r="K43" s="51" t="n"/>
      <c r="L43" s="90" t="n"/>
      <c r="M43" s="1" t="n"/>
      <c r="N43" s="35" t="inlineStr">
        <is>
          <t>DIGICADCAM</t>
        </is>
      </c>
      <c r="O43" s="51" t="n"/>
      <c r="P43" s="90" t="n"/>
      <c r="Q43" s="1" t="n"/>
      <c r="R43" s="31" t="n"/>
      <c r="S43" s="100" t="n"/>
      <c r="T43" s="90" t="n"/>
      <c r="U43" s="1" t="n"/>
      <c r="V43" s="35" t="inlineStr">
        <is>
          <t>DIGICADCAM</t>
        </is>
      </c>
      <c r="W43" s="51" t="n"/>
      <c r="X43" s="90" t="n"/>
      <c r="Y43" s="1" t="n"/>
      <c r="Z43" s="35" t="inlineStr">
        <is>
          <t>DIGICADCAM</t>
        </is>
      </c>
      <c r="AA43" s="51" t="n"/>
      <c r="AB43" s="90" t="n"/>
      <c r="AC43" s="1" t="n"/>
      <c r="AD43" s="1" t="n"/>
      <c r="AE43" s="35" t="inlineStr">
        <is>
          <t>DIGICADCAM</t>
        </is>
      </c>
      <c r="AF43" s="51" t="n"/>
      <c r="AG43" s="90" t="n"/>
      <c r="AH43" s="1" t="n"/>
      <c r="AI43" s="1" t="n"/>
      <c r="AJ43" s="31" t="n"/>
      <c r="AK43" s="100" t="n"/>
      <c r="AL43" s="90" t="n"/>
    </row>
    <row r="44" ht="30.75" customHeight="1" s="220">
      <c r="A44" s="1" t="n"/>
      <c r="B44" s="96" t="inlineStr">
        <is>
          <t>SINGTEL</t>
        </is>
      </c>
      <c r="C44" s="97" t="n"/>
      <c r="D44" s="1" t="n"/>
      <c r="E44" s="1" t="n"/>
      <c r="F44" s="31" t="inlineStr">
        <is>
          <t>OTHER LAB</t>
        </is>
      </c>
      <c r="G44" s="100" t="n"/>
      <c r="H44" s="101" t="n"/>
      <c r="I44" s="1" t="n"/>
      <c r="J44" s="35" t="inlineStr">
        <is>
          <t>OTHER LAB</t>
        </is>
      </c>
      <c r="K44" s="51" t="n"/>
      <c r="L44" s="101" t="n"/>
      <c r="M44" s="1" t="n"/>
      <c r="N44" s="35" t="inlineStr">
        <is>
          <t>OTHER LAB</t>
        </is>
      </c>
      <c r="O44" s="51" t="n"/>
      <c r="P44" s="101" t="n"/>
      <c r="Q44" s="1" t="n"/>
      <c r="R44" s="31" t="n"/>
      <c r="S44" s="100" t="n"/>
      <c r="T44" s="90" t="n"/>
      <c r="U44" s="1" t="n"/>
      <c r="V44" s="35" t="inlineStr">
        <is>
          <t>OTHER LAB</t>
        </is>
      </c>
      <c r="W44" s="51" t="n"/>
      <c r="X44" s="90" t="n"/>
      <c r="Y44" s="1" t="n"/>
      <c r="Z44" s="35" t="inlineStr">
        <is>
          <t>OTHER LAB</t>
        </is>
      </c>
      <c r="AA44" s="51" t="n"/>
      <c r="AB44" s="90" t="n"/>
      <c r="AC44" s="1" t="n"/>
      <c r="AD44" s="1" t="n"/>
      <c r="AE44" s="35" t="inlineStr">
        <is>
          <t>OTHER LAB</t>
        </is>
      </c>
      <c r="AF44" s="51" t="n"/>
      <c r="AG44" s="90" t="n"/>
      <c r="AH44" s="1" t="n"/>
      <c r="AI44" s="1" t="n"/>
      <c r="AJ44" s="31" t="n"/>
      <c r="AK44" s="100" t="n"/>
      <c r="AL44" s="90" t="n"/>
    </row>
    <row r="45" ht="30.75" customHeight="1" s="220">
      <c r="A45" s="1" t="n"/>
      <c r="B45" s="96" t="inlineStr">
        <is>
          <t>PRODUCTS</t>
        </is>
      </c>
      <c r="C45" s="97">
        <f>G37+K37+O37+S60+W37+AA37+AF37+AK60</f>
        <v/>
      </c>
      <c r="D45" s="1" t="n"/>
      <c r="E45" s="1" t="n"/>
      <c r="F45" s="31" t="inlineStr">
        <is>
          <t>INVISALIGN</t>
        </is>
      </c>
      <c r="G45" s="100" t="n"/>
      <c r="H45" s="101" t="n"/>
      <c r="I45" s="1" t="n"/>
      <c r="J45" s="35" t="inlineStr">
        <is>
          <t>INVISALIGN</t>
        </is>
      </c>
      <c r="K45" s="51" t="n"/>
      <c r="L45" s="101" t="n"/>
      <c r="M45" s="1" t="n"/>
      <c r="N45" s="35" t="inlineStr">
        <is>
          <t>INVISALIGN</t>
        </is>
      </c>
      <c r="O45" s="51" t="n"/>
      <c r="P45" s="90" t="n"/>
      <c r="Q45" s="1" t="n"/>
      <c r="R45" s="31" t="n"/>
      <c r="S45" s="100" t="n"/>
      <c r="T45" s="90" t="n"/>
      <c r="U45" s="1" t="n"/>
      <c r="V45" s="35" t="inlineStr">
        <is>
          <t>INVISALIGN</t>
        </is>
      </c>
      <c r="W45" s="51" t="n"/>
      <c r="X45" s="101" t="n"/>
      <c r="Y45" s="1" t="n"/>
      <c r="Z45" s="35" t="inlineStr">
        <is>
          <t>INVISALIGN</t>
        </is>
      </c>
      <c r="AA45" s="51" t="n"/>
      <c r="AB45" s="90" t="n"/>
      <c r="AC45" s="1" t="n"/>
      <c r="AD45" s="1" t="n"/>
      <c r="AE45" s="35" t="inlineStr">
        <is>
          <t>INVISALIGN</t>
        </is>
      </c>
      <c r="AF45" s="51" t="n"/>
      <c r="AG45" s="90" t="n"/>
      <c r="AH45" s="1" t="n"/>
      <c r="AI45" s="1" t="n"/>
      <c r="AJ45" s="31" t="n"/>
      <c r="AK45" s="100" t="n"/>
      <c r="AL45" s="90" t="n"/>
    </row>
    <row r="46" ht="30.75" customHeight="1" s="220">
      <c r="A46" s="1" t="n"/>
      <c r="B46" s="96" t="inlineStr">
        <is>
          <t>ADMIN STAFF &amp; OFFICE RENTAL</t>
        </is>
      </c>
      <c r="C46" s="97" t="n"/>
      <c r="D46" s="1" t="n"/>
      <c r="E46" s="1" t="n"/>
      <c r="F46" s="31" t="inlineStr">
        <is>
          <t>TRANSFER (+)</t>
        </is>
      </c>
      <c r="G46" s="100" t="n"/>
      <c r="H46" s="98" t="n"/>
      <c r="I46" s="1" t="n"/>
      <c r="J46" s="35" t="inlineStr">
        <is>
          <t>TRANSFER (+)</t>
        </is>
      </c>
      <c r="K46" s="51" t="n"/>
      <c r="L46" s="98" t="n"/>
      <c r="M46" s="1" t="n"/>
      <c r="N46" s="35" t="inlineStr">
        <is>
          <t>TRANSFER (+)</t>
        </is>
      </c>
      <c r="O46" s="51" t="n"/>
      <c r="P46" s="90" t="n"/>
      <c r="Q46" s="1" t="n"/>
      <c r="R46" s="31" t="n"/>
      <c r="S46" s="100" t="n"/>
      <c r="T46" s="90" t="n"/>
      <c r="U46" s="1" t="n"/>
      <c r="V46" s="35" t="inlineStr">
        <is>
          <t>TRANSFER (+)</t>
        </is>
      </c>
      <c r="W46" s="51" t="n"/>
      <c r="X46" s="102" t="n"/>
      <c r="Y46" s="1" t="n"/>
      <c r="Z46" s="35" t="inlineStr">
        <is>
          <t>TRANSFER (+)</t>
        </is>
      </c>
      <c r="AA46" s="51" t="n"/>
      <c r="AB46" s="98" t="n"/>
      <c r="AC46" s="1" t="n"/>
      <c r="AD46" s="1" t="n"/>
      <c r="AE46" s="35" t="inlineStr">
        <is>
          <t>TRANSFER (+)</t>
        </is>
      </c>
      <c r="AF46" s="51" t="n"/>
      <c r="AG46" s="98" t="n"/>
      <c r="AH46" s="1" t="n"/>
      <c r="AI46" s="1" t="n"/>
      <c r="AJ46" s="31" t="n"/>
      <c r="AK46" s="100" t="n"/>
      <c r="AL46" s="90" t="n"/>
    </row>
    <row r="47" ht="30.75" customHeight="1" s="220">
      <c r="A47" s="1" t="n"/>
      <c r="B47" s="96" t="inlineStr">
        <is>
          <t>SUPPLIERS</t>
        </is>
      </c>
      <c r="C47" s="97" t="n"/>
      <c r="D47" s="1" t="n"/>
      <c r="E47" s="1" t="n"/>
      <c r="F47" s="31" t="inlineStr">
        <is>
          <t>TRANSFER (-)</t>
        </is>
      </c>
      <c r="G47" s="100" t="n"/>
      <c r="H47" s="98" t="n"/>
      <c r="I47" s="1" t="n"/>
      <c r="J47" s="35" t="inlineStr">
        <is>
          <t>TRANSFER (-)</t>
        </is>
      </c>
      <c r="K47" s="51" t="n"/>
      <c r="L47" s="90" t="n"/>
      <c r="M47" s="1" t="n"/>
      <c r="N47" s="35" t="inlineStr">
        <is>
          <t>TRANSFER (-)</t>
        </is>
      </c>
      <c r="O47" s="51" t="n"/>
      <c r="P47" s="90" t="n"/>
      <c r="Q47" s="1" t="n"/>
      <c r="R47" s="31" t="n"/>
      <c r="S47" s="100" t="n"/>
      <c r="T47" s="90" t="n"/>
      <c r="U47" s="1" t="n"/>
      <c r="V47" s="35" t="inlineStr">
        <is>
          <t>TRANSFER (-)</t>
        </is>
      </c>
      <c r="W47" s="51" t="n"/>
      <c r="X47" s="103" t="n"/>
      <c r="Y47" s="1" t="n"/>
      <c r="Z47" s="35" t="inlineStr">
        <is>
          <t>TRANSFER (-)</t>
        </is>
      </c>
      <c r="AA47" s="51" t="n"/>
      <c r="AB47" s="102" t="n"/>
      <c r="AC47" s="1" t="n"/>
      <c r="AD47" s="1" t="n"/>
      <c r="AE47" s="35" t="inlineStr">
        <is>
          <t>TRANSFER (-)</t>
        </is>
      </c>
      <c r="AF47" s="51" t="n"/>
      <c r="AG47" s="102" t="n"/>
      <c r="AH47" s="1" t="n"/>
      <c r="AI47" s="1" t="n"/>
      <c r="AJ47" s="31" t="n"/>
      <c r="AK47" s="100" t="n"/>
      <c r="AL47" s="90" t="n"/>
    </row>
    <row r="48" ht="30.75" customHeight="1" s="220">
      <c r="A48" s="1" t="n"/>
      <c r="B48" s="104" t="inlineStr">
        <is>
          <t>VOUCHER</t>
        </is>
      </c>
      <c r="C48" s="97">
        <f>B12</f>
        <v/>
      </c>
      <c r="D48" s="1" t="n"/>
      <c r="E48" s="1" t="n"/>
      <c r="F48" s="52" t="inlineStr">
        <is>
          <t>REFUND/REFERRAL</t>
        </is>
      </c>
      <c r="G48" s="105" t="n"/>
      <c r="H48" s="90" t="n"/>
      <c r="I48" s="1" t="n"/>
      <c r="J48" s="35" t="inlineStr">
        <is>
          <t>REFUND/REFERRAL</t>
        </is>
      </c>
      <c r="K48" s="51" t="n"/>
      <c r="L48" s="90" t="n"/>
      <c r="M48" s="1" t="n"/>
      <c r="N48" s="35" t="inlineStr">
        <is>
          <t>REFUND/REFERRAL</t>
        </is>
      </c>
      <c r="O48" s="51" t="n"/>
      <c r="P48" s="98" t="n"/>
      <c r="Q48" s="1" t="n"/>
      <c r="R48" s="31" t="n"/>
      <c r="S48" s="100" t="n"/>
      <c r="T48" s="90" t="n"/>
      <c r="U48" s="1" t="n"/>
      <c r="V48" s="35" t="inlineStr">
        <is>
          <t>REFUND</t>
        </is>
      </c>
      <c r="W48" s="51" t="n"/>
      <c r="X48" s="90" t="n"/>
      <c r="Y48" s="1" t="n"/>
      <c r="Z48" s="35" t="inlineStr">
        <is>
          <t>REFUND</t>
        </is>
      </c>
      <c r="AA48" s="51" t="n"/>
      <c r="AB48" s="90" t="n"/>
      <c r="AC48" s="1" t="n"/>
      <c r="AD48" s="1" t="n"/>
      <c r="AE48" s="35" t="inlineStr">
        <is>
          <t>REFUND</t>
        </is>
      </c>
      <c r="AF48" s="51" t="n"/>
      <c r="AG48" s="90" t="n"/>
      <c r="AH48" s="1" t="n"/>
      <c r="AI48" s="1" t="n"/>
      <c r="AJ48" s="31" t="n"/>
      <c r="AK48" s="100" t="n"/>
      <c r="AL48" s="90" t="n"/>
    </row>
    <row r="49" ht="30.75" customHeight="1" s="220">
      <c r="A49" s="1" t="n"/>
      <c r="B49" s="96" t="inlineStr">
        <is>
          <t>PETTY CASH</t>
        </is>
      </c>
      <c r="C49" s="97" t="n"/>
      <c r="D49" s="1" t="n"/>
      <c r="E49" s="1" t="n"/>
      <c r="F49" s="52" t="inlineStr">
        <is>
          <t>VOUCHER</t>
        </is>
      </c>
      <c r="G49" s="105" t="n"/>
      <c r="H49" s="90" t="n"/>
      <c r="I49" s="1" t="n"/>
      <c r="J49" s="35" t="inlineStr">
        <is>
          <t>VOUCHER</t>
        </is>
      </c>
      <c r="K49" s="51" t="n"/>
      <c r="L49" s="90" t="n"/>
      <c r="M49" s="1" t="n"/>
      <c r="N49" s="35" t="inlineStr">
        <is>
          <t>VOUCHER</t>
        </is>
      </c>
      <c r="O49" s="51" t="n"/>
      <c r="P49" s="90" t="n"/>
      <c r="Q49" s="1" t="n"/>
      <c r="R49" s="31" t="n"/>
      <c r="S49" s="100" t="n"/>
      <c r="T49" s="90" t="n"/>
      <c r="U49" s="1" t="n"/>
      <c r="V49" s="35" t="inlineStr">
        <is>
          <t>VOUCHER</t>
        </is>
      </c>
      <c r="W49" s="51" t="n"/>
      <c r="X49" s="90" t="n"/>
      <c r="Y49" s="1" t="n"/>
      <c r="Z49" s="35" t="inlineStr">
        <is>
          <t>VOUCHER</t>
        </is>
      </c>
      <c r="AA49" s="51" t="n"/>
      <c r="AB49" s="90" t="n"/>
      <c r="AC49" s="1" t="n"/>
      <c r="AD49" s="1" t="n"/>
      <c r="AE49" s="35" t="inlineStr">
        <is>
          <t>SEDATION</t>
        </is>
      </c>
      <c r="AF49" s="51" t="n"/>
      <c r="AG49" s="90" t="n"/>
      <c r="AH49" s="1" t="n"/>
      <c r="AI49" s="1" t="n"/>
      <c r="AJ49" s="31" t="n"/>
      <c r="AK49" s="100" t="n"/>
      <c r="AL49" s="90" t="n"/>
    </row>
    <row r="50" ht="30.75" customHeight="1" s="220">
      <c r="A50" s="1" t="n"/>
      <c r="B50" s="96" t="inlineStr">
        <is>
          <t>STOCKS / CONSUMABLES FEES</t>
        </is>
      </c>
      <c r="C50" s="97" t="n"/>
      <c r="D50" s="1" t="n"/>
      <c r="E50" s="1" t="n"/>
      <c r="F50" s="31" t="inlineStr">
        <is>
          <t>RETAINERS/BT/SPLINT</t>
        </is>
      </c>
      <c r="G50" s="105" t="n"/>
      <c r="H50" s="90" t="n"/>
      <c r="I50" s="1" t="n"/>
      <c r="J50" s="35" t="inlineStr">
        <is>
          <t>RETAINERS/BT/SPLINT</t>
        </is>
      </c>
      <c r="K50" s="51" t="n"/>
      <c r="L50" s="90" t="n"/>
      <c r="M50" s="1" t="n"/>
      <c r="N50" s="35" t="inlineStr">
        <is>
          <t>RETAINERS/BT/SPLINT</t>
        </is>
      </c>
      <c r="O50" s="51" t="n"/>
      <c r="P50" s="90" t="n"/>
      <c r="Q50" s="1" t="n"/>
      <c r="R50" s="31" t="n"/>
      <c r="S50" s="100" t="n"/>
      <c r="T50" s="90" t="n"/>
      <c r="U50" s="1" t="n"/>
      <c r="V50" s="35" t="inlineStr">
        <is>
          <t>RETAINERS/BT/SPLINT</t>
        </is>
      </c>
      <c r="W50" s="51" t="n"/>
      <c r="X50" s="90" t="n"/>
      <c r="Y50" s="1" t="n"/>
      <c r="Z50" s="35" t="inlineStr">
        <is>
          <t>RETAINERS/BT/SPLINT</t>
        </is>
      </c>
      <c r="AA50" s="51" t="n"/>
      <c r="AB50" s="90" t="n"/>
      <c r="AC50" s="1" t="n"/>
      <c r="AD50" s="1" t="n"/>
      <c r="AE50" s="35" t="inlineStr">
        <is>
          <t>RETAINERS/BT/SPLINT</t>
        </is>
      </c>
      <c r="AF50" s="51" t="n"/>
      <c r="AG50" s="90" t="n"/>
      <c r="AH50" s="1" t="n"/>
      <c r="AI50" s="1" t="n"/>
      <c r="AJ50" s="31" t="n"/>
      <c r="AK50" s="100" t="n"/>
      <c r="AL50" s="90" t="n"/>
    </row>
    <row r="51" ht="30.75" customHeight="1" s="220">
      <c r="A51" s="1" t="n"/>
      <c r="B51" s="96" t="inlineStr">
        <is>
          <t xml:space="preserve">MARKETING FEE </t>
        </is>
      </c>
      <c r="C51" s="97" t="n"/>
      <c r="D51" s="1" t="n"/>
      <c r="E51" s="1" t="n"/>
      <c r="F51" s="31" t="inlineStr">
        <is>
          <t>INSTALLMENT</t>
        </is>
      </c>
      <c r="G51" s="105" t="n"/>
      <c r="H51" s="106" t="n"/>
      <c r="I51" s="1" t="n"/>
      <c r="J51" s="35" t="inlineStr">
        <is>
          <t>INSTALLMENT</t>
        </is>
      </c>
      <c r="K51" s="51" t="n"/>
      <c r="L51" s="106" t="n"/>
      <c r="M51" s="1" t="n"/>
      <c r="N51" s="35" t="inlineStr">
        <is>
          <t>INSTALLMENT</t>
        </is>
      </c>
      <c r="O51" s="51" t="n"/>
      <c r="P51" s="90" t="n"/>
      <c r="Q51" s="1" t="n"/>
      <c r="R51" s="31" t="n"/>
      <c r="S51" s="100" t="n"/>
      <c r="T51" s="90" t="n"/>
      <c r="U51" s="1" t="n"/>
      <c r="V51" s="35" t="inlineStr">
        <is>
          <t>INSTALLMENT</t>
        </is>
      </c>
      <c r="W51" s="51" t="n"/>
      <c r="X51" s="90" t="n"/>
      <c r="Y51" s="1" t="n"/>
      <c r="Z51" s="35" t="inlineStr">
        <is>
          <t>INSTALLMENT</t>
        </is>
      </c>
      <c r="AA51" s="51" t="n"/>
      <c r="AB51" s="90" t="n"/>
      <c r="AC51" s="1" t="n"/>
      <c r="AD51" s="1" t="n"/>
      <c r="AE51" s="35" t="inlineStr">
        <is>
          <t>INSTALLMENT</t>
        </is>
      </c>
      <c r="AF51" s="51" t="n"/>
      <c r="AG51" s="90" t="n"/>
      <c r="AH51" s="1" t="n"/>
      <c r="AI51" s="1" t="n"/>
      <c r="AJ51" s="31" t="n"/>
      <c r="AK51" s="100" t="n"/>
      <c r="AL51" s="90" t="n"/>
    </row>
    <row r="52" ht="30.75" customHeight="1" s="220">
      <c r="A52" s="1" t="n"/>
      <c r="B52" s="96" t="inlineStr">
        <is>
          <t>INVISALIGN</t>
        </is>
      </c>
      <c r="C52" s="97">
        <f>G45+K45+O45+S67+W45+AA45+AF45+AK67</f>
        <v/>
      </c>
      <c r="D52" s="1" t="n"/>
      <c r="E52" s="1" t="n"/>
      <c r="F52" s="35" t="inlineStr">
        <is>
          <t>DEDUCTIONS</t>
        </is>
      </c>
      <c r="G52" s="51" t="n"/>
      <c r="H52" s="101" t="n"/>
      <c r="I52" s="1" t="n"/>
      <c r="J52" s="35" t="inlineStr">
        <is>
          <t>DEDUCTIONS</t>
        </is>
      </c>
      <c r="K52" s="51" t="n"/>
      <c r="L52" s="90" t="n"/>
      <c r="M52" s="1" t="n"/>
      <c r="N52" s="35" t="inlineStr">
        <is>
          <t>DEDUCTIONS</t>
        </is>
      </c>
      <c r="O52" s="51" t="n"/>
      <c r="P52" s="90" t="n"/>
      <c r="Q52" s="1" t="n"/>
      <c r="R52" s="31" t="n"/>
      <c r="S52" s="100" t="n"/>
      <c r="T52" s="90" t="n"/>
      <c r="U52" s="1" t="n"/>
      <c r="V52" s="35" t="inlineStr">
        <is>
          <t>DEDUCTIONS</t>
        </is>
      </c>
      <c r="W52" s="51" t="n"/>
      <c r="X52" s="106" t="n"/>
      <c r="Y52" s="1" t="n"/>
      <c r="Z52" s="35" t="inlineStr">
        <is>
          <t>DEDUCTIONS</t>
        </is>
      </c>
      <c r="AA52" s="51" t="n"/>
      <c r="AB52" s="102" t="n"/>
      <c r="AC52" s="1" t="n"/>
      <c r="AD52" s="1" t="n"/>
      <c r="AE52" s="35" t="inlineStr">
        <is>
          <t>DEDUCTIONS</t>
        </is>
      </c>
      <c r="AF52" s="51" t="n"/>
      <c r="AG52" s="102" t="n"/>
      <c r="AH52" s="1" t="n"/>
      <c r="AI52" s="1" t="n"/>
      <c r="AJ52" s="31" t="n"/>
      <c r="AK52" s="100" t="n"/>
      <c r="AL52" s="90" t="n"/>
    </row>
    <row r="53" ht="30.75" customHeight="1" s="220">
      <c r="A53" s="1" t="n"/>
      <c r="B53" s="96" t="inlineStr">
        <is>
          <t>IMPLANT</t>
        </is>
      </c>
      <c r="C53" s="97">
        <f>G41+O41+S63+W41+AA41+AF41+K41+AK63</f>
        <v/>
      </c>
      <c r="D53" s="1" t="n"/>
      <c r="E53" s="1" t="n"/>
      <c r="F53" s="107" t="n"/>
      <c r="G53" s="108" t="n"/>
      <c r="H53" s="1" t="n"/>
      <c r="I53" s="1" t="n"/>
      <c r="J53" s="107" t="n"/>
      <c r="K53" s="108" t="n"/>
      <c r="L53" s="1" t="n"/>
      <c r="M53" s="1" t="n"/>
      <c r="N53" s="107" t="n"/>
      <c r="O53" s="108" t="n"/>
      <c r="P53" s="1" t="n"/>
      <c r="Q53" s="1" t="n"/>
      <c r="R53" s="31" t="n"/>
      <c r="S53" s="100" t="n"/>
      <c r="T53" s="90" t="n"/>
      <c r="U53" s="1" t="n"/>
      <c r="V53" s="107" t="n"/>
      <c r="W53" s="108" t="n"/>
      <c r="X53" s="1" t="n"/>
      <c r="Y53" s="1" t="n"/>
      <c r="Z53" s="107" t="n"/>
      <c r="AA53" s="108" t="n"/>
      <c r="AB53" s="1" t="n"/>
      <c r="AC53" s="1" t="n"/>
      <c r="AD53" s="1" t="n"/>
      <c r="AE53" s="107" t="n"/>
      <c r="AF53" s="108" t="n"/>
      <c r="AG53" s="1" t="n"/>
      <c r="AH53" s="1" t="n"/>
      <c r="AI53" s="1" t="n"/>
      <c r="AJ53" s="31" t="n"/>
      <c r="AK53" s="100" t="n"/>
      <c r="AL53" s="90" t="n"/>
    </row>
    <row r="54" ht="30.75" customHeight="1" s="220">
      <c r="A54" s="1" t="n"/>
      <c r="B54" s="96" t="inlineStr">
        <is>
          <t>SKYLAB</t>
        </is>
      </c>
      <c r="C54" s="97">
        <f>G42+O42+W42+S64+K42+AA42+AF42+AK64</f>
        <v/>
      </c>
      <c r="D54" s="1" t="n"/>
      <c r="E54" s="1" t="n"/>
      <c r="F54" s="61" t="inlineStr">
        <is>
          <t>TOTAL</t>
        </is>
      </c>
      <c r="G54" s="109">
        <f>F31-G34-G35-G37-G36-G39-G40-G41-G42-G43-G44-G45+G46-G47-G48-G49-G50-G51-G52</f>
        <v/>
      </c>
      <c r="H54" s="90" t="n"/>
      <c r="I54" s="1" t="n"/>
      <c r="J54" s="61" t="inlineStr">
        <is>
          <t>TOTAL</t>
        </is>
      </c>
      <c r="K54" s="109">
        <f>J31-K34-K35-K36-K37-K39-K40-K41-K42-K43-K44-K45+K46-K47-K48-K49-K50-K51-K52</f>
        <v/>
      </c>
      <c r="L54" s="90" t="n"/>
      <c r="M54" s="1" t="n"/>
      <c r="N54" s="61" t="inlineStr">
        <is>
          <t>TOTAL</t>
        </is>
      </c>
      <c r="O54" s="109">
        <f>N31-O34-O35-O36-O37-O39-O40-O41-O42-O43-O44-O45+O46-O47-O48-O49-O50-O51-O52</f>
        <v/>
      </c>
      <c r="P54" s="90" t="n"/>
      <c r="Q54" s="1" t="n"/>
      <c r="R54" s="31" t="n"/>
      <c r="S54" s="100" t="n"/>
      <c r="T54" s="90" t="n"/>
      <c r="U54" s="1" t="n"/>
      <c r="V54" s="61" t="inlineStr">
        <is>
          <t>TOTAL</t>
        </is>
      </c>
      <c r="W54" s="109">
        <f>V31-W34-W35-W36-W37-W39-W40-W41-W42-W43-W44-W45+W46-W47-W48-W49-W50-W51-W52</f>
        <v/>
      </c>
      <c r="X54" s="90" t="n"/>
      <c r="Y54" s="1" t="n"/>
      <c r="Z54" s="61" t="inlineStr">
        <is>
          <t>TOTAL</t>
        </is>
      </c>
      <c r="AA54" s="109">
        <f>Z31-AA34-AA35-AA36-AA37-AA39-AA40-AA41-AA42-AA43-AA44-AA45+AA46-AA47-AA48-AA49-AA50-AA51-AA52</f>
        <v/>
      </c>
      <c r="AB54" s="90" t="n"/>
      <c r="AC54" s="1" t="n"/>
      <c r="AD54" s="1" t="n"/>
      <c r="AE54" s="61" t="inlineStr">
        <is>
          <t>TOTAL</t>
        </is>
      </c>
      <c r="AF54" s="109">
        <f>AE31-AF34-AF35-AF36-AF37-AF39-AF40-AF41-AF42-AF43-AF44-AF45+AF46-AF47-AF48-AF49-AF50-AF51-AF52</f>
        <v/>
      </c>
      <c r="AG54" s="90" t="n"/>
      <c r="AH54" s="1" t="n"/>
      <c r="AI54" s="1" t="n"/>
      <c r="AJ54" s="31" t="n"/>
      <c r="AK54" s="100" t="n"/>
      <c r="AL54" s="90" t="n"/>
    </row>
    <row r="55" ht="30.75" customHeight="1" s="220">
      <c r="A55" s="1" t="n"/>
      <c r="B55" s="96" t="inlineStr">
        <is>
          <t>DIGICADCAM</t>
        </is>
      </c>
      <c r="C55" s="97">
        <f>G43+O43+W43+AA43+AF43+S65+K43+AK65</f>
        <v/>
      </c>
      <c r="D55" s="1" t="n"/>
      <c r="E55" s="1" t="n"/>
      <c r="F55" s="110" t="inlineStr">
        <is>
          <t>DOCTORS FEE BEFORE DEDUCTION</t>
        </is>
      </c>
      <c r="G55" s="111">
        <f>G54/2+G56</f>
        <v/>
      </c>
      <c r="H55" s="90" t="n"/>
      <c r="I55" s="1" t="n"/>
      <c r="J55" s="110" t="inlineStr">
        <is>
          <t>DOCTORS FEE BEFORE DEDUCTION</t>
        </is>
      </c>
      <c r="K55" s="111">
        <f>K54/2+K56</f>
        <v/>
      </c>
      <c r="L55" s="90" t="n"/>
      <c r="M55" s="1" t="n"/>
      <c r="N55" s="112" t="inlineStr">
        <is>
          <t>DOCTORS PAY</t>
        </is>
      </c>
      <c r="O55" s="111">
        <f>(O54*40%)+O56</f>
        <v/>
      </c>
      <c r="P55" s="90" t="n"/>
      <c r="Q55" s="1" t="n"/>
      <c r="R55" s="31" t="n"/>
      <c r="S55" s="100" t="n"/>
      <c r="T55" s="90" t="n"/>
      <c r="U55" s="1" t="n"/>
      <c r="V55" s="112" t="inlineStr">
        <is>
          <t>DOCTORS PAY</t>
        </is>
      </c>
      <c r="W55" s="111">
        <f>(W54*50%)+W56</f>
        <v/>
      </c>
      <c r="X55" s="90" t="n"/>
      <c r="Y55" s="1" t="n"/>
      <c r="Z55" s="112" t="inlineStr">
        <is>
          <t>DOCTORS PAY</t>
        </is>
      </c>
      <c r="AA55" s="111">
        <f>(AA54*45%)+AA56</f>
        <v/>
      </c>
      <c r="AB55" s="90" t="n"/>
      <c r="AC55" s="1" t="n"/>
      <c r="AD55" s="1" t="n"/>
      <c r="AE55" s="112" t="inlineStr">
        <is>
          <t>DOCTORS PAY</t>
        </is>
      </c>
      <c r="AF55" s="111">
        <f>(AF54*45%)+AF56</f>
        <v/>
      </c>
      <c r="AG55" s="90" t="n"/>
      <c r="AH55" s="1" t="n"/>
      <c r="AI55" s="1" t="n"/>
      <c r="AJ55" s="31" t="n"/>
      <c r="AK55" s="100" t="n"/>
      <c r="AL55" s="90" t="n"/>
    </row>
    <row r="56" ht="30.75" customHeight="1" s="220">
      <c r="A56" s="1" t="n"/>
      <c r="B56" s="113" t="inlineStr">
        <is>
          <t xml:space="preserve">OTHER LAB </t>
        </is>
      </c>
      <c r="C56" s="97">
        <f>G44+O44+K44+S66+W44+AA44+AF44+AK66</f>
        <v/>
      </c>
      <c r="D56" s="1" t="n"/>
      <c r="E56" s="1" t="n"/>
      <c r="F56" s="50" t="inlineStr">
        <is>
          <t>ADJUSTMENTS (+)</t>
        </is>
      </c>
      <c r="G56" s="36" t="n"/>
      <c r="H56" s="98" t="n"/>
      <c r="I56" s="1" t="n"/>
      <c r="J56" s="50" t="inlineStr">
        <is>
          <t>ADJUSTMENTS (+)</t>
        </is>
      </c>
      <c r="K56" s="36" t="n"/>
      <c r="L56" s="90" t="n"/>
      <c r="M56" s="1" t="n"/>
      <c r="N56" s="50" t="inlineStr">
        <is>
          <t>ADJUSTMENTS (+)</t>
        </is>
      </c>
      <c r="O56" s="36" t="n"/>
      <c r="P56" s="90" t="n"/>
      <c r="Q56" s="1" t="n"/>
      <c r="R56" s="31" t="n"/>
      <c r="S56" s="100" t="n"/>
      <c r="T56" s="90" t="n"/>
      <c r="U56" s="1" t="n"/>
      <c r="V56" s="50" t="inlineStr">
        <is>
          <t>ADJUSTMENTS (+)</t>
        </is>
      </c>
      <c r="W56" s="36" t="n"/>
      <c r="X56" s="114" t="n"/>
      <c r="Y56" s="1" t="n"/>
      <c r="Z56" s="50" t="inlineStr">
        <is>
          <t>ADJUSTMENTS (+)</t>
        </is>
      </c>
      <c r="AA56" s="111" t="n"/>
      <c r="AB56" s="90" t="n"/>
      <c r="AC56" s="1" t="n"/>
      <c r="AD56" s="1" t="n"/>
      <c r="AE56" s="50" t="inlineStr">
        <is>
          <t>ADJUSTMENTS (+)</t>
        </is>
      </c>
      <c r="AF56" s="36" t="n"/>
      <c r="AG56" s="98" t="n"/>
      <c r="AH56" s="1" t="n"/>
      <c r="AI56" s="1" t="n"/>
      <c r="AJ56" s="31" t="n"/>
      <c r="AK56" s="100" t="n"/>
      <c r="AL56" s="90" t="n"/>
    </row>
    <row r="57" ht="43.5" customHeight="1" s="220">
      <c r="A57" s="1" t="n"/>
      <c r="B57" s="96" t="inlineStr">
        <is>
          <t>ORTHO (B+B)</t>
        </is>
      </c>
      <c r="C57" s="97">
        <f>G39+K39+O39+S61+W39+AA39+AF39+AK61</f>
        <v/>
      </c>
      <c r="D57" s="1" t="n"/>
      <c r="E57" s="1" t="n"/>
      <c r="F57" s="50" t="inlineStr">
        <is>
          <t>ADJUSTMENTS (-)</t>
        </is>
      </c>
      <c r="G57" s="115">
        <f>G62+G66</f>
        <v/>
      </c>
      <c r="H57" s="114" t="inlineStr">
        <is>
          <t>ADDN MARKETING&amp; MEDISAVE ADMIN</t>
        </is>
      </c>
      <c r="I57" s="1" t="n"/>
      <c r="J57" s="50" t="inlineStr">
        <is>
          <t>ADJUSTMENTS (-)</t>
        </is>
      </c>
      <c r="K57" s="115">
        <f>K62+K66</f>
        <v/>
      </c>
      <c r="L57" s="114" t="inlineStr">
        <is>
          <t>ADDN MARKETING</t>
        </is>
      </c>
      <c r="M57" s="1" t="n"/>
      <c r="N57" s="50" t="inlineStr">
        <is>
          <t>ADJUSTMENTS (-)</t>
        </is>
      </c>
      <c r="O57" s="115">
        <f>O62+O66</f>
        <v/>
      </c>
      <c r="P57" s="114" t="inlineStr">
        <is>
          <t>ADDN MARKETING &amp; MEDISAVE ADMIN</t>
        </is>
      </c>
      <c r="Q57" s="1" t="n"/>
      <c r="R57" s="31" t="n"/>
      <c r="S57" s="100" t="n"/>
      <c r="T57" s="90" t="n"/>
      <c r="U57" s="1" t="n"/>
      <c r="V57" s="50" t="inlineStr">
        <is>
          <t>ADJUSTMENTS (-)</t>
        </is>
      </c>
      <c r="W57" s="116">
        <f>W62+W66</f>
        <v/>
      </c>
      <c r="X57" s="114" t="inlineStr">
        <is>
          <t>ADDN MKTRG &amp; MEDISAVE ADMIN</t>
        </is>
      </c>
      <c r="Y57" s="1" t="n"/>
      <c r="Z57" s="50" t="inlineStr">
        <is>
          <t>ADJUSTMENTS (-)</t>
        </is>
      </c>
      <c r="AA57" s="115">
        <f>AA62+AA66</f>
        <v/>
      </c>
      <c r="AB57" s="102" t="inlineStr">
        <is>
          <t xml:space="preserve">MEDISAVE ADMIN </t>
        </is>
      </c>
      <c r="AC57" s="1" t="n"/>
      <c r="AD57" s="1" t="n"/>
      <c r="AE57" s="50" t="inlineStr">
        <is>
          <t>ADJUSTMENTS (-)</t>
        </is>
      </c>
      <c r="AF57" s="116">
        <f>AF62+AF66</f>
        <v/>
      </c>
      <c r="AG57" s="102" t="inlineStr">
        <is>
          <t>MARKETING FEE &amp; MEDISAVE ADMIN</t>
        </is>
      </c>
      <c r="AH57" s="1" t="n"/>
      <c r="AI57" s="1" t="n"/>
      <c r="AJ57" s="31" t="n"/>
      <c r="AK57" s="100" t="n"/>
      <c r="AL57" s="90" t="n"/>
    </row>
    <row r="58" ht="30.75" customHeight="1" s="220">
      <c r="A58" s="1" t="n"/>
      <c r="B58" s="96" t="inlineStr">
        <is>
          <t>ABUTMENT</t>
        </is>
      </c>
      <c r="C58" s="97">
        <f>O40+G40+K40+S62+AA40+W40+AF40+AK62</f>
        <v/>
      </c>
      <c r="D58" s="1" t="n"/>
      <c r="E58" s="1" t="n"/>
      <c r="F58" s="50" t="inlineStr">
        <is>
          <t>NET PAY</t>
        </is>
      </c>
      <c r="G58" s="111">
        <f>G55-G57</f>
        <v/>
      </c>
      <c r="H58" s="90" t="n"/>
      <c r="I58" s="1" t="n"/>
      <c r="J58" s="50" t="inlineStr">
        <is>
          <t>NET PAY</t>
        </is>
      </c>
      <c r="K58" s="111">
        <f>K55-K57</f>
        <v/>
      </c>
      <c r="L58" s="90" t="n"/>
      <c r="M58" s="1" t="n"/>
      <c r="N58" s="50" t="inlineStr">
        <is>
          <t>NET PAY</t>
        </is>
      </c>
      <c r="O58" s="111">
        <f>O55-O57</f>
        <v/>
      </c>
      <c r="P58" s="90" t="n"/>
      <c r="Q58" s="1" t="n"/>
      <c r="R58" s="31" t="n"/>
      <c r="S58" s="100" t="n"/>
      <c r="T58" s="90" t="n"/>
      <c r="U58" s="1" t="n"/>
      <c r="V58" s="50" t="inlineStr">
        <is>
          <t>NET PAY</t>
        </is>
      </c>
      <c r="W58" s="111">
        <f>W55-W57</f>
        <v/>
      </c>
      <c r="X58" s="90" t="n"/>
      <c r="Y58" s="1" t="n"/>
      <c r="Z58" s="50" t="inlineStr">
        <is>
          <t>NET PAY</t>
        </is>
      </c>
      <c r="AA58" s="111">
        <f>AA55-AA57</f>
        <v/>
      </c>
      <c r="AB58" s="90" t="n"/>
      <c r="AC58" s="1" t="n"/>
      <c r="AD58" s="1" t="n"/>
      <c r="AE58" s="50" t="inlineStr">
        <is>
          <t>NET PAY</t>
        </is>
      </c>
      <c r="AF58" s="111">
        <f>AF55-AF57</f>
        <v/>
      </c>
      <c r="AG58" s="90" t="n"/>
      <c r="AH58" s="1" t="n"/>
      <c r="AI58" s="1" t="n"/>
      <c r="AJ58" s="31" t="n"/>
      <c r="AK58" s="100" t="n"/>
      <c r="AL58" s="90" t="n"/>
    </row>
    <row r="59" ht="30.75" customHeight="1" s="220">
      <c r="A59" s="1" t="inlineStr">
        <is>
          <t> </t>
        </is>
      </c>
      <c r="B59" s="96" t="inlineStr">
        <is>
          <t>REFUND / REFERRAL</t>
        </is>
      </c>
      <c r="C59" s="97">
        <f>G48+K48+O48+S70+W48+AA48+AF48+AK70</f>
        <v/>
      </c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31" t="inlineStr">
        <is>
          <t>ICC-5</t>
        </is>
      </c>
      <c r="S59" s="100" t="n"/>
      <c r="T59" s="90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31" t="inlineStr">
        <is>
          <t>ICC-5</t>
        </is>
      </c>
      <c r="AK59" s="100" t="n"/>
      <c r="AL59" s="90" t="n"/>
    </row>
    <row r="60" ht="30.75" customHeight="1" s="220">
      <c r="A60" s="1" t="n"/>
      <c r="B60" s="96" t="inlineStr">
        <is>
          <t>DOCTORS PAY</t>
        </is>
      </c>
      <c r="C60" s="97">
        <f>G55+K55+O55+W55+AA55+AF55</f>
        <v/>
      </c>
      <c r="D60" s="1" t="n"/>
      <c r="E60" s="1" t="n"/>
      <c r="F60" s="117" t="inlineStr">
        <is>
          <t>MEDISAVE ADMIN FEE CALCULATION:</t>
        </is>
      </c>
      <c r="G60" s="1" t="n"/>
      <c r="H60" s="1" t="n"/>
      <c r="I60" s="1" t="n"/>
      <c r="J60" s="117" t="inlineStr">
        <is>
          <t>MEDISAVE ADMIN FEE CALCULATION:</t>
        </is>
      </c>
      <c r="K60" s="1" t="n"/>
      <c r="L60" s="1" t="n"/>
      <c r="M60" s="1" t="n"/>
      <c r="N60" s="117" t="inlineStr">
        <is>
          <t>MEDISAVE ADMIN FEE CALCULATION:</t>
        </is>
      </c>
      <c r="O60" s="1" t="n"/>
      <c r="P60" s="1" t="n"/>
      <c r="Q60" s="1" t="n"/>
      <c r="R60" s="31" t="inlineStr">
        <is>
          <t>PRODUCTS</t>
        </is>
      </c>
      <c r="S60" s="100" t="n"/>
      <c r="T60" s="90" t="n"/>
      <c r="U60" s="1" t="n"/>
      <c r="V60" s="117" t="inlineStr">
        <is>
          <t>MEDISAVE ADMIN FEE CALCULATION:</t>
        </is>
      </c>
      <c r="W60" s="1" t="n"/>
      <c r="X60" s="1" t="n"/>
      <c r="Y60" s="1" t="n"/>
      <c r="Z60" s="117" t="inlineStr">
        <is>
          <t>MEDISAVE ADMIN FEE CALCULATION:</t>
        </is>
      </c>
      <c r="AA60" s="1" t="n"/>
      <c r="AB60" s="1" t="n"/>
      <c r="AC60" s="1" t="n"/>
      <c r="AD60" s="1" t="n"/>
      <c r="AE60" s="117" t="inlineStr">
        <is>
          <t>MEDISAVE ADMIN FEE CALCULATION:</t>
        </is>
      </c>
      <c r="AF60" s="1" t="n"/>
      <c r="AG60" s="1" t="n"/>
      <c r="AH60" s="1" t="n"/>
      <c r="AI60" s="1" t="n"/>
      <c r="AJ60" s="31" t="inlineStr">
        <is>
          <t>PRODUCTS</t>
        </is>
      </c>
      <c r="AK60" s="100" t="n"/>
      <c r="AL60" s="90" t="n"/>
    </row>
    <row r="61" ht="30.75" customHeight="1" s="220">
      <c r="A61" s="1" t="n"/>
      <c r="B61" s="96" t="inlineStr">
        <is>
          <t>NURSE PAY (BASIC PAY)</t>
        </is>
      </c>
      <c r="C61" s="97" t="n"/>
      <c r="D61" s="1" t="n"/>
      <c r="E61" s="1" t="n"/>
      <c r="F61" s="118" t="inlineStr">
        <is>
          <t>Medisave Claim</t>
        </is>
      </c>
      <c r="G61" s="119" t="inlineStr">
        <is>
          <t>Admin Fee</t>
        </is>
      </c>
      <c r="H61" s="119" t="inlineStr">
        <is>
          <t>REMARKS</t>
        </is>
      </c>
      <c r="I61" s="1" t="n"/>
      <c r="J61" s="118" t="inlineStr">
        <is>
          <t>Medisave Claim</t>
        </is>
      </c>
      <c r="K61" s="119" t="inlineStr">
        <is>
          <t>Admin Fee</t>
        </is>
      </c>
      <c r="L61" s="119" t="inlineStr">
        <is>
          <t>REMARKS</t>
        </is>
      </c>
      <c r="M61" s="1" t="n"/>
      <c r="N61" s="118" t="inlineStr">
        <is>
          <t>Medisave Claim</t>
        </is>
      </c>
      <c r="O61" s="119" t="inlineStr">
        <is>
          <t>Admin Fee</t>
        </is>
      </c>
      <c r="P61" s="119" t="inlineStr">
        <is>
          <t>REMARKS</t>
        </is>
      </c>
      <c r="Q61" s="1" t="n"/>
      <c r="R61" s="31" t="inlineStr">
        <is>
          <t>ORTHO (B+B)</t>
        </is>
      </c>
      <c r="S61" s="100" t="n"/>
      <c r="T61" s="90" t="n"/>
      <c r="U61" s="1" t="n"/>
      <c r="V61" s="118" t="inlineStr">
        <is>
          <t>Medisave Claim</t>
        </is>
      </c>
      <c r="W61" s="119" t="inlineStr">
        <is>
          <t>Admin Fee</t>
        </is>
      </c>
      <c r="X61" s="119" t="inlineStr">
        <is>
          <t>REMARKS</t>
        </is>
      </c>
      <c r="Y61" s="1" t="n"/>
      <c r="Z61" s="118" t="inlineStr">
        <is>
          <t>Medisave Claim</t>
        </is>
      </c>
      <c r="AA61" s="119" t="inlineStr">
        <is>
          <t>Admin Fee</t>
        </is>
      </c>
      <c r="AB61" s="119" t="inlineStr">
        <is>
          <t>REMARKS</t>
        </is>
      </c>
      <c r="AC61" s="1" t="n"/>
      <c r="AD61" s="1" t="n"/>
      <c r="AE61" s="118" t="inlineStr">
        <is>
          <t>Medisave Claim</t>
        </is>
      </c>
      <c r="AF61" s="119" t="inlineStr">
        <is>
          <t>Admin Fee</t>
        </is>
      </c>
      <c r="AG61" s="119" t="inlineStr">
        <is>
          <t>REMARKS</t>
        </is>
      </c>
      <c r="AH61" s="1" t="n"/>
      <c r="AI61" s="1" t="n"/>
      <c r="AJ61" s="31" t="inlineStr">
        <is>
          <t>ORTHO (B+B)</t>
        </is>
      </c>
      <c r="AK61" s="100" t="n"/>
      <c r="AL61" s="90" t="n"/>
    </row>
    <row r="62" ht="30.75" customHeight="1" s="220">
      <c r="A62" s="1" t="n"/>
      <c r="B62" s="96" t="inlineStr">
        <is>
          <t>NURSE PAY (INCENTIVE)</t>
        </is>
      </c>
      <c r="C62" s="97" t="n"/>
      <c r="D62" s="1" t="n"/>
      <c r="E62" s="1" t="n"/>
      <c r="F62" s="120" t="n"/>
      <c r="G62" s="121">
        <f>F62*20</f>
        <v/>
      </c>
      <c r="H62" s="121" t="n"/>
      <c r="I62" s="1" t="n"/>
      <c r="J62" s="120" t="n"/>
      <c r="K62" s="121">
        <f>J62*20</f>
        <v/>
      </c>
      <c r="L62" s="121" t="n"/>
      <c r="M62" s="1" t="n"/>
      <c r="N62" s="120" t="n"/>
      <c r="O62" s="121">
        <f>N62*20</f>
        <v/>
      </c>
      <c r="P62" s="121" t="n"/>
      <c r="Q62" s="1" t="n"/>
      <c r="R62" s="31" t="inlineStr">
        <is>
          <t>ABUTMENTS</t>
        </is>
      </c>
      <c r="S62" s="100" t="n"/>
      <c r="T62" s="90" t="n"/>
      <c r="U62" s="1" t="n"/>
      <c r="V62" s="120" t="n"/>
      <c r="W62" s="121">
        <f>V62*20</f>
        <v/>
      </c>
      <c r="X62" s="121" t="n"/>
      <c r="Y62" s="1" t="n"/>
      <c r="Z62" s="120" t="n"/>
      <c r="AA62" s="121">
        <f>Z62*20</f>
        <v/>
      </c>
      <c r="AB62" s="121" t="n"/>
      <c r="AC62" s="1" t="n"/>
      <c r="AD62" s="1" t="n"/>
      <c r="AE62" s="120" t="n"/>
      <c r="AF62" s="121">
        <f>AE62*20</f>
        <v/>
      </c>
      <c r="AG62" s="121" t="n"/>
      <c r="AH62" s="1" t="n"/>
      <c r="AI62" s="1" t="n"/>
      <c r="AJ62" s="31" t="inlineStr">
        <is>
          <t>ABUTMENTS</t>
        </is>
      </c>
      <c r="AK62" s="100" t="n"/>
      <c r="AL62" s="90" t="n"/>
    </row>
    <row r="63" ht="30.75" customHeight="1" s="220">
      <c r="A63" s="1" t="n"/>
      <c r="B63" s="96" t="inlineStr">
        <is>
          <t>NURSE TRANSFER FEE</t>
        </is>
      </c>
      <c r="C63" s="97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31" t="inlineStr">
        <is>
          <t>IMPLANT</t>
        </is>
      </c>
      <c r="S63" s="100" t="n"/>
      <c r="T63" s="90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31" t="inlineStr">
        <is>
          <t>IMPLANT</t>
        </is>
      </c>
      <c r="AK63" s="100" t="n"/>
      <c r="AL63" s="90" t="n"/>
    </row>
    <row r="64" ht="30.75" customHeight="1" s="220">
      <c r="A64" s="1" t="inlineStr">
        <is>
          <t> </t>
        </is>
      </c>
      <c r="B64" s="96" t="inlineStr">
        <is>
          <t>TANK CULTURE</t>
        </is>
      </c>
      <c r="C64" s="97" t="n">
        <v>163.5</v>
      </c>
      <c r="D64" s="1" t="n"/>
      <c r="E64" s="1" t="n"/>
      <c r="F64" s="122" t="inlineStr">
        <is>
          <t>ADDITIONAL MARKETING:</t>
        </is>
      </c>
      <c r="G64" s="1" t="n"/>
      <c r="H64" s="1" t="n"/>
      <c r="I64" s="1" t="n"/>
      <c r="J64" s="122" t="inlineStr">
        <is>
          <t>ADDITIONAL MARKETING:</t>
        </is>
      </c>
      <c r="K64" s="1" t="n"/>
      <c r="L64" s="1" t="n"/>
      <c r="M64" s="1" t="n"/>
      <c r="N64" s="122" t="inlineStr">
        <is>
          <t>ADDITIONAL MARKETING:</t>
        </is>
      </c>
      <c r="O64" s="1" t="n"/>
      <c r="P64" s="1" t="n"/>
      <c r="Q64" s="1" t="n"/>
      <c r="R64" s="31" t="inlineStr">
        <is>
          <t>SKY LAB</t>
        </is>
      </c>
      <c r="S64" s="100" t="n"/>
      <c r="T64" s="90" t="n"/>
      <c r="U64" s="1" t="n"/>
      <c r="V64" s="122" t="inlineStr">
        <is>
          <t>ADDITIONAL MARKETING:</t>
        </is>
      </c>
      <c r="W64" s="1" t="n"/>
      <c r="X64" s="1" t="n"/>
      <c r="Y64" s="1" t="n"/>
      <c r="Z64" s="122" t="inlineStr">
        <is>
          <t>ADDITIONAL MARKETING:</t>
        </is>
      </c>
      <c r="AA64" s="1" t="n"/>
      <c r="AB64" s="1" t="n"/>
      <c r="AC64" s="1" t="n"/>
      <c r="AD64" s="1" t="n"/>
      <c r="AE64" s="122" t="inlineStr">
        <is>
          <t>ADDITIONAL MARKETING:</t>
        </is>
      </c>
      <c r="AF64" s="1" t="n"/>
      <c r="AG64" s="1" t="n"/>
      <c r="AH64" s="1" t="n"/>
      <c r="AI64" s="1" t="n"/>
      <c r="AJ64" s="31" t="inlineStr">
        <is>
          <t>SKY LAB</t>
        </is>
      </c>
      <c r="AK64" s="100" t="n"/>
      <c r="AL64" s="90" t="n"/>
    </row>
    <row r="65" ht="30.75" customHeight="1" s="220">
      <c r="A65" s="1" t="inlineStr">
        <is>
          <t> </t>
        </is>
      </c>
      <c r="B65" s="96" t="inlineStr">
        <is>
          <t>SHARP BIN</t>
        </is>
      </c>
      <c r="C65" s="97" t="n"/>
      <c r="D65" s="1" t="n"/>
      <c r="E65" s="1" t="n"/>
      <c r="F65" s="123" t="inlineStr">
        <is>
          <t xml:space="preserve">MONTH </t>
        </is>
      </c>
      <c r="G65" s="124" t="inlineStr">
        <is>
          <t>AMOUNT</t>
        </is>
      </c>
      <c r="H65" s="124" t="inlineStr">
        <is>
          <t>REMARKS</t>
        </is>
      </c>
      <c r="I65" s="1" t="n"/>
      <c r="J65" s="123" t="inlineStr">
        <is>
          <t xml:space="preserve">MONTH </t>
        </is>
      </c>
      <c r="K65" s="124" t="inlineStr">
        <is>
          <t>AMOUNT</t>
        </is>
      </c>
      <c r="L65" s="124" t="inlineStr">
        <is>
          <t>REMARKS</t>
        </is>
      </c>
      <c r="M65" s="1" t="n"/>
      <c r="N65" s="123" t="inlineStr">
        <is>
          <t xml:space="preserve">MONTH </t>
        </is>
      </c>
      <c r="O65" s="124" t="inlineStr">
        <is>
          <t>AMOUNT</t>
        </is>
      </c>
      <c r="P65" s="124" t="inlineStr">
        <is>
          <t>REMARKS</t>
        </is>
      </c>
      <c r="Q65" s="1" t="n"/>
      <c r="R65" s="31" t="inlineStr">
        <is>
          <t>DIGICADCAM</t>
        </is>
      </c>
      <c r="S65" s="100" t="n"/>
      <c r="T65" s="90" t="n"/>
      <c r="U65" s="1" t="n"/>
      <c r="V65" s="123" t="inlineStr">
        <is>
          <t xml:space="preserve">MONTH </t>
        </is>
      </c>
      <c r="W65" s="124" t="inlineStr">
        <is>
          <t>AMOUNT</t>
        </is>
      </c>
      <c r="X65" s="124" t="inlineStr">
        <is>
          <t>REMARKS</t>
        </is>
      </c>
      <c r="Y65" s="1" t="n"/>
      <c r="Z65" s="123" t="inlineStr">
        <is>
          <t xml:space="preserve">MONTH </t>
        </is>
      </c>
      <c r="AA65" s="124" t="inlineStr">
        <is>
          <t>AMOUNT</t>
        </is>
      </c>
      <c r="AB65" s="124" t="inlineStr">
        <is>
          <t>REMARKS</t>
        </is>
      </c>
      <c r="AC65" s="1" t="n"/>
      <c r="AD65" s="1" t="n"/>
      <c r="AE65" s="123" t="inlineStr">
        <is>
          <t xml:space="preserve">MONTH </t>
        </is>
      </c>
      <c r="AF65" s="124" t="inlineStr">
        <is>
          <t>AMOUNT</t>
        </is>
      </c>
      <c r="AG65" s="124" t="inlineStr">
        <is>
          <t>REMARKS</t>
        </is>
      </c>
      <c r="AH65" s="1" t="n"/>
      <c r="AI65" s="1" t="n"/>
      <c r="AJ65" s="31" t="inlineStr">
        <is>
          <t>DIGICADCAM</t>
        </is>
      </c>
      <c r="AK65" s="100" t="n"/>
      <c r="AL65" s="90" t="n"/>
    </row>
    <row r="66" ht="41.25" customHeight="1" s="220">
      <c r="A66" s="1" t="n"/>
      <c r="B66" s="96" t="inlineStr">
        <is>
          <t>COURIER</t>
        </is>
      </c>
      <c r="C66" s="97" t="n">
        <v>129.44</v>
      </c>
      <c r="D66" s="1" t="n"/>
      <c r="E66" s="1" t="n"/>
      <c r="F66" s="125">
        <f>B3</f>
        <v/>
      </c>
      <c r="G66" s="128" t="n">
        <v>300</v>
      </c>
      <c r="H66" s="127" t="n"/>
      <c r="I66" s="1" t="n"/>
      <c r="J66" s="125">
        <f>F66</f>
        <v/>
      </c>
      <c r="K66" s="128" t="n">
        <v>120</v>
      </c>
      <c r="L66" s="127" t="n"/>
      <c r="M66" s="1" t="n"/>
      <c r="N66" s="125">
        <f>F66</f>
        <v/>
      </c>
      <c r="O66" s="128" t="n">
        <v>150</v>
      </c>
      <c r="P66" s="127" t="n"/>
      <c r="Q66" s="1" t="n"/>
      <c r="R66" s="31" t="inlineStr">
        <is>
          <t>OTHER LAB</t>
        </is>
      </c>
      <c r="S66" s="100" t="n"/>
      <c r="T66" s="90" t="n"/>
      <c r="U66" s="1" t="n"/>
      <c r="V66" s="125">
        <f>V3</f>
        <v/>
      </c>
      <c r="W66" s="128" t="n">
        <v>180</v>
      </c>
      <c r="X66" s="127" t="n"/>
      <c r="Y66" s="1" t="n"/>
      <c r="Z66" s="125">
        <f>V66</f>
        <v/>
      </c>
      <c r="AA66" s="128" t="n">
        <v>120</v>
      </c>
      <c r="AB66" s="127" t="n"/>
      <c r="AC66" s="1" t="n"/>
      <c r="AD66" s="1" t="n"/>
      <c r="AE66" s="125">
        <f>AE3</f>
        <v/>
      </c>
      <c r="AF66" s="128" t="n">
        <v>180</v>
      </c>
      <c r="AG66" s="127" t="n"/>
      <c r="AH66" s="1" t="n"/>
      <c r="AI66" s="1" t="n"/>
      <c r="AJ66" s="31" t="inlineStr">
        <is>
          <t>OTHER LAB</t>
        </is>
      </c>
      <c r="AK66" s="100" t="n"/>
      <c r="AL66" s="90" t="n"/>
    </row>
    <row r="67" ht="36" customHeight="1" s="220">
      <c r="A67" s="1" t="n"/>
      <c r="B67" s="96" t="inlineStr">
        <is>
          <t>REPAIR &amp; MAINTENANCE</t>
        </is>
      </c>
      <c r="C67" s="97" t="n"/>
      <c r="D67" s="2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31" t="inlineStr">
        <is>
          <t>INVISALIGN</t>
        </is>
      </c>
      <c r="S67" s="100" t="n"/>
      <c r="T67" s="90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31" t="inlineStr">
        <is>
          <t>INVISALIGN</t>
        </is>
      </c>
      <c r="AK67" s="100" t="n"/>
      <c r="AL67" s="90" t="n"/>
    </row>
    <row r="68" ht="33" customHeight="1" s="220">
      <c r="A68" s="1" t="n"/>
      <c r="B68" s="131" t="inlineStr">
        <is>
          <t>MOM LEVY</t>
        </is>
      </c>
      <c r="C68" s="130">
        <f>400+400</f>
        <v/>
      </c>
      <c r="D68" s="1" t="n"/>
      <c r="E68" s="1" t="n"/>
      <c r="F68" s="122" t="inlineStr">
        <is>
          <t>OTHERS: (CPF,PERSONAL REFUND, COURSEFEE)</t>
        </is>
      </c>
      <c r="G68" s="1" t="n"/>
      <c r="H68" s="1" t="n"/>
      <c r="I68" s="1" t="n"/>
      <c r="J68" s="122" t="inlineStr">
        <is>
          <t>OTHERS: (CPF,PERSONAL REFUND, COURSEFEE)</t>
        </is>
      </c>
      <c r="K68" s="1" t="n"/>
      <c r="L68" s="1" t="n"/>
      <c r="M68" s="1" t="n"/>
      <c r="N68" s="122" t="inlineStr">
        <is>
          <t>OTHERS: (CPF,PERSONAL REFUND, COURSEFEE)</t>
        </is>
      </c>
      <c r="O68" s="1" t="n"/>
      <c r="P68" s="1" t="n"/>
      <c r="Q68" s="1" t="n"/>
      <c r="R68" s="31" t="inlineStr">
        <is>
          <t>TRANSFER (+)</t>
        </is>
      </c>
      <c r="S68" s="100" t="n"/>
      <c r="T68" s="90" t="n"/>
      <c r="U68" s="1" t="n"/>
      <c r="V68" s="122" t="inlineStr">
        <is>
          <t>OTHERS: (CPF,PERSONAL REFUND, COURSEFEE)</t>
        </is>
      </c>
      <c r="W68" s="1" t="n"/>
      <c r="X68" s="1" t="n"/>
      <c r="Y68" s="1" t="n"/>
      <c r="Z68" s="122" t="inlineStr">
        <is>
          <t>OTHERS: (CPF,PERSONAL REFUND, COURSEFEE)</t>
        </is>
      </c>
      <c r="AA68" s="1" t="n"/>
      <c r="AB68" s="1" t="n"/>
      <c r="AC68" s="1" t="n"/>
      <c r="AD68" s="1" t="n"/>
      <c r="AE68" s="122" t="inlineStr">
        <is>
          <t>OTHERS: (CPF,PERSONAL REFUND, COURSEFEE)</t>
        </is>
      </c>
      <c r="AF68" s="1" t="n"/>
      <c r="AG68" s="1" t="n"/>
      <c r="AH68" s="1" t="n"/>
      <c r="AI68" s="1" t="n"/>
      <c r="AJ68" s="31" t="inlineStr">
        <is>
          <t>TRANSFER (+)</t>
        </is>
      </c>
      <c r="AK68" s="100" t="n"/>
      <c r="AL68" s="98" t="n"/>
    </row>
    <row r="69" ht="33.75" customHeight="1" s="220">
      <c r="A69" s="1" t="n"/>
      <c r="B69" s="131" t="inlineStr">
        <is>
          <t xml:space="preserve">NEW CATEGORY </t>
        </is>
      </c>
      <c r="C69" s="133" t="inlineStr">
        <is>
          <t>AMOUNT</t>
        </is>
      </c>
      <c r="D69" s="1" t="n"/>
      <c r="E69" s="1" t="n"/>
      <c r="F69" s="122" t="n"/>
      <c r="G69" s="1" t="n"/>
      <c r="H69" s="1" t="n"/>
      <c r="I69" s="1" t="n"/>
      <c r="J69" s="122" t="n"/>
      <c r="K69" s="1" t="n"/>
      <c r="L69" s="1" t="n"/>
      <c r="M69" s="1" t="n"/>
      <c r="N69" s="122" t="n"/>
      <c r="O69" s="1" t="n"/>
      <c r="P69" s="1" t="n"/>
      <c r="Q69" s="1" t="n"/>
      <c r="R69" s="31" t="inlineStr">
        <is>
          <t>TRANSFER (-)</t>
        </is>
      </c>
      <c r="S69" s="100" t="n"/>
      <c r="T69" s="90" t="n"/>
      <c r="U69" s="1" t="n"/>
      <c r="V69" s="122" t="n"/>
      <c r="W69" s="1" t="n"/>
      <c r="X69" s="1" t="n"/>
      <c r="Y69" s="1" t="n"/>
      <c r="Z69" s="122" t="n"/>
      <c r="AA69" s="1" t="n"/>
      <c r="AB69" s="1" t="n"/>
      <c r="AC69" s="1" t="n"/>
      <c r="AD69" s="1" t="n"/>
      <c r="AE69" s="122" t="n"/>
      <c r="AF69" s="1" t="n"/>
      <c r="AG69" s="1" t="n"/>
      <c r="AH69" s="1" t="n"/>
      <c r="AI69" s="1" t="n"/>
      <c r="AJ69" s="31" t="inlineStr">
        <is>
          <t>TRANSFER (-)</t>
        </is>
      </c>
      <c r="AK69" s="100" t="n"/>
      <c r="AL69" s="102" t="n"/>
    </row>
    <row r="70" ht="45" customHeight="1" s="220">
      <c r="A70" s="1" t="n"/>
      <c r="B70" s="131" t="n"/>
      <c r="C70" s="133" t="n"/>
      <c r="D70" s="1" t="n"/>
      <c r="E70" s="1" t="n"/>
      <c r="F70" s="134" t="inlineStr">
        <is>
          <t>DETAILS</t>
        </is>
      </c>
      <c r="G70" s="134" t="inlineStr">
        <is>
          <t>AMOUNT</t>
        </is>
      </c>
      <c r="H70" s="127" t="n"/>
      <c r="I70" s="1" t="n"/>
      <c r="J70" s="134" t="inlineStr">
        <is>
          <t>DETAILS</t>
        </is>
      </c>
      <c r="K70" s="134" t="inlineStr">
        <is>
          <t>AMOUNT</t>
        </is>
      </c>
      <c r="L70" s="127" t="n"/>
      <c r="M70" s="1" t="n"/>
      <c r="N70" s="134" t="inlineStr">
        <is>
          <t>DETAILS</t>
        </is>
      </c>
      <c r="O70" s="134" t="inlineStr">
        <is>
          <t>AMOUNT</t>
        </is>
      </c>
      <c r="P70" s="127" t="n"/>
      <c r="Q70" s="1" t="n"/>
      <c r="R70" s="52" t="inlineStr">
        <is>
          <t>REFUND</t>
        </is>
      </c>
      <c r="S70" s="105" t="n"/>
      <c r="T70" s="90" t="n"/>
      <c r="U70" s="1" t="n"/>
      <c r="V70" s="134" t="inlineStr">
        <is>
          <t>DETAILS</t>
        </is>
      </c>
      <c r="W70" s="134" t="inlineStr">
        <is>
          <t>AMOUNT</t>
        </is>
      </c>
      <c r="X70" s="127" t="n"/>
      <c r="Y70" s="1" t="n"/>
      <c r="Z70" s="134" t="inlineStr">
        <is>
          <t>DETAILS</t>
        </is>
      </c>
      <c r="AA70" s="134" t="inlineStr">
        <is>
          <t>AMOUNT</t>
        </is>
      </c>
      <c r="AB70" s="127" t="n"/>
      <c r="AC70" s="1" t="n"/>
      <c r="AD70" s="1" t="n"/>
      <c r="AE70" s="134" t="inlineStr">
        <is>
          <t>DETAILS</t>
        </is>
      </c>
      <c r="AF70" s="134" t="inlineStr">
        <is>
          <t>AMOUNT</t>
        </is>
      </c>
      <c r="AG70" s="127" t="n"/>
      <c r="AH70" s="1" t="n"/>
      <c r="AI70" s="1" t="n"/>
      <c r="AJ70" s="52" t="inlineStr">
        <is>
          <t>REFUND</t>
        </is>
      </c>
      <c r="AK70" s="105" t="n"/>
      <c r="AL70" s="90" t="n"/>
    </row>
    <row r="71" ht="27.75" customHeight="1" s="220">
      <c r="A71" s="1" t="n"/>
      <c r="B71" s="90" t="n"/>
      <c r="C71" s="90" t="n"/>
      <c r="D71" s="1" t="n"/>
      <c r="E71" s="1" t="n"/>
      <c r="F71" s="134" t="n"/>
      <c r="G71" s="134" t="n"/>
      <c r="H71" s="127" t="n"/>
      <c r="I71" s="135" t="n"/>
      <c r="J71" s="134" t="n"/>
      <c r="K71" s="134" t="n"/>
      <c r="L71" s="127" t="n"/>
      <c r="M71" s="135" t="n"/>
      <c r="N71" s="134" t="n"/>
      <c r="O71" s="134" t="n"/>
      <c r="P71" s="127" t="n"/>
      <c r="Q71" s="135" t="n"/>
      <c r="R71" s="52" t="inlineStr">
        <is>
          <t>VOUCHER</t>
        </is>
      </c>
      <c r="S71" s="105" t="n"/>
      <c r="T71" s="90" t="n"/>
      <c r="U71" s="135" t="n"/>
      <c r="V71" s="134" t="n"/>
      <c r="W71" s="134" t="n"/>
      <c r="X71" s="127" t="n"/>
      <c r="Y71" s="136" t="n"/>
      <c r="Z71" s="134" t="n"/>
      <c r="AA71" s="134" t="n"/>
      <c r="AB71" s="127" t="n"/>
      <c r="AC71" s="136" t="n"/>
      <c r="AD71" s="135" t="n"/>
      <c r="AE71" s="134" t="inlineStr">
        <is>
          <t>CPF</t>
        </is>
      </c>
      <c r="AF71" s="134">
        <f>1800+306</f>
        <v/>
      </c>
      <c r="AG71" s="127" t="n"/>
      <c r="AH71" s="1" t="inlineStr">
        <is>
          <t>feb 2191</t>
        </is>
      </c>
      <c r="AI71" s="135" t="n"/>
      <c r="AJ71" s="52" t="inlineStr">
        <is>
          <t>SEDATION</t>
        </is>
      </c>
      <c r="AK71" s="105" t="n"/>
      <c r="AL71" s="90" t="n"/>
    </row>
    <row r="72" ht="27.75" customHeight="1" s="220">
      <c r="A72" s="137" t="n"/>
      <c r="B72" s="137" t="n"/>
      <c r="C72" s="137" t="n"/>
      <c r="D72" s="137" t="n"/>
      <c r="E72" s="137" t="n"/>
      <c r="F72" s="134" t="n"/>
      <c r="G72" s="134" t="n"/>
      <c r="H72" s="127" t="n"/>
      <c r="I72" s="138" t="n"/>
      <c r="J72" s="134" t="n"/>
      <c r="K72" s="134" t="n"/>
      <c r="L72" s="127" t="n"/>
      <c r="M72" s="138" t="n"/>
      <c r="N72" s="134" t="n"/>
      <c r="O72" s="134" t="n"/>
      <c r="P72" s="127" t="n"/>
      <c r="Q72" s="138" t="n"/>
      <c r="R72" s="31" t="inlineStr">
        <is>
          <t>RETAINERS/BT/SPLINT</t>
        </is>
      </c>
      <c r="S72" s="105" t="n"/>
      <c r="T72" s="90" t="n"/>
      <c r="U72" s="138" t="n"/>
      <c r="V72" s="134" t="n"/>
      <c r="W72" s="134" t="n"/>
      <c r="X72" s="127" t="n"/>
      <c r="Y72" s="138" t="n"/>
      <c r="Z72" s="134" t="n"/>
      <c r="AA72" s="134" t="n"/>
      <c r="AB72" s="127" t="n"/>
      <c r="AC72" s="137" t="n"/>
      <c r="AD72" s="138" t="n"/>
      <c r="AE72" s="134" t="n"/>
      <c r="AF72" s="134" t="n"/>
      <c r="AG72" s="127" t="n"/>
      <c r="AH72" s="137" t="n"/>
      <c r="AI72" s="138" t="n"/>
      <c r="AJ72" s="31" t="inlineStr">
        <is>
          <t>RETAINERS/BT/SPLINT</t>
        </is>
      </c>
      <c r="AK72" s="105" t="n"/>
      <c r="AL72" s="90" t="n"/>
    </row>
    <row r="73" ht="46.5" customHeight="1" s="220">
      <c r="A73" s="1" t="n"/>
      <c r="B73" s="139" t="inlineStr">
        <is>
          <t>TOTAL</t>
        </is>
      </c>
      <c r="C73" s="140">
        <f>B31-C34-C35-C59-C36-C37-C43-C44-C39-C47-C40-C46-C49-C50-C52-C51-C56-C55-C54-C60-C61-C62-C63-C48-C64-C41-C65-C42-C68-C67-C66-C91-C92-C93-C94-C95-C96-C69-C70-C71</f>
        <v/>
      </c>
      <c r="D73" s="137" t="n"/>
      <c r="E73" s="1" t="n"/>
      <c r="F73" s="134" t="n"/>
      <c r="G73" s="134" t="n"/>
      <c r="H73" s="127" t="n"/>
      <c r="I73" s="1" t="n"/>
      <c r="J73" s="134" t="n"/>
      <c r="K73" s="134" t="n"/>
      <c r="L73" s="127" t="n"/>
      <c r="M73" s="1" t="n"/>
      <c r="N73" s="134" t="n"/>
      <c r="O73" s="134" t="n"/>
      <c r="P73" s="127" t="n"/>
      <c r="Q73" s="1" t="n"/>
      <c r="R73" s="31" t="inlineStr">
        <is>
          <t>INSTALLMENT</t>
        </is>
      </c>
      <c r="S73" s="105" t="n"/>
      <c r="T73" s="90" t="n"/>
      <c r="U73" s="1" t="n"/>
      <c r="V73" s="134" t="n"/>
      <c r="W73" s="127" t="n"/>
      <c r="X73" s="127" t="n"/>
      <c r="Y73" s="1" t="n"/>
      <c r="Z73" s="134" t="n"/>
      <c r="AA73" s="134" t="n"/>
      <c r="AB73" s="127" t="n"/>
      <c r="AC73" s="1" t="n"/>
      <c r="AD73" s="1" t="n"/>
      <c r="AE73" s="134" t="n"/>
      <c r="AF73" s="134" t="n"/>
      <c r="AG73" s="127" t="n"/>
      <c r="AH73" s="1" t="n"/>
      <c r="AI73" s="1" t="n"/>
      <c r="AJ73" s="31" t="inlineStr">
        <is>
          <t>INSTALLMENT</t>
        </is>
      </c>
      <c r="AK73" s="105" t="n"/>
      <c r="AL73" s="90" t="n"/>
    </row>
    <row r="74" ht="31.5" customHeight="1" s="220">
      <c r="A74" s="1" t="n"/>
      <c r="B74" s="141" t="inlineStr">
        <is>
          <t>FOR INCENTIVE %</t>
        </is>
      </c>
      <c r="C74" s="142">
        <f>B31-C34-C35-C59-C43-C44-C47-C46-C49-C45-C50-C51-C48-C64-C41-C65-C42-C66-C94-C96-C95-C67-C93-C91-C69-C70-C71</f>
        <v/>
      </c>
      <c r="D74" s="143" t="n"/>
      <c r="E74" s="1" t="n"/>
      <c r="F74" s="134" t="n"/>
      <c r="G74" s="134" t="n"/>
      <c r="H74" s="127" t="n"/>
      <c r="I74" s="1" t="n"/>
      <c r="J74" s="134" t="n"/>
      <c r="K74" s="134" t="n"/>
      <c r="L74" s="127" t="n"/>
      <c r="M74" s="1" t="n"/>
      <c r="N74" s="134" t="n"/>
      <c r="O74" s="134" t="n"/>
      <c r="P74" s="127" t="n"/>
      <c r="Q74" s="1" t="n"/>
      <c r="R74" s="144" t="inlineStr">
        <is>
          <t>DEDUCTIONS</t>
        </is>
      </c>
      <c r="S74" s="145" t="n"/>
      <c r="T74" s="90" t="n"/>
      <c r="U74" s="1" t="n"/>
      <c r="V74" s="134" t="n"/>
      <c r="W74" s="134" t="n"/>
      <c r="X74" s="127" t="n"/>
      <c r="Y74" s="1" t="n"/>
      <c r="Z74" s="134" t="n"/>
      <c r="AA74" s="134" t="n"/>
      <c r="AB74" s="127" t="n"/>
      <c r="AC74" s="1" t="n"/>
      <c r="AD74" s="1" t="n"/>
      <c r="AE74" s="134" t="n"/>
      <c r="AF74" s="134" t="n"/>
      <c r="AG74" s="127" t="n"/>
      <c r="AH74" s="1" t="n"/>
      <c r="AI74" s="1" t="n"/>
      <c r="AJ74" s="144" t="inlineStr">
        <is>
          <t>DEDUCTIONS</t>
        </is>
      </c>
      <c r="AK74" s="145" t="n"/>
      <c r="AL74" s="102" t="n"/>
    </row>
    <row r="75" ht="31.5" customHeight="1" s="220">
      <c r="A75" s="1" t="n"/>
      <c r="B75" s="146" t="inlineStr">
        <is>
          <t>PERCENT</t>
        </is>
      </c>
      <c r="C75" s="147">
        <f>VLOOKUP(C74,'% RATES INCENTIVES AMK'!C:D,2,TRUE)</f>
        <v/>
      </c>
      <c r="D75" s="1" t="n"/>
      <c r="E75" s="1" t="n"/>
      <c r="F75" s="134" t="n"/>
      <c r="G75" s="134" t="n"/>
      <c r="H75" s="127" t="n"/>
      <c r="I75" s="1" t="n"/>
      <c r="J75" s="134" t="n"/>
      <c r="K75" s="134" t="n"/>
      <c r="L75" s="127" t="n"/>
      <c r="M75" s="1" t="n"/>
      <c r="N75" s="134" t="n"/>
      <c r="O75" s="134" t="n"/>
      <c r="P75" s="127" t="n"/>
      <c r="Q75" s="1" t="n"/>
      <c r="R75" s="148" t="n"/>
      <c r="S75" s="148" t="n"/>
      <c r="T75" s="1" t="n"/>
      <c r="U75" s="1" t="n"/>
      <c r="V75" s="134" t="n"/>
      <c r="W75" s="134" t="n"/>
      <c r="X75" s="127" t="n"/>
      <c r="Y75" s="1" t="n"/>
      <c r="Z75" s="134" t="n"/>
      <c r="AA75" s="134" t="n"/>
      <c r="AB75" s="127" t="n"/>
      <c r="AC75" s="1" t="n"/>
      <c r="AD75" s="1" t="n"/>
      <c r="AE75" s="134" t="n"/>
      <c r="AF75" s="134" t="n"/>
      <c r="AG75" s="127" t="n"/>
      <c r="AH75" s="1" t="n"/>
      <c r="AI75" s="1" t="n"/>
      <c r="AJ75" s="148" t="n"/>
      <c r="AK75" s="148" t="n"/>
      <c r="AL75" s="1" t="n"/>
    </row>
    <row r="76" ht="34.5" customHeight="1" s="220">
      <c r="A76" s="1" t="inlineStr">
        <is>
          <t>INCOME LESS GST</t>
        </is>
      </c>
      <c r="B76" s="149">
        <f>B31-C35</f>
        <v/>
      </c>
      <c r="C76" s="150">
        <f>C73/B76*100</f>
        <v/>
      </c>
      <c r="D76" s="151" t="inlineStr">
        <is>
          <t>%</t>
        </is>
      </c>
      <c r="E76" s="1" t="n"/>
      <c r="F76" s="134" t="n"/>
      <c r="G76" s="134" t="n"/>
      <c r="H76" s="127" t="n"/>
      <c r="I76" s="1" t="n"/>
      <c r="J76" s="134" t="n"/>
      <c r="K76" s="134" t="n"/>
      <c r="L76" s="127" t="n"/>
      <c r="M76" s="1" t="n"/>
      <c r="N76" s="134" t="n"/>
      <c r="O76" s="134" t="n"/>
      <c r="P76" s="127" t="n"/>
      <c r="Q76" s="1" t="n"/>
      <c r="R76" s="61" t="inlineStr">
        <is>
          <t>TOTAL</t>
        </is>
      </c>
      <c r="S76" s="109">
        <f>#REF!-S34-S35-S60-S59-S61-S62-S63-S64-S65-S66-S67+S68-S69-S70-S71-S72-S73-S74</f>
        <v/>
      </c>
      <c r="T76" s="90" t="n"/>
      <c r="U76" s="1" t="n"/>
      <c r="V76" s="134" t="n"/>
      <c r="W76" s="134" t="n"/>
      <c r="X76" s="127" t="n"/>
      <c r="Y76" s="1" t="n"/>
      <c r="Z76" s="134" t="n"/>
      <c r="AA76" s="134" t="n"/>
      <c r="AB76" s="127" t="n"/>
      <c r="AC76" s="1" t="n"/>
      <c r="AD76" s="1" t="n"/>
      <c r="AE76" s="134" t="n"/>
      <c r="AF76" s="134" t="n"/>
      <c r="AG76" s="127" t="n"/>
      <c r="AH76" s="1" t="n"/>
      <c r="AI76" s="1" t="n"/>
      <c r="AJ76" s="61" t="inlineStr">
        <is>
          <t>TOTAL</t>
        </is>
      </c>
      <c r="AK76" s="109">
        <f>#REF!-AK34-AK35-AK59-AK60-AK61-AK62-AK63-AK64-AK65-AK66-AK67+AK68-AK69-AK70-AK71-AK72-AK73-AK74</f>
        <v/>
      </c>
      <c r="AL76" s="90" t="n"/>
    </row>
    <row r="77" ht="33.75" customHeight="1" s="220">
      <c r="A77" s="1" t="n"/>
      <c r="B77" s="152" t="inlineStr">
        <is>
          <t> </t>
        </is>
      </c>
      <c r="C77" s="153" t="n"/>
      <c r="D77" s="1" t="n"/>
      <c r="E77" s="1" t="n"/>
      <c r="F77" s="154" t="n"/>
      <c r="G77" s="154" t="n"/>
      <c r="H77" s="155" t="n"/>
      <c r="I77" s="1" t="n"/>
      <c r="J77" s="154" t="n"/>
      <c r="K77" s="154" t="n"/>
      <c r="L77" s="155" t="n"/>
      <c r="M77" s="1" t="n"/>
      <c r="N77" s="154" t="n"/>
      <c r="O77" s="154" t="n"/>
      <c r="P77" s="155" t="n"/>
      <c r="Q77" s="1" t="n"/>
      <c r="R77" s="112" t="inlineStr">
        <is>
          <t>DOCTORS PAY</t>
        </is>
      </c>
      <c r="S77" s="111">
        <f>(S76*50%)+S78</f>
        <v/>
      </c>
      <c r="T77" s="90" t="n"/>
      <c r="U77" s="1" t="n"/>
      <c r="V77" s="154" t="n"/>
      <c r="W77" s="154" t="n"/>
      <c r="X77" s="155" t="n"/>
      <c r="Y77" s="1" t="n"/>
      <c r="Z77" s="154" t="n"/>
      <c r="AA77" s="154" t="n"/>
      <c r="AB77" s="155" t="n"/>
      <c r="AC77" s="1" t="n"/>
      <c r="AD77" s="1" t="n"/>
      <c r="AE77" s="154" t="n"/>
      <c r="AF77" s="154" t="n"/>
      <c r="AG77" s="155" t="n"/>
      <c r="AH77" s="1" t="n"/>
      <c r="AI77" s="1" t="n"/>
      <c r="AJ77" s="112" t="inlineStr">
        <is>
          <t>DOCTORS PAY</t>
        </is>
      </c>
      <c r="AK77" s="111">
        <f>(AK76*50%)+AK78</f>
        <v/>
      </c>
      <c r="AL77" s="90" t="n"/>
    </row>
    <row r="78" ht="36.75" customHeight="1" s="220">
      <c r="A78" s="1" t="n"/>
      <c r="B78" s="156" t="inlineStr">
        <is>
          <t>MEDISAVE ADMIN</t>
        </is>
      </c>
      <c r="C78" s="157">
        <f>G62+K62+O62+S84+W62+AA62+AF62+AK84</f>
        <v/>
      </c>
      <c r="D78" s="158">
        <f>C78/20</f>
        <v/>
      </c>
      <c r="E78" s="1" t="n"/>
      <c r="F78" s="159" t="inlineStr">
        <is>
          <t>TOTAL PAYMENT</t>
        </is>
      </c>
      <c r="G78" s="160">
        <f>G58-G71-G75-G76-G72-G73-G74</f>
        <v/>
      </c>
      <c r="H78" s="1" t="n"/>
      <c r="I78" s="1" t="n"/>
      <c r="J78" s="159" t="inlineStr">
        <is>
          <t>TOTAL PAYMENT</t>
        </is>
      </c>
      <c r="K78" s="160">
        <f>K58-K71-K75-K76-K72-K73-K74</f>
        <v/>
      </c>
      <c r="L78" s="1" t="n"/>
      <c r="M78" s="1" t="n"/>
      <c r="N78" s="159" t="inlineStr">
        <is>
          <t>TOTAL PAYMENT</t>
        </is>
      </c>
      <c r="O78" s="160">
        <f>O58-O71-O75-O76-O72-O73-O74</f>
        <v/>
      </c>
      <c r="P78" s="1" t="inlineStr">
        <is>
          <t>  </t>
        </is>
      </c>
      <c r="Q78" s="1" t="n"/>
      <c r="R78" s="50" t="inlineStr">
        <is>
          <t>ADJUSTMENTS (+)</t>
        </is>
      </c>
      <c r="S78" s="36" t="n"/>
      <c r="T78" s="90" t="n"/>
      <c r="U78" s="1" t="n"/>
      <c r="V78" s="159" t="inlineStr">
        <is>
          <t>TOTAL PAYMENT</t>
        </is>
      </c>
      <c r="W78" s="160">
        <f>W58-W71-W75-W76-W72-W73-W74</f>
        <v/>
      </c>
      <c r="X78" s="1" t="n"/>
      <c r="Y78" s="1" t="n"/>
      <c r="Z78" s="159" t="inlineStr">
        <is>
          <t>TOTAL PAYMENT</t>
        </is>
      </c>
      <c r="AA78" s="160">
        <f>AA58-AA71-AA75-AA76-AA72-AA73-AA74</f>
        <v/>
      </c>
      <c r="AB78" s="1" t="n"/>
      <c r="AC78" s="1" t="n"/>
      <c r="AD78" s="1" t="n"/>
      <c r="AE78" s="159" t="inlineStr">
        <is>
          <t>TOTAL PAYMENT</t>
        </is>
      </c>
      <c r="AF78" s="160">
        <f>AF58-AF71-AF75-AF76-AF72-AF73-AF74</f>
        <v/>
      </c>
      <c r="AG78" s="1" t="n"/>
      <c r="AH78" s="1" t="n"/>
      <c r="AI78" s="1" t="n"/>
      <c r="AJ78" s="50" t="inlineStr">
        <is>
          <t>ADJUSTMENTS (+)</t>
        </is>
      </c>
      <c r="AK78" s="36" t="n"/>
      <c r="AL78" s="98" t="n"/>
    </row>
    <row r="79" ht="39" customHeight="1" s="220">
      <c r="A79" s="1" t="n"/>
      <c r="B79" s="156" t="inlineStr">
        <is>
          <t>ADDITIONAL MARKETING</t>
        </is>
      </c>
      <c r="C79" s="157">
        <f>G66+K66+O66+S88+W66+AA66+AF66</f>
        <v/>
      </c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50" t="inlineStr">
        <is>
          <t>ADJUSTMENTS (-)</t>
        </is>
      </c>
      <c r="S79" s="115">
        <f>S84+S88</f>
        <v/>
      </c>
      <c r="T79" s="98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50" t="inlineStr">
        <is>
          <t>ADJUSTMENTS (-)</t>
        </is>
      </c>
      <c r="AK79" s="116">
        <f>AK84+AK88</f>
        <v/>
      </c>
      <c r="AL79" s="102" t="inlineStr">
        <is>
          <t>MARKETING FEE &amp; MEDISAVE ADMIN</t>
        </is>
      </c>
    </row>
    <row r="80" ht="27.75" customHeight="1" s="220">
      <c r="A80" s="1" t="n"/>
      <c r="B80" s="161" t="inlineStr">
        <is>
          <t>DOCTORS PERSONAL DEDUCTION</t>
        </is>
      </c>
      <c r="C80" s="157">
        <f>G71+G75+G76+K71+K75+K76+O71+O75+O76+S93+S97+S98+W71+W75+W76+AA71+AA75+AA76+AF71+AF75+AF76+G72+G73+G74+K72+K73+K74+O72+O73+O74+S94+S95+S96+W72+W73+W74+AA72+AA73+AA74+AF72+AF73+AF74</f>
        <v/>
      </c>
      <c r="D80" s="137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50" t="inlineStr">
        <is>
          <t>NET PAY</t>
        </is>
      </c>
      <c r="S80" s="111">
        <f>S77-S79</f>
        <v/>
      </c>
      <c r="T80" s="90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50" t="inlineStr">
        <is>
          <t>NET PAY</t>
        </is>
      </c>
      <c r="AK80" s="111">
        <f>AK77-AK79</f>
        <v/>
      </c>
      <c r="AL80" s="90" t="n"/>
    </row>
    <row r="81" ht="28.5" customHeight="1" s="220">
      <c r="A81" s="1" t="n"/>
      <c r="B81" s="156" t="inlineStr">
        <is>
          <t>TOTAL</t>
        </is>
      </c>
      <c r="C81" s="162">
        <f>SUM(C78:C80)</f>
        <v/>
      </c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63" t="n"/>
      <c r="Z81" s="1" t="n"/>
      <c r="AA81" s="1" t="n"/>
      <c r="AB81" s="1" t="n"/>
      <c r="AC81" s="1" t="n"/>
      <c r="AD81" s="163" t="n"/>
      <c r="AE81" s="1" t="n"/>
      <c r="AF81" s="1" t="n"/>
      <c r="AG81" s="1" t="n"/>
      <c r="AH81" s="1" t="n"/>
      <c r="AI81" s="163" t="n"/>
      <c r="AJ81" s="1" t="n"/>
      <c r="AK81" s="1" t="n"/>
      <c r="AL81" s="1" t="n"/>
    </row>
    <row r="82" ht="28.5" customHeight="1" s="220">
      <c r="A82" s="1" t="n"/>
      <c r="B82" s="164" t="inlineStr">
        <is>
          <t>TOTAL ICC-5</t>
        </is>
      </c>
      <c r="C82" s="164">
        <f>G36+K36+O36+S59+AA36+W36+AF36</f>
        <v/>
      </c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17" t="inlineStr">
        <is>
          <t>MEDISAVE ADMIN FEE CALCULATION:</t>
        </is>
      </c>
      <c r="S82" s="1" t="n"/>
      <c r="T82" s="1" t="n"/>
      <c r="U82" s="1" t="n"/>
      <c r="V82" s="1" t="n"/>
      <c r="W82" s="1" t="n"/>
      <c r="X82" s="1" t="n"/>
      <c r="Y82" s="163" t="n"/>
      <c r="Z82" s="1" t="n"/>
      <c r="AA82" s="1" t="n"/>
      <c r="AB82" s="1" t="n"/>
      <c r="AC82" s="1" t="n"/>
      <c r="AD82" s="163" t="n"/>
      <c r="AE82" s="1" t="n"/>
      <c r="AF82" s="1" t="n"/>
      <c r="AG82" s="1" t="n"/>
      <c r="AH82" s="1" t="n"/>
      <c r="AI82" s="163" t="n"/>
      <c r="AJ82" s="117" t="inlineStr">
        <is>
          <t>MEDISAVE ADMIN FEE CALCULATION:</t>
        </is>
      </c>
      <c r="AK82" s="1" t="n"/>
      <c r="AL82" s="1" t="n"/>
    </row>
    <row r="83" ht="49.5" customHeight="1" s="220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63" t="n"/>
      <c r="N83" s="1" t="n"/>
      <c r="O83" s="1" t="n"/>
      <c r="P83" s="1" t="n"/>
      <c r="Q83" s="1" t="n"/>
      <c r="R83" s="118" t="inlineStr">
        <is>
          <t>Medisave Claim</t>
        </is>
      </c>
      <c r="S83" s="119" t="inlineStr">
        <is>
          <t>Admin Fee</t>
        </is>
      </c>
      <c r="T83" s="119" t="inlineStr">
        <is>
          <t>REMARKS</t>
        </is>
      </c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18" t="inlineStr">
        <is>
          <t>Medisave Claim</t>
        </is>
      </c>
      <c r="AK83" s="119" t="inlineStr">
        <is>
          <t>Admin Fee</t>
        </is>
      </c>
      <c r="AL83" s="119" t="inlineStr">
        <is>
          <t>REMARKS</t>
        </is>
      </c>
    </row>
    <row r="84" ht="26.25" customHeight="1" s="220">
      <c r="A84" s="1" t="n"/>
      <c r="B84" s="165" t="inlineStr">
        <is>
          <t>NURSES FEE-REVENUE</t>
        </is>
      </c>
      <c r="C84" s="166">
        <f>(C61+C62+C63)/B31</f>
        <v/>
      </c>
      <c r="D84" s="137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20" t="n"/>
      <c r="S84" s="121">
        <f>R84*20</f>
        <v/>
      </c>
      <c r="T84" s="12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20" t="n"/>
      <c r="AK84" s="121">
        <f>AJ84*20</f>
        <v/>
      </c>
      <c r="AL84" s="121" t="n"/>
    </row>
    <row r="85" ht="21" customHeight="1" s="220">
      <c r="A85" s="1" t="n"/>
      <c r="B85" s="165" t="inlineStr">
        <is>
          <t>CONSUMABLE EXCL OFFICE RENT - REVENUE</t>
        </is>
      </c>
      <c r="C85" s="166">
        <f>(C50+C47+C49)/B31</f>
        <v/>
      </c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</row>
    <row r="86" ht="21" customHeight="1" s="220">
      <c r="A86" s="1" t="n"/>
      <c r="B86" s="165" t="inlineStr">
        <is>
          <t>OFFICE RENT &amp; ADMIN STAFF - REVENUE</t>
        </is>
      </c>
      <c r="C86" s="166">
        <f>(C46/B31)</f>
        <v/>
      </c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22" t="inlineStr">
        <is>
          <t>ADDITIONAL MARKETING:</t>
        </is>
      </c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22" t="inlineStr">
        <is>
          <t>ADDITIONAL MARKETING:</t>
        </is>
      </c>
      <c r="AK86" s="1" t="n"/>
      <c r="AL86" s="1" t="n"/>
    </row>
    <row r="87" ht="21" customHeight="1" s="220">
      <c r="A87" s="1" t="n"/>
      <c r="B87" s="167" t="inlineStr">
        <is>
          <t>MARKETING - REVENUE</t>
        </is>
      </c>
      <c r="C87" s="166">
        <f>C51/B31</f>
        <v/>
      </c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23" t="inlineStr">
        <is>
          <t xml:space="preserve">MONTH </t>
        </is>
      </c>
      <c r="S87" s="124" t="inlineStr">
        <is>
          <t>AMOUNT</t>
        </is>
      </c>
      <c r="T87" s="124" t="inlineStr">
        <is>
          <t>REMARKS</t>
        </is>
      </c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23" t="inlineStr">
        <is>
          <t xml:space="preserve">MONTH </t>
        </is>
      </c>
      <c r="AK87" s="124" t="inlineStr">
        <is>
          <t>AMOUNT</t>
        </is>
      </c>
      <c r="AL87" s="124" t="inlineStr">
        <is>
          <t>REMARKS</t>
        </is>
      </c>
    </row>
    <row r="88" ht="18.75" customHeight="1" s="220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25">
        <f>R3</f>
        <v/>
      </c>
      <c r="S88" s="128" t="n"/>
      <c r="T88" s="127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25">
        <f>AJ3</f>
        <v/>
      </c>
      <c r="AK88" s="128" t="n"/>
      <c r="AL88" s="127" t="n"/>
    </row>
    <row r="89" ht="16.5" customHeight="1" s="220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</row>
    <row r="90" ht="16.5" customHeight="1" s="22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22" t="inlineStr">
        <is>
          <t>OTHERS: (CPF,PERSONAL REFUND, COURSEFEE)</t>
        </is>
      </c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22" t="inlineStr">
        <is>
          <t>OTHERS: (CPF,PERSONAL REFUND, COURSEFEE)</t>
        </is>
      </c>
      <c r="AK90" s="1" t="n"/>
      <c r="AL90" s="1" t="n"/>
    </row>
    <row r="91" ht="30.75" customHeight="1" s="220">
      <c r="A91" s="1" t="n"/>
      <c r="B91" s="168" t="n"/>
      <c r="C91" s="169" t="n"/>
      <c r="D91" s="1" t="inlineStr">
        <is>
          <t> </t>
        </is>
      </c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22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22" t="n"/>
      <c r="AK91" s="1" t="n"/>
      <c r="AL91" s="1" t="n"/>
    </row>
    <row r="92" ht="30.75" customHeight="1" s="220">
      <c r="A92" s="1" t="n"/>
      <c r="B92" s="168" t="n"/>
      <c r="C92" s="169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34" t="inlineStr">
        <is>
          <t>DETAILS</t>
        </is>
      </c>
      <c r="S92" s="134" t="inlineStr">
        <is>
          <t>AMOUNT</t>
        </is>
      </c>
      <c r="T92" s="127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34" t="inlineStr">
        <is>
          <t>DETAILS</t>
        </is>
      </c>
      <c r="AK92" s="134" t="inlineStr">
        <is>
          <t>AMOUNT</t>
        </is>
      </c>
      <c r="AL92" s="127" t="n"/>
    </row>
    <row r="93" ht="30.75" customHeight="1" s="220">
      <c r="A93" s="1" t="n"/>
      <c r="B93" s="168" t="n"/>
      <c r="C93" s="169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34" t="n"/>
      <c r="S93" s="134" t="n"/>
      <c r="T93" s="127" t="n"/>
      <c r="U93" s="1" t="n"/>
      <c r="V93" s="1" t="n"/>
      <c r="W93" s="1" t="n"/>
      <c r="X93" s="1" t="n"/>
      <c r="Y93" s="136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inlineStr">
        <is>
          <t>feb 2191</t>
        </is>
      </c>
      <c r="AI93" s="1" t="n"/>
      <c r="AJ93" s="134" t="n"/>
      <c r="AK93" s="134" t="n"/>
      <c r="AL93" s="127" t="n"/>
    </row>
    <row r="94" ht="30.75" customHeight="1" s="220">
      <c r="A94" s="1" t="n"/>
      <c r="B94" s="168" t="n"/>
      <c r="C94" s="169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34" t="n"/>
      <c r="S94" s="134" t="n"/>
      <c r="T94" s="127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34" t="n"/>
      <c r="AK94" s="134" t="n"/>
      <c r="AL94" s="127" t="n"/>
    </row>
    <row r="95" ht="30.75" customHeight="1" s="220">
      <c r="A95" s="1" t="n"/>
      <c r="B95" s="117" t="n"/>
      <c r="C95" s="169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34" t="n"/>
      <c r="S95" s="134" t="n"/>
      <c r="T95" s="127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34" t="n"/>
      <c r="AK95" s="134" t="n"/>
      <c r="AL95" s="127" t="n"/>
    </row>
    <row r="96" ht="30.75" customHeight="1" s="220">
      <c r="A96" s="1" t="n"/>
      <c r="B96" s="117" t="n"/>
      <c r="C96" s="169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34" t="n"/>
      <c r="S96" s="134" t="n"/>
      <c r="T96" s="127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34" t="n"/>
      <c r="AK96" s="134" t="n"/>
      <c r="AL96" s="127" t="n"/>
    </row>
    <row r="97" ht="18.75" customHeight="1" s="220">
      <c r="A97" s="137" t="n"/>
      <c r="B97" s="137" t="n"/>
      <c r="C97" s="137" t="n"/>
      <c r="D97" s="137" t="n"/>
      <c r="E97" s="137" t="n"/>
      <c r="F97" s="137" t="n"/>
      <c r="G97" s="137" t="n"/>
      <c r="H97" s="137" t="n"/>
      <c r="I97" s="137" t="n"/>
      <c r="J97" s="137" t="n"/>
      <c r="K97" s="137" t="n"/>
      <c r="L97" s="137" t="n"/>
      <c r="M97" s="1" t="n"/>
      <c r="N97" s="137" t="n"/>
      <c r="O97" s="137" t="n"/>
      <c r="P97" s="137" t="n"/>
      <c r="Q97" s="137" t="n"/>
      <c r="R97" s="134" t="n"/>
      <c r="S97" s="134" t="n"/>
      <c r="T97" s="127" t="n"/>
      <c r="U97" s="137" t="n"/>
      <c r="V97" s="137" t="n"/>
      <c r="W97" s="137" t="n"/>
      <c r="X97" s="137" t="n"/>
      <c r="Y97" s="137" t="n"/>
      <c r="Z97" s="137" t="n"/>
      <c r="AA97" s="137" t="n"/>
      <c r="AB97" s="137" t="n"/>
      <c r="AC97" s="137" t="n"/>
      <c r="AD97" s="137" t="n"/>
      <c r="AE97" s="137" t="n"/>
      <c r="AF97" s="137" t="n"/>
      <c r="AG97" s="137" t="n"/>
      <c r="AH97" s="137" t="n"/>
      <c r="AI97" s="137" t="n"/>
      <c r="AJ97" s="134" t="n"/>
      <c r="AK97" s="134" t="n"/>
      <c r="AL97" s="127" t="n"/>
    </row>
    <row r="98" ht="41.25" customHeight="1" s="220">
      <c r="A98" s="1" t="n"/>
      <c r="B98" s="1" t="n"/>
      <c r="C98" s="2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37" t="n"/>
      <c r="N98" s="1" t="n"/>
      <c r="O98" s="1" t="n"/>
      <c r="P98" s="1" t="n"/>
      <c r="Q98" s="1" t="n"/>
      <c r="R98" s="134" t="n"/>
      <c r="S98" s="134" t="n"/>
      <c r="T98" s="127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34" t="n"/>
      <c r="AK98" s="134" t="n"/>
      <c r="AL98" s="127" t="n"/>
    </row>
    <row r="99" ht="18.75" customHeight="1" s="220">
      <c r="A99" s="1" t="n"/>
      <c r="B99" s="1" t="n"/>
      <c r="C99" s="2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54" t="n"/>
      <c r="S99" s="154" t="n"/>
      <c r="T99" s="155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54" t="n"/>
      <c r="AK99" s="154" t="n"/>
      <c r="AL99" s="155" t="n"/>
    </row>
    <row r="100" ht="30.75" customHeight="1" s="220">
      <c r="A100" s="1" t="n"/>
      <c r="B100" s="1" t="n"/>
      <c r="C100" s="2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59" t="inlineStr">
        <is>
          <t>TOTAL CHEQUE AMOUNT</t>
        </is>
      </c>
      <c r="S100" s="160">
        <f>S80-S93-S97-S98-S94-S95-S96</f>
        <v/>
      </c>
      <c r="T100" s="2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59" t="inlineStr">
        <is>
          <t>TOTAL CHEQUE AMOUNT</t>
        </is>
      </c>
      <c r="AK100" s="160">
        <f>AK80-AK93-AK97-AK98-AK94-AK95-AK96</f>
        <v/>
      </c>
      <c r="AL100" s="1" t="n"/>
    </row>
    <row r="101" ht="16.5" customHeight="1" s="220">
      <c r="A101" s="1" t="n"/>
      <c r="B101" s="1" t="n"/>
      <c r="C101" s="2" t="n"/>
      <c r="D101" s="1" t="n"/>
      <c r="E101" s="1" t="n"/>
      <c r="F101" s="137" t="n"/>
      <c r="G101" s="137" t="n"/>
      <c r="H101" s="137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</row>
    <row r="102" ht="16.5" customHeight="1" s="220">
      <c r="A102" s="1" t="n"/>
      <c r="B102" s="1" t="n"/>
      <c r="C102" s="2" t="n"/>
      <c r="D102" s="1" t="n"/>
      <c r="E102" s="2" t="n"/>
      <c r="F102" s="1" t="n"/>
      <c r="G102" s="1" t="n"/>
      <c r="H102" s="137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</row>
    <row r="103" ht="16.5" customHeight="1" s="220">
      <c r="A103" s="1" t="n"/>
      <c r="B103" s="1" t="n"/>
      <c r="C103" s="2" t="n"/>
      <c r="D103" s="1" t="n"/>
      <c r="E103" s="1" t="n"/>
      <c r="F103" s="1" t="n"/>
      <c r="G103" s="1" t="n"/>
      <c r="H103" s="137" t="n"/>
      <c r="I103" s="1" t="n"/>
      <c r="J103" s="1" t="n"/>
      <c r="K103" s="1" t="n"/>
      <c r="L103" s="137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</row>
    <row r="104" ht="16.5" customHeight="1" s="220">
      <c r="A104" s="137" t="n"/>
      <c r="B104" s="1" t="n"/>
      <c r="C104" s="2" t="n"/>
      <c r="D104" s="1" t="n"/>
      <c r="E104" s="137" t="n"/>
      <c r="F104" s="1" t="n"/>
      <c r="G104" s="1" t="n"/>
      <c r="H104" s="137" t="n"/>
      <c r="I104" s="1" t="n"/>
      <c r="J104" s="137" t="n"/>
      <c r="K104" s="137" t="n"/>
      <c r="L104" s="137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</row>
    <row r="105" ht="16.5" customHeight="1" s="220">
      <c r="A105" s="1" t="n"/>
      <c r="B105" s="1" t="n"/>
      <c r="C105" s="2" t="n"/>
      <c r="D105" s="1" t="n"/>
      <c r="E105" s="1" t="n"/>
      <c r="F105" s="1" t="n"/>
      <c r="G105" s="1" t="n"/>
      <c r="H105" s="137" t="n"/>
      <c r="I105" s="1" t="n"/>
      <c r="J105" s="1" t="n"/>
      <c r="K105" s="1" t="n"/>
      <c r="L105" s="137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</row>
    <row r="106" ht="16.5" customHeight="1" s="220">
      <c r="A106" s="1" t="n"/>
      <c r="B106" s="1" t="n"/>
      <c r="C106" s="2" t="n"/>
      <c r="D106" s="1" t="n"/>
      <c r="E106" s="1" t="n"/>
      <c r="F106" s="137" t="n"/>
      <c r="G106" s="137" t="n"/>
      <c r="H106" s="137" t="n"/>
      <c r="I106" s="1" t="n"/>
      <c r="J106" s="1" t="n"/>
      <c r="K106" s="1" t="n"/>
      <c r="L106" s="137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</row>
    <row r="107" ht="16.5" customHeight="1" s="220">
      <c r="A107" s="1" t="n"/>
      <c r="B107" s="1" t="n"/>
      <c r="C107" s="2" t="n"/>
      <c r="D107" s="1" t="n"/>
      <c r="E107" s="1" t="n"/>
      <c r="F107" s="1" t="n"/>
      <c r="G107" s="1" t="n"/>
      <c r="H107" s="137" t="n"/>
      <c r="I107" s="1" t="n"/>
      <c r="J107" s="1" t="n"/>
      <c r="K107" s="1" t="n"/>
      <c r="L107" s="137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</row>
    <row r="108" ht="16.5" customHeight="1" s="220">
      <c r="A108" s="137" t="n"/>
      <c r="B108" s="1" t="n"/>
      <c r="C108" s="2" t="n"/>
      <c r="D108" s="1" t="n"/>
      <c r="E108" s="137" t="n"/>
      <c r="F108" s="1" t="n"/>
      <c r="G108" s="1" t="n"/>
      <c r="H108" s="137" t="n"/>
      <c r="I108" s="1" t="n"/>
      <c r="J108" s="137" t="n"/>
      <c r="K108" s="137" t="n"/>
      <c r="L108" s="137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</row>
    <row r="109" ht="16.5" customHeight="1" s="220">
      <c r="A109" s="1" t="n"/>
      <c r="B109" s="1" t="n"/>
      <c r="C109" s="2" t="n"/>
      <c r="D109" s="1" t="n"/>
      <c r="E109" s="1" t="n"/>
      <c r="F109" s="137" t="n"/>
      <c r="G109" s="137" t="n"/>
      <c r="H109" s="137" t="n"/>
      <c r="I109" s="1" t="n"/>
      <c r="J109" s="1" t="n"/>
      <c r="K109" s="1" t="n"/>
      <c r="L109" s="137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</row>
    <row r="110" ht="16.5" customHeight="1" s="220">
      <c r="A110" s="1" t="n"/>
      <c r="B110" s="1" t="n"/>
      <c r="C110" s="2" t="n"/>
      <c r="D110" s="1" t="n"/>
      <c r="E110" s="137" t="n"/>
      <c r="F110" s="1" t="n"/>
      <c r="G110" s="1" t="n"/>
      <c r="H110" s="137" t="n"/>
      <c r="I110" s="1" t="n"/>
      <c r="J110" s="1" t="n"/>
      <c r="K110" s="1" t="n"/>
      <c r="L110" s="137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</row>
    <row r="111" ht="16.5" customHeight="1" s="220">
      <c r="A111" s="1" t="n"/>
      <c r="B111" s="1" t="n"/>
      <c r="C111" s="2" t="n"/>
      <c r="D111" s="1" t="n"/>
      <c r="E111" s="1" t="n"/>
      <c r="F111" s="1" t="n"/>
      <c r="G111" s="1" t="n"/>
      <c r="H111" s="137" t="n"/>
      <c r="I111" s="1" t="n"/>
      <c r="J111" s="1" t="n"/>
      <c r="K111" s="1" t="n"/>
      <c r="L111" s="137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</row>
    <row r="112" ht="16.5" customHeight="1" s="220">
      <c r="A112" s="137" t="n"/>
      <c r="B112" s="1" t="n"/>
      <c r="C112" s="2" t="n"/>
      <c r="D112" s="1" t="n"/>
      <c r="E112" s="1" t="n"/>
      <c r="F112" s="1" t="n"/>
      <c r="G112" s="1" t="n"/>
      <c r="H112" s="137" t="n"/>
      <c r="I112" s="1" t="n"/>
      <c r="J112" s="1" t="n"/>
      <c r="K112" s="1" t="n"/>
      <c r="L112" s="137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</row>
    <row r="113" ht="16.5" customHeight="1" s="220">
      <c r="A113" s="1" t="n"/>
      <c r="B113" s="1" t="n"/>
      <c r="C113" s="1" t="n"/>
      <c r="D113" s="1" t="n"/>
      <c r="E113" s="1" t="n"/>
      <c r="F113" s="137" t="n"/>
      <c r="G113" s="137" t="n"/>
      <c r="H113" s="137" t="n"/>
      <c r="I113" s="1" t="n"/>
      <c r="J113" s="137" t="n"/>
      <c r="K113" s="137" t="n"/>
      <c r="L113" s="137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</row>
    <row r="114" ht="16.5" customHeight="1" s="220">
      <c r="A114" s="1" t="n"/>
      <c r="B114" s="1" t="n"/>
      <c r="C114" s="137" t="n"/>
      <c r="D114" s="137" t="n"/>
      <c r="E114" s="137" t="n"/>
      <c r="F114" s="1" t="n"/>
      <c r="G114" s="1" t="n"/>
      <c r="H114" s="137" t="n"/>
      <c r="I114" s="1" t="n"/>
      <c r="J114" s="1" t="n"/>
      <c r="K114" s="1" t="n"/>
      <c r="L114" s="137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</row>
    <row r="115" ht="16.5" customHeight="1" s="220">
      <c r="A115" s="1" t="n"/>
      <c r="B115" s="1" t="n"/>
      <c r="C115" s="1" t="n"/>
      <c r="D115" s="1" t="n"/>
      <c r="E115" s="1" t="n"/>
      <c r="F115" s="1" t="n"/>
      <c r="G115" s="1" t="n"/>
      <c r="H115" s="137" t="n"/>
      <c r="I115" s="1" t="n"/>
      <c r="J115" s="1" t="n"/>
      <c r="K115" s="1" t="n"/>
      <c r="L115" s="137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</row>
    <row r="116" ht="16.5" customHeight="1" s="220">
      <c r="A116" s="137" t="n"/>
      <c r="B116" s="137" t="n"/>
      <c r="C116" s="137" t="n"/>
      <c r="D116" s="1" t="n"/>
      <c r="E116" s="1" t="n"/>
      <c r="F116" s="1" t="n"/>
      <c r="G116" s="1" t="n"/>
      <c r="H116" s="137" t="n"/>
      <c r="I116" s="1" t="n"/>
      <c r="J116" s="1" t="n"/>
      <c r="K116" s="1" t="n"/>
      <c r="L116" s="137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</row>
    <row r="117" ht="16.5" customHeight="1" s="220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</row>
    <row r="118" ht="16.5" customHeight="1" s="220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</row>
    <row r="119" ht="16.5" customHeight="1" s="220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</row>
    <row r="120" ht="16.5" customHeight="1" s="220">
      <c r="A120" s="137" t="n"/>
      <c r="B120" s="137" t="n"/>
      <c r="C120" s="137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</row>
    <row r="121" ht="16.5" customHeight="1" s="220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</row>
    <row r="122" ht="16.5" customHeight="1" s="220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</row>
    <row r="123" ht="16.5" customHeight="1" s="220">
      <c r="A123" s="137" t="n"/>
      <c r="B123" s="137" t="n"/>
      <c r="C123" s="137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</row>
    <row r="124" ht="16.5" customHeight="1" s="220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</row>
    <row r="125" ht="16.5" customHeight="1" s="220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</row>
    <row r="126" ht="16.5" customHeight="1" s="220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</row>
    <row r="127" ht="16.5" customHeight="1" s="220">
      <c r="A127" s="137" t="n"/>
      <c r="B127" s="137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</row>
    <row r="128" ht="16.5" customHeight="1" s="220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</row>
    <row r="129" ht="16.5" customHeight="1" s="220">
      <c r="A129" s="1" t="n"/>
      <c r="B129" s="1" t="n"/>
      <c r="C129" s="137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</row>
    <row r="130" ht="16.5" customHeight="1" s="22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</row>
    <row r="131" ht="16.5" customHeight="1" s="220">
      <c r="A131" s="137" t="n"/>
      <c r="B131" s="137" t="n"/>
      <c r="C131" s="137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</row>
    <row r="132" ht="16.5" customHeight="1" s="220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</row>
    <row r="133" ht="16.5" customHeight="1" s="220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</row>
    <row r="134" ht="16.5" customHeight="1" s="220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</row>
    <row r="135" ht="16.5" customHeight="1" s="220">
      <c r="A135" s="1" t="n"/>
      <c r="B135" s="1" t="n"/>
      <c r="C135" s="2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</row>
    <row r="136" ht="16.5" customHeight="1" s="220">
      <c r="A136" s="1" t="n"/>
      <c r="B136" s="1" t="n"/>
      <c r="C136" s="2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</row>
    <row r="137" ht="16.5" customHeight="1" s="220">
      <c r="A137" s="1" t="n"/>
      <c r="B137" s="1" t="n"/>
      <c r="C137" s="2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</row>
    <row r="138" ht="16.5" customHeight="1" s="220">
      <c r="A138" s="1" t="n"/>
      <c r="B138" s="1" t="n"/>
      <c r="C138" s="2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</row>
    <row r="139" ht="16.5" customHeight="1" s="220">
      <c r="A139" s="1" t="n"/>
      <c r="B139" s="1" t="n"/>
      <c r="C139" s="2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</row>
    <row r="140" ht="16.5" customHeight="1" s="220">
      <c r="A140" s="1" t="n"/>
      <c r="B140" s="1" t="n"/>
      <c r="C140" s="2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</row>
    <row r="141" ht="16.5" customHeight="1" s="220">
      <c r="A141" s="1" t="n"/>
      <c r="B141" s="1" t="n"/>
      <c r="C141" s="2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</row>
    <row r="142" ht="16.5" customHeight="1" s="220">
      <c r="A142" s="1" t="n"/>
      <c r="B142" s="1" t="n"/>
      <c r="C142" s="2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</row>
    <row r="143" ht="16.5" customHeight="1" s="220">
      <c r="A143" s="1" t="n"/>
      <c r="B143" s="1" t="n"/>
      <c r="C143" s="2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</row>
    <row r="144" ht="16.5" customHeight="1" s="220">
      <c r="A144" s="1" t="n"/>
      <c r="B144" s="1" t="n"/>
      <c r="C144" s="2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</row>
    <row r="145" ht="16.5" customHeight="1" s="220">
      <c r="A145" s="1" t="n"/>
      <c r="B145" s="1" t="n"/>
      <c r="C145" s="2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</row>
    <row r="146" ht="16.5" customHeight="1" s="220">
      <c r="A146" s="1" t="n"/>
      <c r="B146" s="1" t="n"/>
      <c r="C146" s="2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</row>
    <row r="147" ht="16.5" customHeight="1" s="220">
      <c r="A147" s="1" t="n"/>
      <c r="B147" s="1" t="n"/>
      <c r="C147" s="2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</row>
    <row r="148" ht="16.5" customHeight="1" s="220">
      <c r="A148" s="1" t="n"/>
      <c r="B148" s="1" t="n"/>
      <c r="C148" s="2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</row>
    <row r="149" ht="16.5" customHeight="1" s="220">
      <c r="A149" s="1" t="n"/>
      <c r="B149" s="1" t="n"/>
      <c r="C149" s="2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</row>
    <row r="150" ht="16.5" customHeight="1" s="220">
      <c r="A150" s="1" t="n"/>
      <c r="B150" s="1" t="n"/>
      <c r="C150" s="2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</row>
    <row r="151" ht="16.5" customHeight="1" s="220">
      <c r="A151" s="1" t="n"/>
      <c r="B151" s="1" t="n"/>
      <c r="C151" s="2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</row>
    <row r="152" ht="16.5" customHeight="1" s="220">
      <c r="A152" s="1" t="n"/>
      <c r="B152" s="1" t="n"/>
      <c r="C152" s="2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</row>
    <row r="153" ht="16.5" customHeight="1" s="220">
      <c r="A153" s="1" t="n"/>
      <c r="B153" s="1" t="n"/>
      <c r="C153" s="2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</row>
    <row r="154" ht="16.5" customHeight="1" s="220">
      <c r="A154" s="1" t="n"/>
      <c r="B154" s="1" t="n"/>
      <c r="C154" s="2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</row>
    <row r="155" ht="16.5" customHeight="1" s="220">
      <c r="A155" s="1" t="n"/>
      <c r="B155" s="1" t="n"/>
      <c r="C155" s="2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</row>
    <row r="156" ht="16.5" customHeight="1" s="220">
      <c r="A156" s="1" t="n"/>
      <c r="B156" s="1" t="n"/>
      <c r="C156" s="2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</row>
    <row r="157" ht="16.5" customHeight="1" s="220">
      <c r="A157" s="1" t="n"/>
      <c r="B157" s="1" t="n"/>
      <c r="C157" s="2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</row>
    <row r="158" ht="16.5" customHeight="1" s="220">
      <c r="A158" s="1" t="n"/>
      <c r="B158" s="1" t="n"/>
      <c r="C158" s="2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</row>
    <row r="159" ht="16.5" customHeight="1" s="220">
      <c r="A159" s="1" t="n"/>
      <c r="B159" s="1" t="n"/>
      <c r="C159" s="2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</row>
    <row r="160" ht="16.5" customHeight="1" s="220">
      <c r="A160" s="1" t="n"/>
      <c r="B160" s="1" t="n"/>
      <c r="C160" s="2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</row>
    <row r="161" ht="16.5" customHeight="1" s="220">
      <c r="A161" s="1" t="n"/>
      <c r="B161" s="1" t="n"/>
      <c r="C161" s="2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</row>
    <row r="162" ht="16.5" customHeight="1" s="220">
      <c r="A162" s="1" t="n"/>
      <c r="B162" s="1" t="n"/>
      <c r="C162" s="2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</row>
    <row r="163" ht="16.5" customHeight="1" s="220">
      <c r="A163" s="1" t="n"/>
      <c r="B163" s="1" t="n"/>
      <c r="C163" s="2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</row>
    <row r="164" ht="16.5" customHeight="1" s="220">
      <c r="A164" s="1" t="n"/>
      <c r="B164" s="1" t="n"/>
      <c r="C164" s="2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</row>
    <row r="165" ht="16.5" customHeight="1" s="220">
      <c r="A165" s="1" t="n"/>
      <c r="B165" s="1" t="n"/>
      <c r="C165" s="2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</row>
    <row r="166" ht="16.5" customHeight="1" s="220">
      <c r="A166" s="1" t="n"/>
      <c r="B166" s="1" t="n"/>
      <c r="C166" s="2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</row>
    <row r="167" ht="16.5" customHeight="1" s="220">
      <c r="A167" s="1" t="n"/>
      <c r="B167" s="1" t="n"/>
      <c r="C167" s="2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</row>
    <row r="168" ht="16.5" customHeight="1" s="220">
      <c r="A168" s="1" t="n"/>
      <c r="B168" s="1" t="n"/>
      <c r="C168" s="2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</row>
    <row r="169" ht="16.5" customHeight="1" s="220">
      <c r="A169" s="1" t="n"/>
      <c r="B169" s="1" t="n"/>
      <c r="C169" s="2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</row>
    <row r="170" ht="16.5" customHeight="1" s="220">
      <c r="A170" s="1" t="n"/>
      <c r="B170" s="1" t="n"/>
      <c r="C170" s="2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</row>
    <row r="171" ht="16.5" customHeight="1" s="220">
      <c r="A171" s="1" t="n"/>
      <c r="B171" s="1" t="n"/>
      <c r="C171" s="2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</row>
    <row r="172" ht="16.5" customHeight="1" s="220">
      <c r="A172" s="1" t="n"/>
      <c r="B172" s="1" t="n"/>
      <c r="C172" s="2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</row>
    <row r="173" ht="16.5" customHeight="1" s="220">
      <c r="A173" s="1" t="n"/>
      <c r="B173" s="1" t="n"/>
      <c r="C173" s="2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</row>
    <row r="174" ht="16.5" customHeight="1" s="220">
      <c r="A174" s="1" t="n"/>
      <c r="B174" s="1" t="n"/>
      <c r="C174" s="2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</row>
    <row r="175" ht="16.5" customHeight="1" s="220">
      <c r="A175" s="1" t="n"/>
      <c r="B175" s="1" t="n"/>
      <c r="C175" s="2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</row>
    <row r="176" ht="16.5" customHeight="1" s="220">
      <c r="A176" s="1" t="n"/>
      <c r="B176" s="1" t="n"/>
      <c r="C176" s="2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</row>
    <row r="177" ht="16.5" customHeight="1" s="220">
      <c r="A177" s="1" t="n"/>
      <c r="B177" s="1" t="n"/>
      <c r="C177" s="2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</row>
    <row r="178" ht="16.5" customHeight="1" s="220">
      <c r="A178" s="1" t="n"/>
      <c r="B178" s="1" t="n"/>
      <c r="C178" s="2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</row>
    <row r="179" ht="16.5" customHeight="1" s="220">
      <c r="A179" s="1" t="n"/>
      <c r="B179" s="1" t="n"/>
      <c r="C179" s="2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</row>
    <row r="180" ht="16.5" customHeight="1" s="220">
      <c r="A180" s="1" t="n"/>
      <c r="B180" s="1" t="n"/>
      <c r="C180" s="2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</row>
    <row r="181" ht="16.5" customHeight="1" s="220">
      <c r="A181" s="1" t="n"/>
      <c r="B181" s="1" t="n"/>
      <c r="C181" s="2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</row>
    <row r="182" ht="16.5" customHeight="1" s="220">
      <c r="A182" s="1" t="n"/>
      <c r="B182" s="1" t="n"/>
      <c r="C182" s="2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</row>
    <row r="183" ht="16.5" customHeight="1" s="220">
      <c r="A183" s="1" t="n"/>
      <c r="B183" s="1" t="n"/>
      <c r="C183" s="2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</row>
    <row r="184" ht="16.5" customHeight="1" s="220">
      <c r="A184" s="1" t="n"/>
      <c r="B184" s="1" t="n"/>
      <c r="C184" s="2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</row>
    <row r="185" ht="16.5" customHeight="1" s="220">
      <c r="A185" s="1" t="n"/>
      <c r="B185" s="1" t="n"/>
      <c r="C185" s="2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</row>
    <row r="186" ht="16.5" customHeight="1" s="220">
      <c r="A186" s="1" t="n"/>
      <c r="B186" s="1" t="n"/>
      <c r="C186" s="2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</row>
    <row r="187" ht="16.5" customHeight="1" s="220">
      <c r="A187" s="1" t="n"/>
      <c r="B187" s="1" t="n"/>
      <c r="C187" s="2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</row>
    <row r="188" ht="16.5" customHeight="1" s="220">
      <c r="A188" s="1" t="n"/>
      <c r="B188" s="1" t="n"/>
      <c r="C188" s="2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</row>
    <row r="189" ht="16.5" customHeight="1" s="220">
      <c r="A189" s="1" t="n"/>
      <c r="B189" s="1" t="n"/>
      <c r="C189" s="2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</row>
    <row r="190" ht="16.5" customHeight="1" s="220">
      <c r="A190" s="1" t="n"/>
      <c r="B190" s="1" t="n"/>
      <c r="C190" s="2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</row>
    <row r="191" ht="16.5" customHeight="1" s="220">
      <c r="A191" s="1" t="n"/>
      <c r="B191" s="1" t="n"/>
      <c r="C191" s="2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</row>
    <row r="192" ht="16.5" customHeight="1" s="220">
      <c r="A192" s="1" t="n"/>
      <c r="B192" s="1" t="n"/>
      <c r="C192" s="2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</row>
    <row r="193" ht="16.5" customHeight="1" s="220">
      <c r="A193" s="1" t="n"/>
      <c r="B193" s="1" t="n"/>
      <c r="C193" s="2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</row>
    <row r="194" ht="16.5" customHeight="1" s="220">
      <c r="A194" s="1" t="n"/>
      <c r="B194" s="1" t="n"/>
      <c r="C194" s="2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</row>
    <row r="195" ht="16.5" customHeight="1" s="220">
      <c r="A195" s="1" t="n"/>
      <c r="B195" s="1" t="n"/>
      <c r="C195" s="2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</row>
    <row r="196" ht="16.5" customHeight="1" s="220">
      <c r="A196" s="1" t="n"/>
      <c r="B196" s="1" t="n"/>
      <c r="C196" s="2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</row>
    <row r="197" ht="16.5" customHeight="1" s="220">
      <c r="A197" s="1" t="n"/>
      <c r="B197" s="1" t="n"/>
      <c r="C197" s="2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</row>
    <row r="198" ht="16.5" customHeight="1" s="220">
      <c r="A198" s="1" t="n"/>
      <c r="B198" s="1" t="n"/>
      <c r="C198" s="2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</row>
    <row r="199" ht="16.5" customHeight="1" s="220">
      <c r="A199" s="1" t="n"/>
      <c r="B199" s="1" t="n"/>
      <c r="C199" s="2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</row>
    <row r="200" ht="16.5" customHeight="1" s="220">
      <c r="A200" s="1" t="n"/>
      <c r="B200" s="1" t="n"/>
      <c r="C200" s="2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</row>
    <row r="201" ht="16.5" customHeight="1" s="220">
      <c r="A201" s="1" t="n"/>
      <c r="B201" s="1" t="n"/>
      <c r="C201" s="2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</row>
    <row r="202" ht="16.5" customHeight="1" s="220">
      <c r="A202" s="1" t="n"/>
      <c r="B202" s="1" t="n"/>
      <c r="C202" s="2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</row>
    <row r="203" ht="16.5" customHeight="1" s="220">
      <c r="A203" s="1" t="n"/>
      <c r="B203" s="1" t="n"/>
      <c r="C203" s="2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</row>
    <row r="204" ht="16.5" customHeight="1" s="220">
      <c r="A204" s="1" t="n"/>
      <c r="B204" s="1" t="n"/>
      <c r="C204" s="2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</row>
    <row r="205" ht="16.5" customHeight="1" s="220">
      <c r="A205" s="1" t="n"/>
      <c r="B205" s="1" t="n"/>
      <c r="C205" s="2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</row>
    <row r="206" ht="16.5" customHeight="1" s="220">
      <c r="A206" s="1" t="n"/>
      <c r="B206" s="1" t="n"/>
      <c r="C206" s="2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</row>
    <row r="207" ht="16.5" customHeight="1" s="220">
      <c r="A207" s="1" t="n"/>
      <c r="B207" s="1" t="n"/>
      <c r="C207" s="2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</row>
    <row r="208" ht="16.5" customHeight="1" s="220">
      <c r="A208" s="1" t="n"/>
      <c r="B208" s="1" t="n"/>
      <c r="C208" s="2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</row>
    <row r="209" ht="16.5" customHeight="1" s="220">
      <c r="A209" s="1" t="n"/>
      <c r="B209" s="1" t="n"/>
      <c r="C209" s="2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</row>
    <row r="210" ht="16.5" customHeight="1" s="220">
      <c r="A210" s="1" t="n"/>
      <c r="B210" s="1" t="n"/>
      <c r="C210" s="2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</row>
    <row r="211" ht="16.5" customHeight="1" s="220">
      <c r="A211" s="1" t="n"/>
      <c r="B211" s="1" t="n"/>
      <c r="C211" s="2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</row>
    <row r="212" ht="16.5" customHeight="1" s="220">
      <c r="A212" s="1" t="n"/>
      <c r="B212" s="1" t="n"/>
      <c r="C212" s="2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</row>
    <row r="213" ht="16.5" customHeight="1" s="220">
      <c r="A213" s="1" t="n"/>
      <c r="B213" s="1" t="n"/>
      <c r="C213" s="2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</row>
    <row r="214" ht="16.5" customHeight="1" s="220">
      <c r="A214" s="1" t="n"/>
      <c r="B214" s="1" t="n"/>
      <c r="C214" s="2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</row>
    <row r="215" ht="16.5" customHeight="1" s="220">
      <c r="A215" s="1" t="n"/>
      <c r="B215" s="1" t="n"/>
      <c r="C215" s="2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</row>
    <row r="216" ht="16.5" customHeight="1" s="220">
      <c r="A216" s="1" t="n"/>
      <c r="B216" s="1" t="n"/>
      <c r="C216" s="2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</row>
    <row r="217" ht="16.5" customHeight="1" s="220">
      <c r="A217" s="1" t="n"/>
      <c r="B217" s="1" t="n"/>
      <c r="C217" s="2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</row>
    <row r="218" ht="16.5" customHeight="1" s="220">
      <c r="A218" s="1" t="n"/>
      <c r="B218" s="1" t="n"/>
      <c r="C218" s="2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</row>
    <row r="219" ht="16.5" customHeight="1" s="220">
      <c r="A219" s="1" t="n"/>
      <c r="B219" s="1" t="n"/>
      <c r="C219" s="2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</row>
    <row r="220" ht="16.5" customHeight="1" s="220">
      <c r="A220" s="1" t="n"/>
      <c r="B220" s="1" t="n"/>
      <c r="C220" s="2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</row>
    <row r="221" ht="16.5" customHeight="1" s="220">
      <c r="A221" s="1" t="n"/>
      <c r="B221" s="1" t="n"/>
      <c r="C221" s="2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</row>
    <row r="222" ht="16.5" customHeight="1" s="220">
      <c r="A222" s="1" t="n"/>
      <c r="B222" s="1" t="n"/>
      <c r="C222" s="2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</row>
    <row r="223" ht="16.5" customHeight="1" s="220">
      <c r="A223" s="1" t="n"/>
      <c r="B223" s="1" t="n"/>
      <c r="C223" s="2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</row>
    <row r="224" ht="16.5" customHeight="1" s="220">
      <c r="A224" s="1" t="n"/>
      <c r="B224" s="1" t="n"/>
      <c r="C224" s="2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</row>
    <row r="225" ht="16.5" customHeight="1" s="220">
      <c r="A225" s="1" t="n"/>
      <c r="B225" s="1" t="n"/>
      <c r="C225" s="2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</row>
    <row r="226" ht="16.5" customHeight="1" s="220">
      <c r="A226" s="1" t="n"/>
      <c r="B226" s="1" t="n"/>
      <c r="C226" s="2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</row>
    <row r="227" ht="16.5" customHeight="1" s="220">
      <c r="A227" s="1" t="n"/>
      <c r="B227" s="1" t="n"/>
      <c r="C227" s="2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</row>
    <row r="228" ht="16.5" customHeight="1" s="220">
      <c r="A228" s="1" t="n"/>
      <c r="B228" s="1" t="n"/>
      <c r="C228" s="2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</row>
    <row r="229" ht="16.5" customHeight="1" s="220">
      <c r="A229" s="1" t="n"/>
      <c r="B229" s="1" t="n"/>
      <c r="C229" s="2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</row>
    <row r="230" ht="16.5" customHeight="1" s="220">
      <c r="A230" s="1" t="n"/>
      <c r="B230" s="1" t="n"/>
      <c r="C230" s="2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</row>
    <row r="231" ht="16.5" customHeight="1" s="220">
      <c r="A231" s="1" t="n"/>
      <c r="B231" s="1" t="n"/>
      <c r="C231" s="2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</row>
    <row r="232" ht="16.5" customHeight="1" s="220">
      <c r="A232" s="1" t="n"/>
      <c r="B232" s="1" t="n"/>
      <c r="C232" s="2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</row>
    <row r="233" ht="16.5" customHeight="1" s="220">
      <c r="A233" s="1" t="n"/>
      <c r="B233" s="1" t="n"/>
      <c r="C233" s="2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</row>
    <row r="234" ht="16.5" customHeight="1" s="220">
      <c r="A234" s="1" t="n"/>
      <c r="B234" s="1" t="n"/>
      <c r="C234" s="2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</row>
    <row r="235" ht="16.5" customHeight="1" s="220">
      <c r="A235" s="1" t="n"/>
      <c r="B235" s="1" t="n"/>
      <c r="C235" s="2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</row>
    <row r="236" ht="16.5" customHeight="1" s="220">
      <c r="A236" s="1" t="n"/>
      <c r="B236" s="1" t="n"/>
      <c r="C236" s="2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</row>
    <row r="237" ht="16.5" customHeight="1" s="220">
      <c r="A237" s="1" t="n"/>
      <c r="B237" s="1" t="n"/>
      <c r="C237" s="2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</row>
    <row r="238" ht="16.5" customHeight="1" s="220">
      <c r="A238" s="1" t="n"/>
      <c r="B238" s="1" t="n"/>
      <c r="C238" s="2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</row>
    <row r="239" ht="16.5" customHeight="1" s="220">
      <c r="A239" s="1" t="n"/>
      <c r="B239" s="1" t="n"/>
      <c r="C239" s="2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</row>
    <row r="240" ht="16.5" customHeight="1" s="220">
      <c r="A240" s="1" t="n"/>
      <c r="B240" s="1" t="n"/>
      <c r="C240" s="2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</row>
    <row r="241" ht="16.5" customHeight="1" s="220">
      <c r="A241" s="1" t="n"/>
      <c r="B241" s="1" t="n"/>
      <c r="C241" s="2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</row>
    <row r="242" ht="16.5" customHeight="1" s="220">
      <c r="A242" s="1" t="n"/>
      <c r="B242" s="1" t="n"/>
      <c r="C242" s="2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</row>
    <row r="243" ht="16.5" customHeight="1" s="220">
      <c r="A243" s="1" t="n"/>
      <c r="B243" s="1" t="n"/>
      <c r="C243" s="2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</row>
    <row r="244" ht="16.5" customHeight="1" s="220">
      <c r="A244" s="1" t="n"/>
      <c r="B244" s="1" t="n"/>
      <c r="C244" s="2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</row>
    <row r="245" ht="16.5" customHeight="1" s="220">
      <c r="A245" s="1" t="n"/>
      <c r="B245" s="1" t="n"/>
      <c r="C245" s="2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</row>
    <row r="246" ht="16.5" customHeight="1" s="220">
      <c r="A246" s="1" t="n"/>
      <c r="B246" s="1" t="n"/>
      <c r="C246" s="2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</row>
    <row r="247" ht="16.5" customHeight="1" s="220">
      <c r="A247" s="1" t="n"/>
      <c r="B247" s="1" t="n"/>
      <c r="C247" s="2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</row>
    <row r="248" ht="16.5" customHeight="1" s="220">
      <c r="A248" s="1" t="n"/>
      <c r="B248" s="1" t="n"/>
      <c r="C248" s="2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</row>
    <row r="249" ht="16.5" customHeight="1" s="220">
      <c r="A249" s="1" t="n"/>
      <c r="B249" s="1" t="n"/>
      <c r="C249" s="2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</row>
    <row r="250" ht="16.5" customHeight="1" s="220">
      <c r="A250" s="1" t="n"/>
      <c r="B250" s="1" t="n"/>
      <c r="C250" s="2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</row>
    <row r="251" ht="16.5" customHeight="1" s="220">
      <c r="A251" s="1" t="n"/>
      <c r="B251" s="1" t="n"/>
      <c r="C251" s="2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</row>
    <row r="252" ht="16.5" customHeight="1" s="220">
      <c r="A252" s="1" t="n"/>
      <c r="B252" s="1" t="n"/>
      <c r="C252" s="2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</row>
    <row r="253" ht="16.5" customHeight="1" s="220">
      <c r="A253" s="1" t="n"/>
      <c r="B253" s="1" t="n"/>
      <c r="C253" s="2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</row>
    <row r="254" ht="16.5" customHeight="1" s="220">
      <c r="A254" s="1" t="n"/>
      <c r="B254" s="1" t="n"/>
      <c r="C254" s="2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</row>
    <row r="255" ht="16.5" customHeight="1" s="220">
      <c r="A255" s="1" t="n"/>
      <c r="B255" s="1" t="n"/>
      <c r="C255" s="2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</row>
    <row r="256" ht="16.5" customHeight="1" s="220">
      <c r="A256" s="1" t="n"/>
      <c r="B256" s="1" t="n"/>
      <c r="C256" s="2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</row>
    <row r="257" ht="16.5" customHeight="1" s="220">
      <c r="A257" s="1" t="n"/>
      <c r="B257" s="1" t="n"/>
      <c r="C257" s="2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</row>
    <row r="258" ht="16.5" customHeight="1" s="220">
      <c r="A258" s="1" t="n"/>
      <c r="B258" s="1" t="n"/>
      <c r="C258" s="2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</row>
    <row r="259" ht="16.5" customHeight="1" s="220">
      <c r="A259" s="1" t="n"/>
      <c r="B259" s="1" t="n"/>
      <c r="C259" s="2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</row>
    <row r="260" ht="16.5" customHeight="1" s="220">
      <c r="A260" s="1" t="n"/>
      <c r="B260" s="1" t="n"/>
      <c r="C260" s="2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</row>
    <row r="261" ht="16.5" customHeight="1" s="220">
      <c r="A261" s="1" t="n"/>
      <c r="B261" s="1" t="n"/>
      <c r="C261" s="2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</row>
    <row r="262" ht="16.5" customHeight="1" s="220">
      <c r="A262" s="1" t="n"/>
      <c r="B262" s="1" t="n"/>
      <c r="C262" s="2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</row>
    <row r="263" ht="16.5" customHeight="1" s="220">
      <c r="A263" s="1" t="n"/>
      <c r="B263" s="1" t="n"/>
      <c r="C263" s="2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</row>
    <row r="264" ht="16.5" customHeight="1" s="220">
      <c r="A264" s="1" t="n"/>
      <c r="B264" s="1" t="n"/>
      <c r="C264" s="2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</row>
    <row r="265" ht="16.5" customHeight="1" s="220">
      <c r="A265" s="1" t="n"/>
      <c r="B265" s="1" t="n"/>
      <c r="C265" s="2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</row>
    <row r="266" ht="16.5" customHeight="1" s="220">
      <c r="A266" s="1" t="n"/>
      <c r="B266" s="1" t="n"/>
      <c r="C266" s="2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</row>
    <row r="267" ht="16.5" customHeight="1" s="220">
      <c r="A267" s="1" t="n"/>
      <c r="B267" s="1" t="n"/>
      <c r="C267" s="2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</row>
    <row r="268" ht="16.5" customHeight="1" s="220">
      <c r="A268" s="1" t="n"/>
      <c r="B268" s="1" t="n"/>
      <c r="C268" s="2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</row>
    <row r="269" ht="16.5" customHeight="1" s="220">
      <c r="A269" s="1" t="n"/>
      <c r="B269" s="1" t="n"/>
      <c r="C269" s="2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</row>
    <row r="270" ht="16.5" customHeight="1" s="220">
      <c r="A270" s="1" t="n"/>
      <c r="B270" s="1" t="n"/>
      <c r="C270" s="2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</row>
    <row r="271" ht="16.5" customHeight="1" s="220">
      <c r="A271" s="1" t="n"/>
      <c r="B271" s="1" t="n"/>
      <c r="C271" s="2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</row>
    <row r="272" ht="16.5" customHeight="1" s="220">
      <c r="A272" s="1" t="n"/>
      <c r="B272" s="1" t="n"/>
      <c r="C272" s="2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</row>
    <row r="273" ht="16.5" customHeight="1" s="220">
      <c r="A273" s="1" t="n"/>
      <c r="B273" s="1" t="n"/>
      <c r="C273" s="2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</row>
    <row r="274" ht="16.5" customHeight="1" s="220">
      <c r="A274" s="1" t="n"/>
      <c r="B274" s="1" t="n"/>
      <c r="C274" s="2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</row>
    <row r="275" ht="16.5" customHeight="1" s="220">
      <c r="A275" s="1" t="n"/>
      <c r="B275" s="1" t="n"/>
      <c r="C275" s="2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</row>
    <row r="276" ht="16.5" customHeight="1" s="220">
      <c r="A276" s="1" t="n"/>
      <c r="B276" s="1" t="n"/>
      <c r="C276" s="2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</row>
    <row r="277" ht="16.5" customHeight="1" s="220">
      <c r="A277" s="1" t="n"/>
      <c r="B277" s="1" t="n"/>
      <c r="C277" s="2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</row>
    <row r="278" ht="16.5" customHeight="1" s="220">
      <c r="A278" s="1" t="n"/>
      <c r="B278" s="1" t="n"/>
      <c r="C278" s="2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</row>
    <row r="279" ht="16.5" customHeight="1" s="220">
      <c r="A279" s="1" t="n"/>
      <c r="B279" s="1" t="n"/>
      <c r="C279" s="2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</row>
    <row r="280" ht="16.5" customHeight="1" s="220">
      <c r="A280" s="1" t="n"/>
      <c r="B280" s="1" t="n"/>
      <c r="C280" s="2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</row>
    <row r="281" ht="16.5" customHeight="1" s="220">
      <c r="A281" s="1" t="n"/>
      <c r="B281" s="1" t="n"/>
      <c r="C281" s="2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</row>
    <row r="282" ht="16.5" customHeight="1" s="220">
      <c r="A282" s="1" t="n"/>
      <c r="B282" s="1" t="n"/>
      <c r="C282" s="2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</row>
    <row r="283" ht="16.5" customHeight="1" s="220">
      <c r="A283" s="1" t="n"/>
      <c r="B283" s="1" t="n"/>
      <c r="C283" s="2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</row>
    <row r="284" ht="16.5" customHeight="1" s="220">
      <c r="A284" s="1" t="n"/>
      <c r="B284" s="1" t="n"/>
      <c r="C284" s="2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</row>
    <row r="285" ht="16.5" customHeight="1" s="220">
      <c r="A285" s="1" t="n"/>
      <c r="B285" s="1" t="n"/>
      <c r="C285" s="2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</row>
    <row r="286" ht="16.5" customHeight="1" s="220">
      <c r="A286" s="1" t="n"/>
      <c r="B286" s="1" t="n"/>
      <c r="C286" s="2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</row>
    <row r="287" ht="16.5" customHeight="1" s="220">
      <c r="A287" s="1" t="n"/>
      <c r="B287" s="1" t="n"/>
      <c r="C287" s="2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</row>
    <row r="288" ht="16.5" customHeight="1" s="220">
      <c r="A288" s="1" t="n"/>
      <c r="B288" s="1" t="n"/>
      <c r="C288" s="2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</row>
    <row r="289" ht="16.5" customHeight="1" s="220">
      <c r="A289" s="1" t="n"/>
      <c r="B289" s="1" t="n"/>
      <c r="C289" s="2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</row>
    <row r="290" ht="16.5" customHeight="1" s="220">
      <c r="A290" s="1" t="n"/>
      <c r="B290" s="1" t="n"/>
      <c r="C290" s="2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</row>
    <row r="291" ht="16.5" customHeight="1" s="220">
      <c r="A291" s="1" t="n"/>
      <c r="B291" s="1" t="n"/>
      <c r="C291" s="2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</row>
    <row r="292" ht="16.5" customHeight="1" s="220">
      <c r="A292" s="1" t="n"/>
      <c r="B292" s="1" t="n"/>
      <c r="C292" s="2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</row>
    <row r="293" ht="16.5" customHeight="1" s="220">
      <c r="A293" s="1" t="n"/>
      <c r="B293" s="1" t="n"/>
      <c r="C293" s="2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</row>
    <row r="294" ht="16.5" customHeight="1" s="220">
      <c r="A294" s="1" t="n"/>
      <c r="B294" s="1" t="n"/>
      <c r="C294" s="2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</row>
    <row r="295" ht="16.5" customHeight="1" s="220">
      <c r="A295" s="1" t="n"/>
      <c r="B295" s="1" t="n"/>
      <c r="C295" s="2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</row>
    <row r="296" ht="16.5" customHeight="1" s="220">
      <c r="A296" s="1" t="n"/>
      <c r="B296" s="1" t="n"/>
      <c r="C296" s="2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</row>
    <row r="297" ht="16.5" customHeight="1" s="220">
      <c r="A297" s="1" t="n"/>
      <c r="B297" s="1" t="n"/>
      <c r="C297" s="2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</row>
    <row r="298" ht="16.5" customHeight="1" s="220">
      <c r="A298" s="1" t="n"/>
      <c r="B298" s="1" t="n"/>
      <c r="C298" s="2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</row>
    <row r="299" ht="16.5" customHeight="1" s="220">
      <c r="A299" s="1" t="n"/>
      <c r="B299" s="1" t="n"/>
      <c r="C299" s="2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</row>
    <row r="300" ht="16.5" customHeight="1" s="220">
      <c r="A300" s="1" t="n"/>
      <c r="B300" s="1" t="n"/>
      <c r="C300" s="2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</row>
    <row r="301" ht="16.5" customHeight="1" s="220">
      <c r="A301" s="1" t="n"/>
      <c r="B301" s="1" t="n"/>
      <c r="C301" s="2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</row>
    <row r="302" ht="16.5" customHeight="1" s="220">
      <c r="A302" s="1" t="n"/>
      <c r="B302" s="1" t="n"/>
      <c r="C302" s="2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</row>
    <row r="303" ht="16.5" customHeight="1" s="220">
      <c r="A303" s="1" t="n"/>
      <c r="B303" s="1" t="n"/>
      <c r="C303" s="2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</row>
    <row r="304" ht="16.5" customHeight="1" s="220">
      <c r="A304" s="1" t="n"/>
      <c r="B304" s="1" t="n"/>
      <c r="C304" s="2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</row>
    <row r="305" ht="16.5" customHeight="1" s="220">
      <c r="A305" s="1" t="n"/>
      <c r="B305" s="1" t="n"/>
      <c r="C305" s="2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</row>
    <row r="306" ht="16.5" customHeight="1" s="220">
      <c r="A306" s="1" t="n"/>
      <c r="B306" s="1" t="n"/>
      <c r="C306" s="2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</row>
    <row r="307" ht="16.5" customHeight="1" s="220">
      <c r="A307" s="1" t="n"/>
      <c r="B307" s="1" t="n"/>
      <c r="C307" s="2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</row>
    <row r="308" ht="16.5" customHeight="1" s="220">
      <c r="A308" s="1" t="n"/>
      <c r="B308" s="1" t="n"/>
      <c r="C308" s="2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</row>
    <row r="309" ht="16.5" customHeight="1" s="220">
      <c r="A309" s="1" t="n"/>
      <c r="B309" s="1" t="n"/>
      <c r="C309" s="2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</row>
    <row r="310" ht="16.5" customHeight="1" s="220">
      <c r="A310" s="1" t="n"/>
      <c r="B310" s="1" t="n"/>
      <c r="C310" s="2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</row>
    <row r="311" ht="16.5" customHeight="1" s="220">
      <c r="A311" s="1" t="n"/>
      <c r="B311" s="1" t="n"/>
      <c r="C311" s="2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</row>
    <row r="312" ht="16.5" customHeight="1" s="220">
      <c r="A312" s="1" t="n"/>
      <c r="B312" s="1" t="n"/>
      <c r="C312" s="2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</row>
    <row r="313" ht="16.5" customHeight="1" s="220">
      <c r="A313" s="1" t="n"/>
      <c r="B313" s="1" t="n"/>
      <c r="C313" s="2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</row>
    <row r="314" ht="16.5" customHeight="1" s="220">
      <c r="A314" s="1" t="n"/>
      <c r="B314" s="1" t="n"/>
      <c r="C314" s="2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</row>
    <row r="315" ht="16.5" customHeight="1" s="220">
      <c r="A315" s="1" t="n"/>
      <c r="B315" s="1" t="n"/>
      <c r="C315" s="2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</row>
    <row r="316" ht="16.5" customHeight="1" s="220">
      <c r="A316" s="1" t="n"/>
      <c r="B316" s="1" t="n"/>
      <c r="C316" s="2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</row>
    <row r="317" ht="16.5" customHeight="1" s="220">
      <c r="A317" s="1" t="n"/>
      <c r="B317" s="1" t="n"/>
      <c r="C317" s="2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</row>
    <row r="318" ht="16.5" customHeight="1" s="220">
      <c r="A318" s="1" t="n"/>
      <c r="B318" s="1" t="n"/>
      <c r="C318" s="2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</row>
    <row r="319" ht="16.5" customHeight="1" s="220">
      <c r="A319" s="1" t="n"/>
      <c r="B319" s="1" t="n"/>
      <c r="C319" s="2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</row>
    <row r="320" ht="16.5" customHeight="1" s="220">
      <c r="A320" s="1" t="n"/>
      <c r="B320" s="1" t="n"/>
      <c r="C320" s="2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</row>
    <row r="321" ht="16.5" customHeight="1" s="220">
      <c r="A321" s="1" t="n"/>
      <c r="B321" s="1" t="n"/>
      <c r="C321" s="2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</row>
    <row r="322" ht="16.5" customHeight="1" s="220">
      <c r="A322" s="1" t="n"/>
      <c r="B322" s="1" t="n"/>
      <c r="C322" s="2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</row>
    <row r="323" ht="16.5" customHeight="1" s="220">
      <c r="A323" s="1" t="n"/>
      <c r="B323" s="1" t="n"/>
      <c r="C323" s="2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</row>
    <row r="324" ht="16.5" customHeight="1" s="220">
      <c r="A324" s="1" t="n"/>
      <c r="B324" s="1" t="n"/>
      <c r="C324" s="2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</row>
    <row r="325" ht="16.5" customHeight="1" s="220">
      <c r="A325" s="1" t="n"/>
      <c r="B325" s="1" t="n"/>
      <c r="C325" s="2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</row>
    <row r="326" ht="16.5" customHeight="1" s="220">
      <c r="A326" s="1" t="n"/>
      <c r="B326" s="1" t="n"/>
      <c r="C326" s="2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</row>
    <row r="327" ht="16.5" customHeight="1" s="220">
      <c r="A327" s="1" t="n"/>
      <c r="B327" s="1" t="n"/>
      <c r="C327" s="2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</row>
    <row r="328" ht="16.5" customHeight="1" s="220">
      <c r="A328" s="1" t="n"/>
      <c r="B328" s="1" t="n"/>
      <c r="C328" s="2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</row>
    <row r="329" ht="16.5" customHeight="1" s="220">
      <c r="A329" s="1" t="n"/>
      <c r="B329" s="1" t="n"/>
      <c r="C329" s="2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</row>
    <row r="330" ht="16.5" customHeight="1" s="220">
      <c r="A330" s="1" t="n"/>
      <c r="B330" s="1" t="n"/>
      <c r="C330" s="2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</row>
    <row r="331" ht="16.5" customHeight="1" s="220">
      <c r="A331" s="1" t="n"/>
      <c r="B331" s="1" t="n"/>
      <c r="C331" s="2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</row>
    <row r="332" ht="16.5" customHeight="1" s="220">
      <c r="A332" s="1" t="n"/>
      <c r="B332" s="1" t="n"/>
      <c r="C332" s="2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</row>
    <row r="333" ht="16.5" customHeight="1" s="220">
      <c r="A333" s="1" t="n"/>
      <c r="B333" s="1" t="n"/>
      <c r="C333" s="2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</row>
    <row r="334" ht="16.5" customHeight="1" s="220">
      <c r="A334" s="1" t="n"/>
      <c r="B334" s="1" t="n"/>
      <c r="C334" s="2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</row>
    <row r="335" ht="16.5" customHeight="1" s="220">
      <c r="A335" s="1" t="n"/>
      <c r="B335" s="1" t="n"/>
      <c r="C335" s="2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</row>
    <row r="336" ht="16.5" customHeight="1" s="220">
      <c r="A336" s="1" t="n"/>
      <c r="B336" s="1" t="n"/>
      <c r="C336" s="2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</row>
    <row r="337" ht="16.5" customHeight="1" s="220">
      <c r="A337" s="1" t="n"/>
      <c r="B337" s="1" t="n"/>
      <c r="C337" s="2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</row>
    <row r="338" ht="16.5" customHeight="1" s="220">
      <c r="A338" s="1" t="n"/>
      <c r="B338" s="1" t="n"/>
      <c r="C338" s="2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</row>
    <row r="339" ht="16.5" customHeight="1" s="220">
      <c r="A339" s="1" t="n"/>
      <c r="B339" s="1" t="n"/>
      <c r="C339" s="2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</row>
    <row r="340" ht="16.5" customHeight="1" s="220">
      <c r="A340" s="1" t="n"/>
      <c r="B340" s="1" t="n"/>
      <c r="C340" s="2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</row>
    <row r="341" ht="16.5" customHeight="1" s="220">
      <c r="A341" s="1" t="n"/>
      <c r="B341" s="1" t="n"/>
      <c r="C341" s="2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</row>
    <row r="342" ht="16.5" customHeight="1" s="220">
      <c r="A342" s="1" t="n"/>
      <c r="B342" s="1" t="n"/>
      <c r="C342" s="2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</row>
    <row r="343" ht="16.5" customHeight="1" s="220">
      <c r="A343" s="1" t="n"/>
      <c r="B343" s="1" t="n"/>
      <c r="C343" s="2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</row>
    <row r="344" ht="16.5" customHeight="1" s="220">
      <c r="A344" s="1" t="n"/>
      <c r="B344" s="1" t="n"/>
      <c r="C344" s="2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</row>
    <row r="345" ht="16.5" customHeight="1" s="220">
      <c r="A345" s="1" t="n"/>
      <c r="B345" s="1" t="n"/>
      <c r="C345" s="2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</row>
    <row r="346" ht="16.5" customHeight="1" s="220">
      <c r="A346" s="1" t="n"/>
      <c r="B346" s="1" t="n"/>
      <c r="C346" s="2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</row>
    <row r="347" ht="16.5" customHeight="1" s="220">
      <c r="A347" s="1" t="n"/>
      <c r="B347" s="1" t="n"/>
      <c r="C347" s="2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</row>
    <row r="348" ht="16.5" customHeight="1" s="220">
      <c r="A348" s="1" t="n"/>
      <c r="B348" s="1" t="n"/>
      <c r="C348" s="2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</row>
    <row r="349" ht="16.5" customHeight="1" s="220">
      <c r="A349" s="1" t="n"/>
      <c r="B349" s="1" t="n"/>
      <c r="C349" s="2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</row>
    <row r="350" ht="16.5" customHeight="1" s="220">
      <c r="A350" s="1" t="n"/>
      <c r="B350" s="1" t="n"/>
      <c r="C350" s="2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</row>
    <row r="351" ht="16.5" customHeight="1" s="220">
      <c r="A351" s="1" t="n"/>
      <c r="B351" s="1" t="n"/>
      <c r="C351" s="2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</row>
    <row r="352" ht="16.5" customHeight="1" s="220">
      <c r="A352" s="1" t="n"/>
      <c r="B352" s="1" t="n"/>
      <c r="C352" s="2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</row>
    <row r="353" ht="16.5" customHeight="1" s="220">
      <c r="A353" s="1" t="n"/>
      <c r="B353" s="1" t="n"/>
      <c r="C353" s="2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</row>
    <row r="354" ht="16.5" customHeight="1" s="220">
      <c r="A354" s="1" t="n"/>
      <c r="B354" s="1" t="n"/>
      <c r="C354" s="2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</row>
    <row r="355" ht="16.5" customHeight="1" s="220">
      <c r="A355" s="1" t="n"/>
      <c r="B355" s="1" t="n"/>
      <c r="C355" s="2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</row>
    <row r="356" ht="16.5" customHeight="1" s="220">
      <c r="A356" s="1" t="n"/>
      <c r="B356" s="1" t="n"/>
      <c r="C356" s="2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</row>
    <row r="357" ht="16.5" customHeight="1" s="220">
      <c r="A357" s="1" t="n"/>
      <c r="B357" s="1" t="n"/>
      <c r="C357" s="2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</row>
    <row r="358" ht="16.5" customHeight="1" s="220">
      <c r="A358" s="1" t="n"/>
      <c r="B358" s="1" t="n"/>
      <c r="C358" s="2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</row>
    <row r="359" ht="16.5" customHeight="1" s="220">
      <c r="A359" s="1" t="n"/>
      <c r="B359" s="1" t="n"/>
      <c r="C359" s="2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</row>
    <row r="360" ht="16.5" customHeight="1" s="220">
      <c r="A360" s="1" t="n"/>
      <c r="B360" s="1" t="n"/>
      <c r="C360" s="2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</row>
    <row r="361" ht="16.5" customHeight="1" s="220">
      <c r="A361" s="1" t="n"/>
      <c r="B361" s="1" t="n"/>
      <c r="C361" s="2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</row>
    <row r="362" ht="16.5" customHeight="1" s="220">
      <c r="A362" s="1" t="n"/>
      <c r="B362" s="1" t="n"/>
      <c r="C362" s="2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</row>
    <row r="363" ht="16.5" customHeight="1" s="220">
      <c r="A363" s="1" t="n"/>
      <c r="B363" s="1" t="n"/>
      <c r="C363" s="2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</row>
    <row r="364" ht="16.5" customHeight="1" s="220">
      <c r="A364" s="1" t="n"/>
      <c r="B364" s="1" t="n"/>
      <c r="C364" s="2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</row>
    <row r="365" ht="16.5" customHeight="1" s="220">
      <c r="A365" s="1" t="n"/>
      <c r="B365" s="1" t="n"/>
      <c r="C365" s="2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</row>
    <row r="366" ht="16.5" customHeight="1" s="220">
      <c r="A366" s="1" t="n"/>
      <c r="B366" s="1" t="n"/>
      <c r="C366" s="2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</row>
    <row r="367" ht="16.5" customHeight="1" s="220">
      <c r="A367" s="1" t="n"/>
      <c r="B367" s="1" t="n"/>
      <c r="C367" s="2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</row>
    <row r="368" ht="16.5" customHeight="1" s="220">
      <c r="A368" s="1" t="n"/>
      <c r="B368" s="1" t="n"/>
      <c r="C368" s="2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</row>
    <row r="369" ht="16.5" customHeight="1" s="220">
      <c r="A369" s="1" t="n"/>
      <c r="B369" s="1" t="n"/>
      <c r="C369" s="2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</row>
    <row r="370" ht="16.5" customHeight="1" s="220">
      <c r="A370" s="1" t="n"/>
      <c r="B370" s="1" t="n"/>
      <c r="C370" s="2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</row>
    <row r="371" ht="16.5" customHeight="1" s="220">
      <c r="A371" s="1" t="n"/>
      <c r="B371" s="1" t="n"/>
      <c r="C371" s="2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</row>
    <row r="372" ht="16.5" customHeight="1" s="220">
      <c r="A372" s="1" t="n"/>
      <c r="B372" s="1" t="n"/>
      <c r="C372" s="2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</row>
    <row r="373" ht="16.5" customHeight="1" s="220">
      <c r="A373" s="1" t="n"/>
      <c r="B373" s="1" t="n"/>
      <c r="C373" s="2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</row>
    <row r="374" ht="16.5" customHeight="1" s="220">
      <c r="A374" s="1" t="n"/>
      <c r="B374" s="1" t="n"/>
      <c r="C374" s="2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</row>
    <row r="375" ht="16.5" customHeight="1" s="220">
      <c r="A375" s="1" t="n"/>
      <c r="B375" s="1" t="n"/>
      <c r="C375" s="2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</row>
    <row r="376" ht="16.5" customHeight="1" s="220">
      <c r="A376" s="1" t="n"/>
      <c r="B376" s="1" t="n"/>
      <c r="C376" s="2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</row>
    <row r="377" ht="16.5" customHeight="1" s="220">
      <c r="A377" s="1" t="n"/>
      <c r="B377" s="1" t="n"/>
      <c r="C377" s="2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</row>
    <row r="378" ht="16.5" customHeight="1" s="220">
      <c r="A378" s="1" t="n"/>
      <c r="B378" s="1" t="n"/>
      <c r="C378" s="2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</row>
    <row r="379" ht="16.5" customHeight="1" s="220">
      <c r="A379" s="1" t="n"/>
      <c r="B379" s="1" t="n"/>
      <c r="C379" s="2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</row>
    <row r="380" ht="16.5" customHeight="1" s="220">
      <c r="A380" s="1" t="n"/>
      <c r="B380" s="1" t="n"/>
      <c r="C380" s="2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</row>
    <row r="381" ht="16.5" customHeight="1" s="220">
      <c r="A381" s="1" t="n"/>
      <c r="B381" s="1" t="n"/>
      <c r="C381" s="2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</row>
    <row r="382" ht="16.5" customHeight="1" s="220">
      <c r="A382" s="1" t="n"/>
      <c r="B382" s="1" t="n"/>
      <c r="C382" s="2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</row>
    <row r="383" ht="16.5" customHeight="1" s="220">
      <c r="A383" s="1" t="n"/>
      <c r="B383" s="1" t="n"/>
      <c r="C383" s="2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</row>
    <row r="384" ht="16.5" customHeight="1" s="220">
      <c r="A384" s="1" t="n"/>
      <c r="B384" s="1" t="n"/>
      <c r="C384" s="2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</row>
    <row r="385" ht="16.5" customHeight="1" s="220">
      <c r="A385" s="1" t="n"/>
      <c r="B385" s="1" t="n"/>
      <c r="C385" s="2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</row>
    <row r="386" ht="16.5" customHeight="1" s="220">
      <c r="A386" s="1" t="n"/>
      <c r="B386" s="1" t="n"/>
      <c r="C386" s="2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</row>
    <row r="387" ht="16.5" customHeight="1" s="220">
      <c r="A387" s="1" t="n"/>
      <c r="B387" s="1" t="n"/>
      <c r="C387" s="2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</row>
    <row r="388" ht="16.5" customHeight="1" s="220">
      <c r="A388" s="1" t="n"/>
      <c r="B388" s="1" t="n"/>
      <c r="C388" s="2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</row>
    <row r="389" ht="16.5" customHeight="1" s="220">
      <c r="A389" s="1" t="n"/>
      <c r="B389" s="1" t="n"/>
      <c r="C389" s="2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</row>
    <row r="390" ht="16.5" customHeight="1" s="220">
      <c r="A390" s="1" t="n"/>
      <c r="B390" s="1" t="n"/>
      <c r="C390" s="2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</row>
    <row r="391" ht="16.5" customHeight="1" s="220">
      <c r="A391" s="1" t="n"/>
      <c r="B391" s="1" t="n"/>
      <c r="C391" s="2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</row>
    <row r="392" ht="16.5" customHeight="1" s="220">
      <c r="A392" s="1" t="n"/>
      <c r="B392" s="1" t="n"/>
      <c r="C392" s="2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</row>
    <row r="393" ht="16.5" customHeight="1" s="220">
      <c r="A393" s="1" t="n"/>
      <c r="B393" s="1" t="n"/>
      <c r="C393" s="2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</row>
    <row r="394" ht="16.5" customHeight="1" s="220">
      <c r="A394" s="1" t="n"/>
      <c r="B394" s="1" t="n"/>
      <c r="C394" s="2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</row>
    <row r="395" ht="16.5" customHeight="1" s="220">
      <c r="A395" s="1" t="n"/>
      <c r="B395" s="1" t="n"/>
      <c r="C395" s="2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</row>
    <row r="396" ht="16.5" customHeight="1" s="220">
      <c r="A396" s="1" t="n"/>
      <c r="B396" s="1" t="n"/>
      <c r="C396" s="2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</row>
    <row r="397" ht="16.5" customHeight="1" s="220">
      <c r="A397" s="1" t="n"/>
      <c r="B397" s="1" t="n"/>
      <c r="C397" s="2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</row>
    <row r="398" ht="16.5" customHeight="1" s="220">
      <c r="A398" s="1" t="n"/>
      <c r="B398" s="1" t="n"/>
      <c r="C398" s="2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</row>
    <row r="399" ht="16.5" customHeight="1" s="220">
      <c r="A399" s="1" t="n"/>
      <c r="B399" s="1" t="n"/>
      <c r="C399" s="2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</row>
    <row r="400" ht="16.5" customHeight="1" s="220">
      <c r="A400" s="1" t="n"/>
      <c r="B400" s="1" t="n"/>
      <c r="C400" s="2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</row>
    <row r="401" ht="16.5" customHeight="1" s="220">
      <c r="A401" s="1" t="n"/>
      <c r="B401" s="1" t="n"/>
      <c r="C401" s="2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</row>
    <row r="402" ht="16.5" customHeight="1" s="220">
      <c r="A402" s="1" t="n"/>
      <c r="B402" s="1" t="n"/>
      <c r="C402" s="2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</row>
    <row r="403" ht="16.5" customHeight="1" s="220">
      <c r="A403" s="1" t="n"/>
      <c r="B403" s="1" t="n"/>
      <c r="C403" s="2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</row>
    <row r="404" ht="16.5" customHeight="1" s="220">
      <c r="A404" s="1" t="n"/>
      <c r="B404" s="1" t="n"/>
      <c r="C404" s="2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</row>
    <row r="405" ht="16.5" customHeight="1" s="220">
      <c r="A405" s="1" t="n"/>
      <c r="B405" s="1" t="n"/>
      <c r="C405" s="2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</row>
    <row r="406" ht="16.5" customHeight="1" s="220">
      <c r="A406" s="1" t="n"/>
      <c r="B406" s="1" t="n"/>
      <c r="C406" s="2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</row>
    <row r="407" ht="16.5" customHeight="1" s="220">
      <c r="A407" s="1" t="n"/>
      <c r="B407" s="1" t="n"/>
      <c r="C407" s="2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</row>
    <row r="408" ht="16.5" customHeight="1" s="220">
      <c r="A408" s="1" t="n"/>
      <c r="B408" s="1" t="n"/>
      <c r="C408" s="2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</row>
    <row r="409" ht="16.5" customHeight="1" s="220">
      <c r="A409" s="1" t="n"/>
      <c r="B409" s="1" t="n"/>
      <c r="C409" s="2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</row>
    <row r="410" ht="16.5" customHeight="1" s="220">
      <c r="A410" s="1" t="n"/>
      <c r="B410" s="1" t="n"/>
      <c r="C410" s="2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</row>
    <row r="411" ht="16.5" customHeight="1" s="220">
      <c r="A411" s="1" t="n"/>
      <c r="B411" s="1" t="n"/>
      <c r="C411" s="2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</row>
    <row r="412" ht="16.5" customHeight="1" s="220">
      <c r="A412" s="1" t="n"/>
      <c r="B412" s="1" t="n"/>
      <c r="C412" s="2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</row>
    <row r="413" ht="16.5" customHeight="1" s="220">
      <c r="A413" s="1" t="n"/>
      <c r="B413" s="1" t="n"/>
      <c r="C413" s="2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</row>
    <row r="414" ht="16.5" customHeight="1" s="220">
      <c r="A414" s="1" t="n"/>
      <c r="B414" s="1" t="n"/>
      <c r="C414" s="2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</row>
    <row r="415" ht="16.5" customHeight="1" s="220">
      <c r="A415" s="1" t="n"/>
      <c r="B415" s="1" t="n"/>
      <c r="C415" s="2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</row>
    <row r="416" ht="16.5" customHeight="1" s="220">
      <c r="A416" s="1" t="n"/>
      <c r="B416" s="1" t="n"/>
      <c r="C416" s="2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</row>
    <row r="417" ht="16.5" customHeight="1" s="220">
      <c r="A417" s="1" t="n"/>
      <c r="B417" s="1" t="n"/>
      <c r="C417" s="2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</row>
    <row r="418" ht="16.5" customHeight="1" s="220">
      <c r="A418" s="1" t="n"/>
      <c r="B418" s="1" t="n"/>
      <c r="C418" s="2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</row>
    <row r="419" ht="16.5" customHeight="1" s="220">
      <c r="A419" s="1" t="n"/>
      <c r="B419" s="1" t="n"/>
      <c r="C419" s="2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</row>
    <row r="420" ht="16.5" customHeight="1" s="220">
      <c r="A420" s="1" t="n"/>
      <c r="B420" s="1" t="n"/>
      <c r="C420" s="2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</row>
    <row r="421" ht="16.5" customHeight="1" s="220">
      <c r="A421" s="1" t="n"/>
      <c r="B421" s="1" t="n"/>
      <c r="C421" s="2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</row>
    <row r="422" ht="16.5" customHeight="1" s="220">
      <c r="A422" s="1" t="n"/>
      <c r="B422" s="1" t="n"/>
      <c r="C422" s="2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</row>
    <row r="423" ht="16.5" customHeight="1" s="220">
      <c r="A423" s="1" t="n"/>
      <c r="B423" s="1" t="n"/>
      <c r="C423" s="2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</row>
    <row r="424" ht="16.5" customHeight="1" s="220">
      <c r="A424" s="1" t="n"/>
      <c r="B424" s="1" t="n"/>
      <c r="C424" s="2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</row>
    <row r="425" ht="16.5" customHeight="1" s="220">
      <c r="A425" s="1" t="n"/>
      <c r="B425" s="1" t="n"/>
      <c r="C425" s="2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</row>
    <row r="426" ht="16.5" customHeight="1" s="220">
      <c r="A426" s="1" t="n"/>
      <c r="B426" s="1" t="n"/>
      <c r="C426" s="2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</row>
    <row r="427" ht="16.5" customHeight="1" s="220">
      <c r="A427" s="1" t="n"/>
      <c r="B427" s="1" t="n"/>
      <c r="C427" s="2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</row>
    <row r="428" ht="16.5" customHeight="1" s="220">
      <c r="A428" s="1" t="n"/>
      <c r="B428" s="1" t="n"/>
      <c r="C428" s="2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</row>
    <row r="429" ht="16.5" customHeight="1" s="220">
      <c r="A429" s="1" t="n"/>
      <c r="B429" s="1" t="n"/>
      <c r="C429" s="2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</row>
    <row r="430" ht="16.5" customHeight="1" s="220">
      <c r="A430" s="1" t="n"/>
      <c r="B430" s="1" t="n"/>
      <c r="C430" s="2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</row>
    <row r="431" ht="16.5" customHeight="1" s="220">
      <c r="A431" s="1" t="n"/>
      <c r="B431" s="1" t="n"/>
      <c r="C431" s="2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</row>
    <row r="432" ht="16.5" customHeight="1" s="220">
      <c r="A432" s="1" t="n"/>
      <c r="B432" s="1" t="n"/>
      <c r="C432" s="2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</row>
    <row r="433" ht="16.5" customHeight="1" s="220">
      <c r="A433" s="1" t="n"/>
      <c r="B433" s="1" t="n"/>
      <c r="C433" s="2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</row>
    <row r="434" ht="16.5" customHeight="1" s="220">
      <c r="A434" s="1" t="n"/>
      <c r="B434" s="1" t="n"/>
      <c r="C434" s="2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</row>
    <row r="435" ht="16.5" customHeight="1" s="220">
      <c r="A435" s="1" t="n"/>
      <c r="B435" s="1" t="n"/>
      <c r="C435" s="2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</row>
    <row r="436" ht="16.5" customHeight="1" s="220">
      <c r="A436" s="1" t="n"/>
      <c r="B436" s="1" t="n"/>
      <c r="C436" s="2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</row>
    <row r="437" ht="16.5" customHeight="1" s="220">
      <c r="A437" s="1" t="n"/>
      <c r="B437" s="1" t="n"/>
      <c r="C437" s="2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</row>
    <row r="438" ht="16.5" customHeight="1" s="220">
      <c r="A438" s="1" t="n"/>
      <c r="B438" s="1" t="n"/>
      <c r="C438" s="2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</row>
    <row r="439" ht="16.5" customHeight="1" s="220">
      <c r="A439" s="1" t="n"/>
      <c r="B439" s="1" t="n"/>
      <c r="C439" s="2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</row>
    <row r="440" ht="16.5" customHeight="1" s="220">
      <c r="A440" s="1" t="n"/>
      <c r="B440" s="1" t="n"/>
      <c r="C440" s="2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</row>
    <row r="441" ht="16.5" customHeight="1" s="220">
      <c r="A441" s="1" t="n"/>
      <c r="B441" s="1" t="n"/>
      <c r="C441" s="2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</row>
    <row r="442" ht="16.5" customHeight="1" s="220">
      <c r="A442" s="1" t="n"/>
      <c r="B442" s="1" t="n"/>
      <c r="C442" s="2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</row>
    <row r="443" ht="16.5" customHeight="1" s="220">
      <c r="A443" s="1" t="n"/>
      <c r="B443" s="1" t="n"/>
      <c r="C443" s="2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</row>
    <row r="444" ht="16.5" customHeight="1" s="220">
      <c r="A444" s="1" t="n"/>
      <c r="B444" s="1" t="n"/>
      <c r="C444" s="2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</row>
    <row r="445" ht="16.5" customHeight="1" s="220">
      <c r="A445" s="1" t="n"/>
      <c r="B445" s="1" t="n"/>
      <c r="C445" s="2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</row>
    <row r="446" ht="16.5" customHeight="1" s="220">
      <c r="A446" s="1" t="n"/>
      <c r="B446" s="1" t="n"/>
      <c r="C446" s="2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</row>
    <row r="447" ht="16.5" customHeight="1" s="220">
      <c r="A447" s="1" t="n"/>
      <c r="B447" s="1" t="n"/>
      <c r="C447" s="2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</row>
    <row r="448" ht="16.5" customHeight="1" s="220">
      <c r="A448" s="1" t="n"/>
      <c r="B448" s="1" t="n"/>
      <c r="C448" s="2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</row>
    <row r="449" ht="16.5" customHeight="1" s="220">
      <c r="A449" s="1" t="n"/>
      <c r="B449" s="1" t="n"/>
      <c r="C449" s="2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</row>
    <row r="450" ht="16.5" customHeight="1" s="220">
      <c r="A450" s="1" t="n"/>
      <c r="B450" s="1" t="n"/>
      <c r="C450" s="2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</row>
    <row r="451" ht="16.5" customHeight="1" s="220">
      <c r="A451" s="1" t="n"/>
      <c r="B451" s="1" t="n"/>
      <c r="C451" s="2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</row>
    <row r="452" ht="16.5" customHeight="1" s="220">
      <c r="A452" s="1" t="n"/>
      <c r="B452" s="1" t="n"/>
      <c r="C452" s="2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</row>
    <row r="453" ht="16.5" customHeight="1" s="220">
      <c r="A453" s="1" t="n"/>
      <c r="B453" s="1" t="n"/>
      <c r="C453" s="2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</row>
    <row r="454" ht="16.5" customHeight="1" s="220">
      <c r="A454" s="1" t="n"/>
      <c r="B454" s="1" t="n"/>
      <c r="C454" s="2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</row>
    <row r="455" ht="16.5" customHeight="1" s="220">
      <c r="A455" s="1" t="n"/>
      <c r="B455" s="1" t="n"/>
      <c r="C455" s="2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</row>
    <row r="456" ht="16.5" customHeight="1" s="220">
      <c r="A456" s="1" t="n"/>
      <c r="B456" s="1" t="n"/>
      <c r="C456" s="2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</row>
    <row r="457" ht="16.5" customHeight="1" s="220">
      <c r="A457" s="1" t="n"/>
      <c r="B457" s="1" t="n"/>
      <c r="C457" s="2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</row>
    <row r="458" ht="16.5" customHeight="1" s="220">
      <c r="A458" s="1" t="n"/>
      <c r="B458" s="1" t="n"/>
      <c r="C458" s="2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</row>
    <row r="459" ht="16.5" customHeight="1" s="220">
      <c r="A459" s="1" t="n"/>
      <c r="B459" s="1" t="n"/>
      <c r="C459" s="2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</row>
    <row r="460" ht="16.5" customHeight="1" s="220">
      <c r="A460" s="1" t="n"/>
      <c r="B460" s="1" t="n"/>
      <c r="C460" s="2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</row>
    <row r="461" ht="16.5" customHeight="1" s="220">
      <c r="A461" s="1" t="n"/>
      <c r="B461" s="1" t="n"/>
      <c r="C461" s="2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</row>
    <row r="462" ht="16.5" customHeight="1" s="220">
      <c r="A462" s="1" t="n"/>
      <c r="B462" s="1" t="n"/>
      <c r="C462" s="2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</row>
    <row r="463" ht="16.5" customHeight="1" s="220">
      <c r="A463" s="1" t="n"/>
      <c r="B463" s="1" t="n"/>
      <c r="C463" s="2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</row>
    <row r="464" ht="16.5" customHeight="1" s="220">
      <c r="A464" s="1" t="n"/>
      <c r="B464" s="1" t="n"/>
      <c r="C464" s="2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</row>
    <row r="465" ht="16.5" customHeight="1" s="220">
      <c r="A465" s="1" t="n"/>
      <c r="B465" s="1" t="n"/>
      <c r="C465" s="2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</row>
    <row r="466" ht="16.5" customHeight="1" s="220">
      <c r="A466" s="1" t="n"/>
      <c r="B466" s="1" t="n"/>
      <c r="C466" s="2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</row>
    <row r="467" ht="16.5" customHeight="1" s="220">
      <c r="A467" s="1" t="n"/>
      <c r="B467" s="1" t="n"/>
      <c r="C467" s="2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</row>
    <row r="468" ht="16.5" customHeight="1" s="220">
      <c r="A468" s="1" t="n"/>
      <c r="B468" s="1" t="n"/>
      <c r="C468" s="2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</row>
    <row r="469" ht="16.5" customHeight="1" s="220">
      <c r="A469" s="1" t="n"/>
      <c r="B469" s="1" t="n"/>
      <c r="C469" s="2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</row>
    <row r="470" ht="16.5" customHeight="1" s="220">
      <c r="A470" s="1" t="n"/>
      <c r="B470" s="1" t="n"/>
      <c r="C470" s="2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</row>
    <row r="471" ht="16.5" customHeight="1" s="220">
      <c r="A471" s="1" t="n"/>
      <c r="B471" s="1" t="n"/>
      <c r="C471" s="2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</row>
    <row r="472" ht="16.5" customHeight="1" s="220">
      <c r="A472" s="1" t="n"/>
      <c r="B472" s="1" t="n"/>
      <c r="C472" s="2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</row>
    <row r="473" ht="16.5" customHeight="1" s="220">
      <c r="A473" s="1" t="n"/>
      <c r="B473" s="1" t="n"/>
      <c r="C473" s="2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</row>
    <row r="474" ht="16.5" customHeight="1" s="220">
      <c r="A474" s="1" t="n"/>
      <c r="B474" s="1" t="n"/>
      <c r="C474" s="2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</row>
    <row r="475" ht="16.5" customHeight="1" s="220">
      <c r="A475" s="1" t="n"/>
      <c r="B475" s="1" t="n"/>
      <c r="C475" s="2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</row>
    <row r="476" ht="16.5" customHeight="1" s="220">
      <c r="A476" s="1" t="n"/>
      <c r="B476" s="1" t="n"/>
      <c r="C476" s="2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</row>
    <row r="477" ht="16.5" customHeight="1" s="220">
      <c r="A477" s="1" t="n"/>
      <c r="B477" s="1" t="n"/>
      <c r="C477" s="2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</row>
    <row r="478" ht="16.5" customHeight="1" s="220">
      <c r="A478" s="1" t="n"/>
      <c r="B478" s="1" t="n"/>
      <c r="C478" s="2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</row>
    <row r="479" ht="16.5" customHeight="1" s="220">
      <c r="A479" s="1" t="n"/>
      <c r="B479" s="1" t="n"/>
      <c r="C479" s="2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</row>
    <row r="480" ht="16.5" customHeight="1" s="220">
      <c r="A480" s="1" t="n"/>
      <c r="B480" s="1" t="n"/>
      <c r="C480" s="2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</row>
    <row r="481" ht="16.5" customHeight="1" s="220">
      <c r="A481" s="1" t="n"/>
      <c r="B481" s="1" t="n"/>
      <c r="C481" s="2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</row>
    <row r="482" ht="16.5" customHeight="1" s="220">
      <c r="A482" s="1" t="n"/>
      <c r="B482" s="1" t="n"/>
      <c r="C482" s="2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</row>
    <row r="483" ht="16.5" customHeight="1" s="220">
      <c r="A483" s="1" t="n"/>
      <c r="B483" s="1" t="n"/>
      <c r="C483" s="2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</row>
    <row r="484" ht="16.5" customHeight="1" s="220">
      <c r="A484" s="1" t="n"/>
      <c r="B484" s="1" t="n"/>
      <c r="C484" s="2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</row>
    <row r="485" ht="16.5" customHeight="1" s="220">
      <c r="A485" s="1" t="n"/>
      <c r="B485" s="1" t="n"/>
      <c r="C485" s="2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</row>
    <row r="486" ht="16.5" customHeight="1" s="220">
      <c r="A486" s="1" t="n"/>
      <c r="B486" s="1" t="n"/>
      <c r="C486" s="2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</row>
    <row r="487" ht="16.5" customHeight="1" s="220">
      <c r="A487" s="1" t="n"/>
      <c r="B487" s="1" t="n"/>
      <c r="C487" s="2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</row>
    <row r="488" ht="16.5" customHeight="1" s="220">
      <c r="A488" s="1" t="n"/>
      <c r="B488" s="1" t="n"/>
      <c r="C488" s="2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</row>
    <row r="489" ht="16.5" customHeight="1" s="220">
      <c r="A489" s="1" t="n"/>
      <c r="B489" s="1" t="n"/>
      <c r="C489" s="2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</row>
    <row r="490" ht="16.5" customHeight="1" s="220">
      <c r="A490" s="1" t="n"/>
      <c r="B490" s="1" t="n"/>
      <c r="C490" s="2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</row>
    <row r="491" ht="16.5" customHeight="1" s="220">
      <c r="A491" s="1" t="n"/>
      <c r="B491" s="1" t="n"/>
      <c r="C491" s="2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</row>
    <row r="492" ht="16.5" customHeight="1" s="220">
      <c r="A492" s="1" t="n"/>
      <c r="B492" s="1" t="n"/>
      <c r="C492" s="2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</row>
    <row r="493" ht="16.5" customHeight="1" s="220">
      <c r="A493" s="1" t="n"/>
      <c r="B493" s="1" t="n"/>
      <c r="C493" s="2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</row>
    <row r="494" ht="16.5" customHeight="1" s="220">
      <c r="A494" s="1" t="n"/>
      <c r="B494" s="1" t="n"/>
      <c r="C494" s="2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</row>
    <row r="495" ht="16.5" customHeight="1" s="220">
      <c r="A495" s="1" t="n"/>
      <c r="B495" s="1" t="n"/>
      <c r="C495" s="2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</row>
    <row r="496" ht="16.5" customHeight="1" s="220">
      <c r="A496" s="1" t="n"/>
      <c r="B496" s="1" t="n"/>
      <c r="C496" s="2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</row>
    <row r="497" ht="16.5" customHeight="1" s="220">
      <c r="A497" s="1" t="n"/>
      <c r="B497" s="1" t="n"/>
      <c r="C497" s="2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</row>
    <row r="498" ht="16.5" customHeight="1" s="220">
      <c r="A498" s="1" t="n"/>
      <c r="B498" s="1" t="n"/>
      <c r="C498" s="2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</row>
    <row r="499" ht="16.5" customHeight="1" s="220">
      <c r="A499" s="1" t="n"/>
      <c r="B499" s="1" t="n"/>
      <c r="C499" s="2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</row>
    <row r="500" ht="16.5" customHeight="1" s="220">
      <c r="A500" s="1" t="n"/>
      <c r="B500" s="1" t="n"/>
      <c r="C500" s="2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</row>
    <row r="501" ht="16.5" customHeight="1" s="220">
      <c r="A501" s="1" t="n"/>
      <c r="B501" s="1" t="n"/>
      <c r="C501" s="2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</row>
    <row r="502" ht="16.5" customHeight="1" s="220">
      <c r="A502" s="1" t="n"/>
      <c r="B502" s="1" t="n"/>
      <c r="C502" s="2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</row>
    <row r="503" ht="16.5" customHeight="1" s="220">
      <c r="A503" s="1" t="n"/>
      <c r="B503" s="1" t="n"/>
      <c r="C503" s="2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</row>
    <row r="504" ht="16.5" customHeight="1" s="220">
      <c r="A504" s="1" t="n"/>
      <c r="B504" s="1" t="n"/>
      <c r="C504" s="2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</row>
    <row r="505" ht="16.5" customHeight="1" s="220">
      <c r="A505" s="1" t="n"/>
      <c r="B505" s="1" t="n"/>
      <c r="C505" s="2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</row>
    <row r="506" ht="16.5" customHeight="1" s="220">
      <c r="A506" s="1" t="n"/>
      <c r="B506" s="1" t="n"/>
      <c r="C506" s="2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</row>
    <row r="507" ht="16.5" customHeight="1" s="220">
      <c r="A507" s="1" t="n"/>
      <c r="B507" s="1" t="n"/>
      <c r="C507" s="2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</row>
    <row r="508" ht="16.5" customHeight="1" s="220">
      <c r="A508" s="1" t="n"/>
      <c r="B508" s="1" t="n"/>
      <c r="C508" s="2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</row>
    <row r="509" ht="16.5" customHeight="1" s="220">
      <c r="A509" s="1" t="n"/>
      <c r="B509" s="1" t="n"/>
      <c r="C509" s="2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</row>
    <row r="510" ht="16.5" customHeight="1" s="220">
      <c r="A510" s="1" t="n"/>
      <c r="B510" s="1" t="n"/>
      <c r="C510" s="2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</row>
    <row r="511" ht="16.5" customHeight="1" s="220">
      <c r="A511" s="1" t="n"/>
      <c r="B511" s="1" t="n"/>
      <c r="C511" s="2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</row>
    <row r="512" ht="16.5" customHeight="1" s="220">
      <c r="A512" s="1" t="n"/>
      <c r="B512" s="1" t="n"/>
      <c r="C512" s="2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</row>
    <row r="513" ht="16.5" customHeight="1" s="220">
      <c r="A513" s="1" t="n"/>
      <c r="B513" s="1" t="n"/>
      <c r="C513" s="2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</row>
    <row r="514" ht="16.5" customHeight="1" s="220">
      <c r="A514" s="1" t="n"/>
      <c r="B514" s="1" t="n"/>
      <c r="C514" s="2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</row>
    <row r="515" ht="16.5" customHeight="1" s="220">
      <c r="A515" s="1" t="n"/>
      <c r="B515" s="1" t="n"/>
      <c r="C515" s="2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</row>
    <row r="516" ht="16.5" customHeight="1" s="220">
      <c r="A516" s="1" t="n"/>
      <c r="B516" s="1" t="n"/>
      <c r="C516" s="2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</row>
    <row r="517" ht="16.5" customHeight="1" s="220">
      <c r="A517" s="1" t="n"/>
      <c r="B517" s="1" t="n"/>
      <c r="C517" s="2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</row>
    <row r="518" ht="16.5" customHeight="1" s="220">
      <c r="A518" s="1" t="n"/>
      <c r="B518" s="1" t="n"/>
      <c r="C518" s="2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</row>
    <row r="519" ht="16.5" customHeight="1" s="220">
      <c r="A519" s="1" t="n"/>
      <c r="B519" s="1" t="n"/>
      <c r="C519" s="2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</row>
    <row r="520" ht="16.5" customHeight="1" s="220">
      <c r="A520" s="1" t="n"/>
      <c r="B520" s="1" t="n"/>
      <c r="C520" s="2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</row>
    <row r="521" ht="16.5" customHeight="1" s="220">
      <c r="A521" s="1" t="n"/>
      <c r="B521" s="1" t="n"/>
      <c r="C521" s="2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</row>
    <row r="522" ht="16.5" customHeight="1" s="220">
      <c r="A522" s="1" t="n"/>
      <c r="B522" s="1" t="n"/>
      <c r="C522" s="2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</row>
    <row r="523" ht="16.5" customHeight="1" s="220">
      <c r="A523" s="1" t="n"/>
      <c r="B523" s="1" t="n"/>
      <c r="C523" s="2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</row>
    <row r="524" ht="16.5" customHeight="1" s="220">
      <c r="A524" s="1" t="n"/>
      <c r="B524" s="1" t="n"/>
      <c r="C524" s="2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</row>
    <row r="525" ht="16.5" customHeight="1" s="220">
      <c r="A525" s="1" t="n"/>
      <c r="B525" s="1" t="n"/>
      <c r="C525" s="2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</row>
    <row r="526" ht="16.5" customHeight="1" s="220">
      <c r="A526" s="1" t="n"/>
      <c r="B526" s="1" t="n"/>
      <c r="C526" s="2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</row>
    <row r="527" ht="16.5" customHeight="1" s="220">
      <c r="A527" s="1" t="n"/>
      <c r="B527" s="1" t="n"/>
      <c r="C527" s="2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</row>
    <row r="528" ht="16.5" customHeight="1" s="220">
      <c r="A528" s="1" t="n"/>
      <c r="B528" s="1" t="n"/>
      <c r="C528" s="2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</row>
    <row r="529" ht="16.5" customHeight="1" s="220">
      <c r="A529" s="1" t="n"/>
      <c r="B529" s="1" t="n"/>
      <c r="C529" s="2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</row>
    <row r="530" ht="16.5" customHeight="1" s="220">
      <c r="A530" s="1" t="n"/>
      <c r="B530" s="1" t="n"/>
      <c r="C530" s="2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</row>
    <row r="531" ht="16.5" customHeight="1" s="220">
      <c r="A531" s="1" t="n"/>
      <c r="B531" s="1" t="n"/>
      <c r="C531" s="2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</row>
    <row r="532" ht="16.5" customHeight="1" s="220">
      <c r="A532" s="1" t="n"/>
      <c r="B532" s="1" t="n"/>
      <c r="C532" s="2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</row>
    <row r="533" ht="16.5" customHeight="1" s="220">
      <c r="A533" s="1" t="n"/>
      <c r="B533" s="1" t="n"/>
      <c r="C533" s="2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</row>
    <row r="534" ht="16.5" customHeight="1" s="220">
      <c r="A534" s="1" t="n"/>
      <c r="B534" s="1" t="n"/>
      <c r="C534" s="2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</row>
    <row r="535" ht="16.5" customHeight="1" s="220">
      <c r="A535" s="1" t="n"/>
      <c r="B535" s="1" t="n"/>
      <c r="C535" s="2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</row>
    <row r="536" ht="16.5" customHeight="1" s="220">
      <c r="A536" s="1" t="n"/>
      <c r="B536" s="1" t="n"/>
      <c r="C536" s="2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</row>
    <row r="537" ht="16.5" customHeight="1" s="220">
      <c r="A537" s="1" t="n"/>
      <c r="B537" s="1" t="n"/>
      <c r="C537" s="2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</row>
    <row r="538" ht="16.5" customHeight="1" s="220">
      <c r="A538" s="1" t="n"/>
      <c r="B538" s="1" t="n"/>
      <c r="C538" s="2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</row>
    <row r="539" ht="16.5" customHeight="1" s="220">
      <c r="A539" s="1" t="n"/>
      <c r="B539" s="1" t="n"/>
      <c r="C539" s="2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</row>
    <row r="540" ht="16.5" customHeight="1" s="220">
      <c r="A540" s="1" t="n"/>
      <c r="B540" s="1" t="n"/>
      <c r="C540" s="2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</row>
    <row r="541" ht="16.5" customHeight="1" s="220">
      <c r="A541" s="1" t="n"/>
      <c r="B541" s="1" t="n"/>
      <c r="C541" s="2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</row>
    <row r="542" ht="16.5" customHeight="1" s="220">
      <c r="A542" s="1" t="n"/>
      <c r="B542" s="1" t="n"/>
      <c r="C542" s="2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</row>
    <row r="543" ht="16.5" customHeight="1" s="220">
      <c r="A543" s="1" t="n"/>
      <c r="B543" s="1" t="n"/>
      <c r="C543" s="2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</row>
    <row r="544" ht="16.5" customHeight="1" s="220">
      <c r="A544" s="1" t="n"/>
      <c r="B544" s="1" t="n"/>
      <c r="C544" s="2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</row>
    <row r="545" ht="16.5" customHeight="1" s="220">
      <c r="A545" s="1" t="n"/>
      <c r="B545" s="1" t="n"/>
      <c r="C545" s="2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</row>
    <row r="546" ht="16.5" customHeight="1" s="220">
      <c r="A546" s="1" t="n"/>
      <c r="B546" s="1" t="n"/>
      <c r="C546" s="2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</row>
    <row r="547" ht="16.5" customHeight="1" s="220">
      <c r="A547" s="1" t="n"/>
      <c r="B547" s="1" t="n"/>
      <c r="C547" s="2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</row>
    <row r="548" ht="16.5" customHeight="1" s="220">
      <c r="A548" s="1" t="n"/>
      <c r="B548" s="1" t="n"/>
      <c r="C548" s="2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</row>
    <row r="549" ht="16.5" customHeight="1" s="220">
      <c r="A549" s="1" t="n"/>
      <c r="B549" s="1" t="n"/>
      <c r="C549" s="2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</row>
    <row r="550" ht="16.5" customHeight="1" s="220">
      <c r="A550" s="1" t="n"/>
      <c r="B550" s="1" t="n"/>
      <c r="C550" s="2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</row>
    <row r="551" ht="16.5" customHeight="1" s="220">
      <c r="A551" s="1" t="n"/>
      <c r="B551" s="1" t="n"/>
      <c r="C551" s="2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</row>
    <row r="552" ht="16.5" customHeight="1" s="220">
      <c r="A552" s="1" t="n"/>
      <c r="B552" s="1" t="n"/>
      <c r="C552" s="2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</row>
    <row r="553" ht="16.5" customHeight="1" s="220">
      <c r="A553" s="1" t="n"/>
      <c r="B553" s="1" t="n"/>
      <c r="C553" s="2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</row>
    <row r="554" ht="16.5" customHeight="1" s="220">
      <c r="A554" s="1" t="n"/>
      <c r="B554" s="1" t="n"/>
      <c r="C554" s="2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</row>
    <row r="555" ht="16.5" customHeight="1" s="220">
      <c r="A555" s="1" t="n"/>
      <c r="B555" s="1" t="n"/>
      <c r="C555" s="2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</row>
    <row r="556" ht="16.5" customHeight="1" s="220">
      <c r="A556" s="1" t="n"/>
      <c r="B556" s="1" t="n"/>
      <c r="C556" s="2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</row>
    <row r="557" ht="16.5" customHeight="1" s="220">
      <c r="A557" s="1" t="n"/>
      <c r="B557" s="1" t="n"/>
      <c r="C557" s="2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</row>
    <row r="558" ht="16.5" customHeight="1" s="220">
      <c r="A558" s="1" t="n"/>
      <c r="B558" s="1" t="n"/>
      <c r="C558" s="2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</row>
    <row r="559" ht="16.5" customHeight="1" s="220">
      <c r="A559" s="1" t="n"/>
      <c r="B559" s="1" t="n"/>
      <c r="C559" s="2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</row>
    <row r="560" ht="16.5" customHeight="1" s="220">
      <c r="A560" s="1" t="n"/>
      <c r="B560" s="1" t="n"/>
      <c r="C560" s="2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</row>
    <row r="561" ht="16.5" customHeight="1" s="220">
      <c r="A561" s="1" t="n"/>
      <c r="B561" s="1" t="n"/>
      <c r="C561" s="2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</row>
    <row r="562" ht="16.5" customHeight="1" s="220">
      <c r="A562" s="1" t="n"/>
      <c r="B562" s="1" t="n"/>
      <c r="C562" s="2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</row>
    <row r="563" ht="16.5" customHeight="1" s="220">
      <c r="A563" s="1" t="n"/>
      <c r="B563" s="1" t="n"/>
      <c r="C563" s="2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</row>
    <row r="564" ht="16.5" customHeight="1" s="220">
      <c r="A564" s="1" t="n"/>
      <c r="B564" s="1" t="n"/>
      <c r="C564" s="2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</row>
    <row r="565" ht="16.5" customHeight="1" s="220">
      <c r="A565" s="1" t="n"/>
      <c r="B565" s="1" t="n"/>
      <c r="C565" s="2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</row>
    <row r="566" ht="16.5" customHeight="1" s="220">
      <c r="A566" s="1" t="n"/>
      <c r="B566" s="1" t="n"/>
      <c r="C566" s="2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</row>
    <row r="567" ht="16.5" customHeight="1" s="220">
      <c r="A567" s="1" t="n"/>
      <c r="B567" s="1" t="n"/>
      <c r="C567" s="2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</row>
    <row r="568" ht="16.5" customHeight="1" s="220">
      <c r="A568" s="1" t="n"/>
      <c r="B568" s="1" t="n"/>
      <c r="C568" s="2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</row>
    <row r="569" ht="16.5" customHeight="1" s="220">
      <c r="A569" s="1" t="n"/>
      <c r="B569" s="1" t="n"/>
      <c r="C569" s="2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</row>
    <row r="570" ht="16.5" customHeight="1" s="220">
      <c r="A570" s="1" t="n"/>
      <c r="B570" s="1" t="n"/>
      <c r="C570" s="2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</row>
    <row r="571" ht="16.5" customHeight="1" s="220">
      <c r="A571" s="1" t="n"/>
      <c r="B571" s="1" t="n"/>
      <c r="C571" s="2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</row>
    <row r="572" ht="16.5" customHeight="1" s="220">
      <c r="A572" s="1" t="n"/>
      <c r="B572" s="1" t="n"/>
      <c r="C572" s="2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</row>
    <row r="573" ht="16.5" customHeight="1" s="220">
      <c r="A573" s="1" t="n"/>
      <c r="B573" s="1" t="n"/>
      <c r="C573" s="2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</row>
    <row r="574" ht="16.5" customHeight="1" s="220">
      <c r="A574" s="1" t="n"/>
      <c r="B574" s="1" t="n"/>
      <c r="C574" s="2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</row>
    <row r="575" ht="16.5" customHeight="1" s="220">
      <c r="A575" s="1" t="n"/>
      <c r="B575" s="1" t="n"/>
      <c r="C575" s="2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</row>
    <row r="576" ht="16.5" customHeight="1" s="220">
      <c r="A576" s="1" t="n"/>
      <c r="B576" s="1" t="n"/>
      <c r="C576" s="2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</row>
    <row r="577" ht="16.5" customHeight="1" s="220">
      <c r="A577" s="1" t="n"/>
      <c r="B577" s="1" t="n"/>
      <c r="C577" s="2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</row>
    <row r="578" ht="16.5" customHeight="1" s="220">
      <c r="A578" s="1" t="n"/>
      <c r="B578" s="1" t="n"/>
      <c r="C578" s="2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</row>
    <row r="579" ht="16.5" customHeight="1" s="220">
      <c r="A579" s="1" t="n"/>
      <c r="B579" s="1" t="n"/>
      <c r="C579" s="2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</row>
    <row r="580" ht="16.5" customHeight="1" s="220">
      <c r="A580" s="1" t="n"/>
      <c r="B580" s="1" t="n"/>
      <c r="C580" s="2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</row>
    <row r="581" ht="16.5" customHeight="1" s="220">
      <c r="A581" s="1" t="n"/>
      <c r="B581" s="1" t="n"/>
      <c r="C581" s="2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</row>
    <row r="582" ht="16.5" customHeight="1" s="220">
      <c r="A582" s="1" t="n"/>
      <c r="B582" s="1" t="n"/>
      <c r="C582" s="2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</row>
    <row r="583" ht="16.5" customHeight="1" s="220">
      <c r="A583" s="1" t="n"/>
      <c r="B583" s="1" t="n"/>
      <c r="C583" s="2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</row>
    <row r="584" ht="16.5" customHeight="1" s="220">
      <c r="A584" s="1" t="n"/>
      <c r="B584" s="1" t="n"/>
      <c r="C584" s="2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</row>
    <row r="585" ht="16.5" customHeight="1" s="220">
      <c r="A585" s="1" t="n"/>
      <c r="B585" s="1" t="n"/>
      <c r="C585" s="2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</row>
    <row r="586" ht="16.5" customHeight="1" s="220">
      <c r="A586" s="1" t="n"/>
      <c r="B586" s="1" t="n"/>
      <c r="C586" s="2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</row>
    <row r="587" ht="16.5" customHeight="1" s="220">
      <c r="A587" s="1" t="n"/>
      <c r="B587" s="1" t="n"/>
      <c r="C587" s="2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</row>
    <row r="588" ht="16.5" customHeight="1" s="220">
      <c r="A588" s="1" t="n"/>
      <c r="B588" s="1" t="n"/>
      <c r="C588" s="2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</row>
    <row r="589" ht="16.5" customHeight="1" s="220">
      <c r="A589" s="1" t="n"/>
      <c r="B589" s="1" t="n"/>
      <c r="C589" s="2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</row>
    <row r="590" ht="16.5" customHeight="1" s="220">
      <c r="A590" s="1" t="n"/>
      <c r="B590" s="1" t="n"/>
      <c r="C590" s="2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</row>
    <row r="591" ht="16.5" customHeight="1" s="220">
      <c r="A591" s="1" t="n"/>
      <c r="B591" s="1" t="n"/>
      <c r="C591" s="2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</row>
    <row r="592" ht="16.5" customHeight="1" s="220">
      <c r="A592" s="1" t="n"/>
      <c r="B592" s="1" t="n"/>
      <c r="C592" s="2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</row>
    <row r="593" ht="16.5" customHeight="1" s="220">
      <c r="A593" s="1" t="n"/>
      <c r="B593" s="1" t="n"/>
      <c r="C593" s="2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</row>
    <row r="594" ht="16.5" customHeight="1" s="220">
      <c r="A594" s="1" t="n"/>
      <c r="B594" s="1" t="n"/>
      <c r="C594" s="2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</row>
    <row r="595" ht="16.5" customHeight="1" s="220">
      <c r="A595" s="1" t="n"/>
      <c r="B595" s="1" t="n"/>
      <c r="C595" s="2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</row>
    <row r="596" ht="16.5" customHeight="1" s="220">
      <c r="A596" s="1" t="n"/>
      <c r="B596" s="1" t="n"/>
      <c r="C596" s="2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</row>
    <row r="597" ht="16.5" customHeight="1" s="220">
      <c r="A597" s="1" t="n"/>
      <c r="B597" s="1" t="n"/>
      <c r="C597" s="2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</row>
    <row r="598" ht="16.5" customHeight="1" s="220">
      <c r="A598" s="1" t="n"/>
      <c r="B598" s="1" t="n"/>
      <c r="C598" s="2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</row>
    <row r="599" ht="16.5" customHeight="1" s="220">
      <c r="A599" s="1" t="n"/>
      <c r="B599" s="1" t="n"/>
      <c r="C599" s="2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</row>
    <row r="600" ht="16.5" customHeight="1" s="220">
      <c r="A600" s="1" t="n"/>
      <c r="B600" s="1" t="n"/>
      <c r="C600" s="2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</row>
    <row r="601" ht="16.5" customHeight="1" s="220">
      <c r="A601" s="1" t="n"/>
      <c r="B601" s="1" t="n"/>
      <c r="C601" s="2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</row>
    <row r="602" ht="16.5" customHeight="1" s="220">
      <c r="A602" s="1" t="n"/>
      <c r="B602" s="1" t="n"/>
      <c r="C602" s="2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</row>
    <row r="603" ht="16.5" customHeight="1" s="220">
      <c r="A603" s="1" t="n"/>
      <c r="B603" s="1" t="n"/>
      <c r="C603" s="2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</row>
    <row r="604" ht="16.5" customHeight="1" s="220">
      <c r="A604" s="1" t="n"/>
      <c r="B604" s="1" t="n"/>
      <c r="C604" s="2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</row>
    <row r="605" ht="16.5" customHeight="1" s="220">
      <c r="A605" s="1" t="n"/>
      <c r="B605" s="1" t="n"/>
      <c r="C605" s="2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</row>
    <row r="606" ht="16.5" customHeight="1" s="220">
      <c r="A606" s="1" t="n"/>
      <c r="B606" s="1" t="n"/>
      <c r="C606" s="2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</row>
    <row r="607" ht="16.5" customHeight="1" s="220">
      <c r="A607" s="1" t="n"/>
      <c r="B607" s="1" t="n"/>
      <c r="C607" s="2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</row>
    <row r="608" ht="16.5" customHeight="1" s="220">
      <c r="A608" s="1" t="n"/>
      <c r="B608" s="1" t="n"/>
      <c r="C608" s="2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</row>
    <row r="609" ht="16.5" customHeight="1" s="220">
      <c r="A609" s="1" t="n"/>
      <c r="B609" s="1" t="n"/>
      <c r="C609" s="2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</row>
    <row r="610" ht="16.5" customHeight="1" s="220">
      <c r="A610" s="1" t="n"/>
      <c r="B610" s="1" t="n"/>
      <c r="C610" s="2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</row>
    <row r="611" ht="16.5" customHeight="1" s="220">
      <c r="A611" s="1" t="n"/>
      <c r="B611" s="1" t="n"/>
      <c r="C611" s="2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</row>
    <row r="612" ht="16.5" customHeight="1" s="220">
      <c r="A612" s="1" t="n"/>
      <c r="B612" s="1" t="n"/>
      <c r="C612" s="2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</row>
    <row r="613" ht="16.5" customHeight="1" s="220">
      <c r="A613" s="1" t="n"/>
      <c r="B613" s="1" t="n"/>
      <c r="C613" s="2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</row>
    <row r="614" ht="16.5" customHeight="1" s="220">
      <c r="A614" s="1" t="n"/>
      <c r="B614" s="1" t="n"/>
      <c r="C614" s="2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</row>
    <row r="615" ht="16.5" customHeight="1" s="220">
      <c r="A615" s="1" t="n"/>
      <c r="B615" s="1" t="n"/>
      <c r="C615" s="2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</row>
    <row r="616" ht="16.5" customHeight="1" s="220">
      <c r="A616" s="1" t="n"/>
      <c r="B616" s="1" t="n"/>
      <c r="C616" s="2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</row>
    <row r="617" ht="16.5" customHeight="1" s="220">
      <c r="A617" s="1" t="n"/>
      <c r="B617" s="1" t="n"/>
      <c r="C617" s="2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</row>
    <row r="618" ht="16.5" customHeight="1" s="220">
      <c r="A618" s="1" t="n"/>
      <c r="B618" s="1" t="n"/>
      <c r="C618" s="2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</row>
    <row r="619" ht="16.5" customHeight="1" s="220">
      <c r="A619" s="1" t="n"/>
      <c r="B619" s="1" t="n"/>
      <c r="C619" s="2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</row>
    <row r="620" ht="16.5" customHeight="1" s="220">
      <c r="A620" s="1" t="n"/>
      <c r="B620" s="1" t="n"/>
      <c r="C620" s="2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</row>
    <row r="621" ht="16.5" customHeight="1" s="220">
      <c r="A621" s="1" t="n"/>
      <c r="B621" s="1" t="n"/>
      <c r="C621" s="2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</row>
    <row r="622" ht="16.5" customHeight="1" s="220">
      <c r="A622" s="1" t="n"/>
      <c r="B622" s="1" t="n"/>
      <c r="C622" s="2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</row>
    <row r="623" ht="16.5" customHeight="1" s="220">
      <c r="A623" s="1" t="n"/>
      <c r="B623" s="1" t="n"/>
      <c r="C623" s="2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</row>
    <row r="624" ht="16.5" customHeight="1" s="220">
      <c r="A624" s="1" t="n"/>
      <c r="B624" s="1" t="n"/>
      <c r="C624" s="2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</row>
    <row r="625" ht="16.5" customHeight="1" s="220">
      <c r="A625" s="1" t="n"/>
      <c r="B625" s="1" t="n"/>
      <c r="C625" s="2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</row>
    <row r="626" ht="16.5" customHeight="1" s="220">
      <c r="A626" s="1" t="n"/>
      <c r="B626" s="1" t="n"/>
      <c r="C626" s="2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</row>
    <row r="627" ht="16.5" customHeight="1" s="220">
      <c r="A627" s="1" t="n"/>
      <c r="B627" s="1" t="n"/>
      <c r="C627" s="2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</row>
    <row r="628" ht="16.5" customHeight="1" s="220">
      <c r="A628" s="1" t="n"/>
      <c r="B628" s="1" t="n"/>
      <c r="C628" s="2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</row>
    <row r="629" ht="16.5" customHeight="1" s="220">
      <c r="A629" s="1" t="n"/>
      <c r="B629" s="1" t="n"/>
      <c r="C629" s="2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</row>
    <row r="630" ht="16.5" customHeight="1" s="220">
      <c r="A630" s="1" t="n"/>
      <c r="B630" s="1" t="n"/>
      <c r="C630" s="2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</row>
    <row r="631" ht="16.5" customHeight="1" s="220">
      <c r="A631" s="1" t="n"/>
      <c r="B631" s="1" t="n"/>
      <c r="C631" s="2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</row>
    <row r="632" ht="16.5" customHeight="1" s="220">
      <c r="A632" s="1" t="n"/>
      <c r="B632" s="1" t="n"/>
      <c r="C632" s="2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</row>
    <row r="633" ht="16.5" customHeight="1" s="220">
      <c r="A633" s="1" t="n"/>
      <c r="B633" s="1" t="n"/>
      <c r="C633" s="2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</row>
    <row r="634" ht="16.5" customHeight="1" s="220">
      <c r="A634" s="1" t="n"/>
      <c r="B634" s="1" t="n"/>
      <c r="C634" s="2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</row>
    <row r="635" ht="16.5" customHeight="1" s="220">
      <c r="A635" s="1" t="n"/>
      <c r="B635" s="1" t="n"/>
      <c r="C635" s="2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</row>
    <row r="636" ht="16.5" customHeight="1" s="220">
      <c r="A636" s="1" t="n"/>
      <c r="B636" s="1" t="n"/>
      <c r="C636" s="2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</row>
    <row r="637" ht="16.5" customHeight="1" s="220">
      <c r="A637" s="1" t="n"/>
      <c r="B637" s="1" t="n"/>
      <c r="C637" s="2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</row>
    <row r="638" ht="16.5" customHeight="1" s="220">
      <c r="A638" s="1" t="n"/>
      <c r="B638" s="1" t="n"/>
      <c r="C638" s="2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</row>
    <row r="639" ht="16.5" customHeight="1" s="220">
      <c r="A639" s="1" t="n"/>
      <c r="B639" s="1" t="n"/>
      <c r="C639" s="2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</row>
    <row r="640" ht="16.5" customHeight="1" s="220">
      <c r="A640" s="1" t="n"/>
      <c r="B640" s="1" t="n"/>
      <c r="C640" s="2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</row>
    <row r="641" ht="16.5" customHeight="1" s="220">
      <c r="A641" s="1" t="n"/>
      <c r="B641" s="1" t="n"/>
      <c r="C641" s="2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</row>
    <row r="642" ht="16.5" customHeight="1" s="220">
      <c r="A642" s="1" t="n"/>
      <c r="B642" s="1" t="n"/>
      <c r="C642" s="2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</row>
    <row r="643" ht="16.5" customHeight="1" s="220">
      <c r="A643" s="1" t="n"/>
      <c r="B643" s="1" t="n"/>
      <c r="C643" s="2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</row>
    <row r="644" ht="16.5" customHeight="1" s="220">
      <c r="A644" s="1" t="n"/>
      <c r="B644" s="1" t="n"/>
      <c r="C644" s="2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</row>
    <row r="645" ht="16.5" customHeight="1" s="220">
      <c r="A645" s="1" t="n"/>
      <c r="B645" s="1" t="n"/>
      <c r="C645" s="2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</row>
    <row r="646" ht="16.5" customHeight="1" s="220">
      <c r="A646" s="1" t="n"/>
      <c r="B646" s="1" t="n"/>
      <c r="C646" s="2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</row>
    <row r="647" ht="16.5" customHeight="1" s="220">
      <c r="A647" s="1" t="n"/>
      <c r="B647" s="1" t="n"/>
      <c r="C647" s="2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</row>
    <row r="648" ht="16.5" customHeight="1" s="220">
      <c r="A648" s="1" t="n"/>
      <c r="B648" s="1" t="n"/>
      <c r="C648" s="2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</row>
    <row r="649" ht="16.5" customHeight="1" s="220">
      <c r="A649" s="1" t="n"/>
      <c r="B649" s="1" t="n"/>
      <c r="C649" s="2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</row>
    <row r="650" ht="16.5" customHeight="1" s="220">
      <c r="A650" s="1" t="n"/>
      <c r="B650" s="1" t="n"/>
      <c r="C650" s="2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</row>
    <row r="651" ht="16.5" customHeight="1" s="220">
      <c r="A651" s="1" t="n"/>
      <c r="B651" s="1" t="n"/>
      <c r="C651" s="2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</row>
    <row r="652" ht="16.5" customHeight="1" s="220">
      <c r="A652" s="1" t="n"/>
      <c r="B652" s="1" t="n"/>
      <c r="C652" s="2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</row>
    <row r="653" ht="16.5" customHeight="1" s="220">
      <c r="A653" s="1" t="n"/>
      <c r="B653" s="1" t="n"/>
      <c r="C653" s="2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</row>
    <row r="654" ht="16.5" customHeight="1" s="220">
      <c r="A654" s="1" t="n"/>
      <c r="B654" s="1" t="n"/>
      <c r="C654" s="2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</row>
    <row r="655" ht="16.5" customHeight="1" s="220">
      <c r="A655" s="1" t="n"/>
      <c r="B655" s="1" t="n"/>
      <c r="C655" s="2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</row>
    <row r="656" ht="16.5" customHeight="1" s="220">
      <c r="A656" s="1" t="n"/>
      <c r="B656" s="1" t="n"/>
      <c r="C656" s="2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</row>
    <row r="657" ht="16.5" customHeight="1" s="220">
      <c r="A657" s="1" t="n"/>
      <c r="B657" s="1" t="n"/>
      <c r="C657" s="2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</row>
    <row r="658" ht="16.5" customHeight="1" s="220">
      <c r="A658" s="1" t="n"/>
      <c r="B658" s="1" t="n"/>
      <c r="C658" s="2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</row>
    <row r="659" ht="16.5" customHeight="1" s="220">
      <c r="A659" s="1" t="n"/>
      <c r="B659" s="1" t="n"/>
      <c r="C659" s="2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</row>
    <row r="660" ht="16.5" customHeight="1" s="220">
      <c r="A660" s="1" t="n"/>
      <c r="B660" s="1" t="n"/>
      <c r="C660" s="2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</row>
    <row r="661" ht="16.5" customHeight="1" s="220">
      <c r="A661" s="1" t="n"/>
      <c r="B661" s="1" t="n"/>
      <c r="C661" s="2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</row>
    <row r="662" ht="16.5" customHeight="1" s="220">
      <c r="A662" s="1" t="n"/>
      <c r="B662" s="1" t="n"/>
      <c r="C662" s="2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</row>
    <row r="663" ht="16.5" customHeight="1" s="220">
      <c r="A663" s="1" t="n"/>
      <c r="B663" s="1" t="n"/>
      <c r="C663" s="2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</row>
    <row r="664" ht="16.5" customHeight="1" s="220">
      <c r="A664" s="1" t="n"/>
      <c r="B664" s="1" t="n"/>
      <c r="C664" s="2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</row>
    <row r="665" ht="16.5" customHeight="1" s="220">
      <c r="A665" s="1" t="n"/>
      <c r="B665" s="1" t="n"/>
      <c r="C665" s="2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</row>
    <row r="666" ht="16.5" customHeight="1" s="220">
      <c r="A666" s="1" t="n"/>
      <c r="B666" s="1" t="n"/>
      <c r="C666" s="2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</row>
    <row r="667" ht="16.5" customHeight="1" s="220">
      <c r="A667" s="1" t="n"/>
      <c r="B667" s="1" t="n"/>
      <c r="C667" s="2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</row>
    <row r="668" ht="16.5" customHeight="1" s="220">
      <c r="A668" s="1" t="n"/>
      <c r="B668" s="1" t="n"/>
      <c r="C668" s="2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</row>
    <row r="669" ht="16.5" customHeight="1" s="220">
      <c r="A669" s="1" t="n"/>
      <c r="B669" s="1" t="n"/>
      <c r="C669" s="2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</row>
    <row r="670" ht="16.5" customHeight="1" s="220">
      <c r="A670" s="1" t="n"/>
      <c r="B670" s="1" t="n"/>
      <c r="C670" s="2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</row>
    <row r="671" ht="16.5" customHeight="1" s="220">
      <c r="A671" s="1" t="n"/>
      <c r="B671" s="1" t="n"/>
      <c r="C671" s="2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</row>
    <row r="672" ht="16.5" customHeight="1" s="220">
      <c r="A672" s="1" t="n"/>
      <c r="B672" s="1" t="n"/>
      <c r="C672" s="2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</row>
    <row r="673" ht="16.5" customHeight="1" s="220">
      <c r="A673" s="1" t="n"/>
      <c r="B673" s="1" t="n"/>
      <c r="C673" s="2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</row>
    <row r="674" ht="16.5" customHeight="1" s="220">
      <c r="A674" s="1" t="n"/>
      <c r="B674" s="1" t="n"/>
      <c r="C674" s="2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</row>
    <row r="675" ht="16.5" customHeight="1" s="220">
      <c r="A675" s="1" t="n"/>
      <c r="B675" s="1" t="n"/>
      <c r="C675" s="2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</row>
    <row r="676" ht="16.5" customHeight="1" s="220">
      <c r="A676" s="1" t="n"/>
      <c r="B676" s="1" t="n"/>
      <c r="C676" s="2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</row>
    <row r="677" ht="16.5" customHeight="1" s="220">
      <c r="A677" s="1" t="n"/>
      <c r="B677" s="1" t="n"/>
      <c r="C677" s="2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</row>
    <row r="678" ht="16.5" customHeight="1" s="220">
      <c r="A678" s="1" t="n"/>
      <c r="B678" s="1" t="n"/>
      <c r="C678" s="2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</row>
    <row r="679" ht="16.5" customHeight="1" s="220">
      <c r="A679" s="1" t="n"/>
      <c r="B679" s="1" t="n"/>
      <c r="C679" s="2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</row>
    <row r="680" ht="16.5" customHeight="1" s="220">
      <c r="A680" s="1" t="n"/>
      <c r="B680" s="1" t="n"/>
      <c r="C680" s="2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</row>
    <row r="681" ht="16.5" customHeight="1" s="220">
      <c r="A681" s="1" t="n"/>
      <c r="B681" s="1" t="n"/>
      <c r="C681" s="2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</row>
    <row r="682" ht="16.5" customHeight="1" s="220">
      <c r="A682" s="1" t="n"/>
      <c r="B682" s="1" t="n"/>
      <c r="C682" s="2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</row>
    <row r="683" ht="16.5" customHeight="1" s="220">
      <c r="A683" s="1" t="n"/>
      <c r="B683" s="1" t="n"/>
      <c r="C683" s="2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</row>
    <row r="684" ht="16.5" customHeight="1" s="220">
      <c r="A684" s="1" t="n"/>
      <c r="B684" s="1" t="n"/>
      <c r="C684" s="2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</row>
    <row r="685" ht="16.5" customHeight="1" s="220">
      <c r="A685" s="1" t="n"/>
      <c r="B685" s="1" t="n"/>
      <c r="C685" s="2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</row>
    <row r="686" ht="16.5" customHeight="1" s="220">
      <c r="A686" s="1" t="n"/>
      <c r="B686" s="1" t="n"/>
      <c r="C686" s="2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</row>
    <row r="687" ht="16.5" customHeight="1" s="220">
      <c r="A687" s="1" t="n"/>
      <c r="B687" s="1" t="n"/>
      <c r="C687" s="2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</row>
    <row r="688" ht="16.5" customHeight="1" s="220">
      <c r="A688" s="1" t="n"/>
      <c r="B688" s="1" t="n"/>
      <c r="C688" s="2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</row>
    <row r="689" ht="16.5" customHeight="1" s="220">
      <c r="A689" s="1" t="n"/>
      <c r="B689" s="1" t="n"/>
      <c r="C689" s="2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</row>
    <row r="690" ht="16.5" customHeight="1" s="220">
      <c r="A690" s="1" t="n"/>
      <c r="B690" s="1" t="n"/>
      <c r="C690" s="2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</row>
    <row r="691" ht="16.5" customHeight="1" s="220">
      <c r="A691" s="1" t="n"/>
      <c r="B691" s="1" t="n"/>
      <c r="C691" s="2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</row>
    <row r="692" ht="16.5" customHeight="1" s="220">
      <c r="A692" s="1" t="n"/>
      <c r="B692" s="1" t="n"/>
      <c r="C692" s="2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</row>
    <row r="693" ht="16.5" customHeight="1" s="220">
      <c r="A693" s="1" t="n"/>
      <c r="B693" s="1" t="n"/>
      <c r="C693" s="2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</row>
    <row r="694" ht="16.5" customHeight="1" s="220">
      <c r="A694" s="1" t="n"/>
      <c r="B694" s="1" t="n"/>
      <c r="C694" s="2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</row>
    <row r="695" ht="16.5" customHeight="1" s="220">
      <c r="A695" s="1" t="n"/>
      <c r="B695" s="1" t="n"/>
      <c r="C695" s="2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</row>
    <row r="696" ht="16.5" customHeight="1" s="220">
      <c r="A696" s="1" t="n"/>
      <c r="B696" s="1" t="n"/>
      <c r="C696" s="2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</row>
    <row r="697" ht="16.5" customHeight="1" s="220">
      <c r="A697" s="1" t="n"/>
      <c r="B697" s="1" t="n"/>
      <c r="C697" s="2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</row>
    <row r="698" ht="16.5" customHeight="1" s="220">
      <c r="A698" s="1" t="n"/>
      <c r="B698" s="1" t="n"/>
      <c r="C698" s="2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</row>
    <row r="699" ht="16.5" customHeight="1" s="220">
      <c r="A699" s="1" t="n"/>
      <c r="B699" s="1" t="n"/>
      <c r="C699" s="2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</row>
    <row r="700" ht="16.5" customHeight="1" s="220">
      <c r="A700" s="1" t="n"/>
      <c r="B700" s="1" t="n"/>
      <c r="C700" s="2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</row>
    <row r="701" ht="16.5" customHeight="1" s="220">
      <c r="A701" s="1" t="n"/>
      <c r="B701" s="1" t="n"/>
      <c r="C701" s="2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</row>
    <row r="702" ht="16.5" customHeight="1" s="220">
      <c r="A702" s="1" t="n"/>
      <c r="B702" s="1" t="n"/>
      <c r="C702" s="2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</row>
    <row r="703" ht="16.5" customHeight="1" s="220">
      <c r="A703" s="1" t="n"/>
      <c r="B703" s="1" t="n"/>
      <c r="C703" s="2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</row>
    <row r="704" ht="16.5" customHeight="1" s="220">
      <c r="A704" s="1" t="n"/>
      <c r="B704" s="1" t="n"/>
      <c r="C704" s="2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</row>
    <row r="705" ht="16.5" customHeight="1" s="220">
      <c r="A705" s="1" t="n"/>
      <c r="B705" s="1" t="n"/>
      <c r="C705" s="2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</row>
    <row r="706" ht="16.5" customHeight="1" s="220">
      <c r="A706" s="1" t="n"/>
      <c r="B706" s="1" t="n"/>
      <c r="C706" s="2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</row>
    <row r="707" ht="16.5" customHeight="1" s="220">
      <c r="A707" s="1" t="n"/>
      <c r="B707" s="1" t="n"/>
      <c r="C707" s="2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</row>
    <row r="708" ht="16.5" customHeight="1" s="220">
      <c r="A708" s="1" t="n"/>
      <c r="B708" s="1" t="n"/>
      <c r="C708" s="2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</row>
    <row r="709" ht="16.5" customHeight="1" s="220">
      <c r="A709" s="1" t="n"/>
      <c r="B709" s="1" t="n"/>
      <c r="C709" s="2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</row>
    <row r="710" ht="16.5" customHeight="1" s="220">
      <c r="A710" s="1" t="n"/>
      <c r="B710" s="1" t="n"/>
      <c r="C710" s="2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</row>
    <row r="711" ht="16.5" customHeight="1" s="220">
      <c r="A711" s="1" t="n"/>
      <c r="B711" s="1" t="n"/>
      <c r="C711" s="2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</row>
    <row r="712" ht="16.5" customHeight="1" s="220">
      <c r="A712" s="1" t="n"/>
      <c r="B712" s="1" t="n"/>
      <c r="C712" s="2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</row>
    <row r="713" ht="16.5" customHeight="1" s="220">
      <c r="A713" s="1" t="n"/>
      <c r="B713" s="1" t="n"/>
      <c r="C713" s="2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</row>
    <row r="714" ht="16.5" customHeight="1" s="220">
      <c r="A714" s="1" t="n"/>
      <c r="B714" s="1" t="n"/>
      <c r="C714" s="2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</row>
    <row r="715" ht="16.5" customHeight="1" s="220">
      <c r="A715" s="1" t="n"/>
      <c r="B715" s="1" t="n"/>
      <c r="C715" s="2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</row>
    <row r="716" ht="16.5" customHeight="1" s="220">
      <c r="A716" s="1" t="n"/>
      <c r="B716" s="1" t="n"/>
      <c r="C716" s="2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</row>
    <row r="717" ht="16.5" customHeight="1" s="220">
      <c r="A717" s="1" t="n"/>
      <c r="B717" s="1" t="n"/>
      <c r="C717" s="2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</row>
    <row r="718" ht="16.5" customHeight="1" s="220">
      <c r="A718" s="1" t="n"/>
      <c r="B718" s="1" t="n"/>
      <c r="C718" s="2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</row>
    <row r="719" ht="16.5" customHeight="1" s="220">
      <c r="A719" s="1" t="n"/>
      <c r="B719" s="1" t="n"/>
      <c r="C719" s="2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</row>
    <row r="720" ht="16.5" customHeight="1" s="220">
      <c r="A720" s="1" t="n"/>
      <c r="B720" s="1" t="n"/>
      <c r="C720" s="2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</row>
    <row r="721" ht="16.5" customHeight="1" s="220">
      <c r="A721" s="1" t="n"/>
      <c r="B721" s="1" t="n"/>
      <c r="C721" s="2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</row>
    <row r="722" ht="16.5" customHeight="1" s="220">
      <c r="A722" s="1" t="n"/>
      <c r="B722" s="1" t="n"/>
      <c r="C722" s="2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</row>
    <row r="723" ht="16.5" customHeight="1" s="220">
      <c r="A723" s="1" t="n"/>
      <c r="B723" s="1" t="n"/>
      <c r="C723" s="2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</row>
    <row r="724" ht="16.5" customHeight="1" s="220">
      <c r="A724" s="1" t="n"/>
      <c r="B724" s="1" t="n"/>
      <c r="C724" s="2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</row>
    <row r="725" ht="16.5" customHeight="1" s="220">
      <c r="A725" s="1" t="n"/>
      <c r="B725" s="1" t="n"/>
      <c r="C725" s="2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</row>
    <row r="726" ht="16.5" customHeight="1" s="220">
      <c r="A726" s="1" t="n"/>
      <c r="B726" s="1" t="n"/>
      <c r="C726" s="2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</row>
    <row r="727" ht="16.5" customHeight="1" s="220">
      <c r="A727" s="1" t="n"/>
      <c r="B727" s="1" t="n"/>
      <c r="C727" s="2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</row>
    <row r="728" ht="16.5" customHeight="1" s="220">
      <c r="A728" s="1" t="n"/>
      <c r="B728" s="1" t="n"/>
      <c r="C728" s="2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</row>
    <row r="729" ht="16.5" customHeight="1" s="220">
      <c r="A729" s="1" t="n"/>
      <c r="B729" s="1" t="n"/>
      <c r="C729" s="2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</row>
    <row r="730" ht="16.5" customHeight="1" s="220">
      <c r="A730" s="1" t="n"/>
      <c r="B730" s="1" t="n"/>
      <c r="C730" s="2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</row>
    <row r="731" ht="16.5" customHeight="1" s="220">
      <c r="A731" s="1" t="n"/>
      <c r="B731" s="1" t="n"/>
      <c r="C731" s="2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</row>
    <row r="732" ht="16.5" customHeight="1" s="220">
      <c r="A732" s="1" t="n"/>
      <c r="B732" s="1" t="n"/>
      <c r="C732" s="2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</row>
    <row r="733" ht="16.5" customHeight="1" s="220">
      <c r="A733" s="1" t="n"/>
      <c r="B733" s="1" t="n"/>
      <c r="C733" s="2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</row>
    <row r="734" ht="16.5" customHeight="1" s="220">
      <c r="A734" s="1" t="n"/>
      <c r="B734" s="1" t="n"/>
      <c r="C734" s="2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</row>
    <row r="735" ht="16.5" customHeight="1" s="220">
      <c r="A735" s="1" t="n"/>
      <c r="B735" s="1" t="n"/>
      <c r="C735" s="2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</row>
    <row r="736" ht="16.5" customHeight="1" s="220">
      <c r="A736" s="1" t="n"/>
      <c r="B736" s="1" t="n"/>
      <c r="C736" s="2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</row>
    <row r="737" ht="16.5" customHeight="1" s="220">
      <c r="A737" s="1" t="n"/>
      <c r="B737" s="1" t="n"/>
      <c r="C737" s="2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</row>
    <row r="738" ht="16.5" customHeight="1" s="220">
      <c r="A738" s="1" t="n"/>
      <c r="B738" s="1" t="n"/>
      <c r="C738" s="2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</row>
    <row r="739" ht="16.5" customHeight="1" s="220">
      <c r="A739" s="1" t="n"/>
      <c r="B739" s="1" t="n"/>
      <c r="C739" s="2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</row>
    <row r="740" ht="16.5" customHeight="1" s="220">
      <c r="A740" s="1" t="n"/>
      <c r="B740" s="1" t="n"/>
      <c r="C740" s="2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</row>
    <row r="741" ht="16.5" customHeight="1" s="220">
      <c r="A741" s="1" t="n"/>
      <c r="B741" s="1" t="n"/>
      <c r="C741" s="2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</row>
    <row r="742" ht="16.5" customHeight="1" s="220">
      <c r="A742" s="1" t="n"/>
      <c r="B742" s="1" t="n"/>
      <c r="C742" s="2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</row>
    <row r="743" ht="16.5" customHeight="1" s="220">
      <c r="A743" s="1" t="n"/>
      <c r="B743" s="1" t="n"/>
      <c r="C743" s="2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</row>
    <row r="744" ht="16.5" customHeight="1" s="220">
      <c r="A744" s="1" t="n"/>
      <c r="B744" s="1" t="n"/>
      <c r="C744" s="2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</row>
    <row r="745" ht="16.5" customHeight="1" s="220">
      <c r="A745" s="1" t="n"/>
      <c r="B745" s="1" t="n"/>
      <c r="C745" s="2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</row>
    <row r="746" ht="16.5" customHeight="1" s="220">
      <c r="A746" s="1" t="n"/>
      <c r="B746" s="1" t="n"/>
      <c r="C746" s="2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</row>
    <row r="747" ht="16.5" customHeight="1" s="220">
      <c r="A747" s="1" t="n"/>
      <c r="B747" s="1" t="n"/>
      <c r="C747" s="2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</row>
    <row r="748" ht="16.5" customHeight="1" s="220">
      <c r="A748" s="1" t="n"/>
      <c r="B748" s="1" t="n"/>
      <c r="C748" s="2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</row>
    <row r="749" ht="16.5" customHeight="1" s="220">
      <c r="A749" s="1" t="n"/>
      <c r="B749" s="1" t="n"/>
      <c r="C749" s="2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</row>
    <row r="750" ht="16.5" customHeight="1" s="220">
      <c r="A750" s="1" t="n"/>
      <c r="B750" s="1" t="n"/>
      <c r="C750" s="2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</row>
    <row r="751" ht="16.5" customHeight="1" s="220">
      <c r="A751" s="1" t="n"/>
      <c r="B751" s="1" t="n"/>
      <c r="C751" s="2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</row>
    <row r="752" ht="16.5" customHeight="1" s="220">
      <c r="A752" s="1" t="n"/>
      <c r="B752" s="1" t="n"/>
      <c r="C752" s="2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</row>
    <row r="753" ht="16.5" customHeight="1" s="220">
      <c r="A753" s="1" t="n"/>
      <c r="B753" s="1" t="n"/>
      <c r="C753" s="2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</row>
    <row r="754" ht="16.5" customHeight="1" s="220">
      <c r="A754" s="1" t="n"/>
      <c r="B754" s="1" t="n"/>
      <c r="C754" s="2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</row>
    <row r="755" ht="16.5" customHeight="1" s="220">
      <c r="A755" s="1" t="n"/>
      <c r="B755" s="1" t="n"/>
      <c r="C755" s="2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</row>
    <row r="756" ht="16.5" customHeight="1" s="220">
      <c r="A756" s="1" t="n"/>
      <c r="B756" s="1" t="n"/>
      <c r="C756" s="2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</row>
    <row r="757" ht="16.5" customHeight="1" s="220">
      <c r="A757" s="1" t="n"/>
      <c r="B757" s="1" t="n"/>
      <c r="C757" s="2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</row>
    <row r="758" ht="16.5" customHeight="1" s="220">
      <c r="A758" s="1" t="n"/>
      <c r="B758" s="1" t="n"/>
      <c r="C758" s="2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</row>
    <row r="759" ht="16.5" customHeight="1" s="220">
      <c r="A759" s="1" t="n"/>
      <c r="B759" s="1" t="n"/>
      <c r="C759" s="2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</row>
    <row r="760" ht="16.5" customHeight="1" s="220">
      <c r="A760" s="1" t="n"/>
      <c r="B760" s="1" t="n"/>
      <c r="C760" s="2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</row>
    <row r="761" ht="16.5" customHeight="1" s="220">
      <c r="A761" s="1" t="n"/>
      <c r="B761" s="1" t="n"/>
      <c r="C761" s="2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</row>
    <row r="762" ht="16.5" customHeight="1" s="220">
      <c r="A762" s="1" t="n"/>
      <c r="B762" s="1" t="n"/>
      <c r="C762" s="2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</row>
    <row r="763" ht="16.5" customHeight="1" s="220">
      <c r="A763" s="1" t="n"/>
      <c r="B763" s="1" t="n"/>
      <c r="C763" s="2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</row>
    <row r="764" ht="16.5" customHeight="1" s="220">
      <c r="A764" s="1" t="n"/>
      <c r="B764" s="1" t="n"/>
      <c r="C764" s="2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</row>
    <row r="765" ht="16.5" customHeight="1" s="220">
      <c r="A765" s="1" t="n"/>
      <c r="B765" s="1" t="n"/>
      <c r="C765" s="2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</row>
    <row r="766" ht="16.5" customHeight="1" s="220">
      <c r="A766" s="1" t="n"/>
      <c r="B766" s="1" t="n"/>
      <c r="C766" s="2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</row>
    <row r="767" ht="16.5" customHeight="1" s="220">
      <c r="A767" s="1" t="n"/>
      <c r="B767" s="1" t="n"/>
      <c r="C767" s="2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</row>
    <row r="768" ht="16.5" customHeight="1" s="220">
      <c r="A768" s="1" t="n"/>
      <c r="B768" s="1" t="n"/>
      <c r="C768" s="2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</row>
    <row r="769" ht="16.5" customHeight="1" s="220">
      <c r="A769" s="1" t="n"/>
      <c r="B769" s="1" t="n"/>
      <c r="C769" s="2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</row>
    <row r="770" ht="16.5" customHeight="1" s="220">
      <c r="A770" s="1" t="n"/>
      <c r="B770" s="1" t="n"/>
      <c r="C770" s="2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</row>
    <row r="771" ht="16.5" customHeight="1" s="220">
      <c r="A771" s="1" t="n"/>
      <c r="B771" s="1" t="n"/>
      <c r="C771" s="2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</row>
    <row r="772" ht="16.5" customHeight="1" s="220">
      <c r="A772" s="1" t="n"/>
      <c r="B772" s="1" t="n"/>
      <c r="C772" s="2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</row>
    <row r="773" ht="16.5" customHeight="1" s="220">
      <c r="A773" s="1" t="n"/>
      <c r="B773" s="1" t="n"/>
      <c r="C773" s="2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</row>
    <row r="774" ht="16.5" customHeight="1" s="220">
      <c r="A774" s="1" t="n"/>
      <c r="B774" s="1" t="n"/>
      <c r="C774" s="2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</row>
    <row r="775" ht="16.5" customHeight="1" s="220">
      <c r="A775" s="1" t="n"/>
      <c r="B775" s="1" t="n"/>
      <c r="C775" s="2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</row>
    <row r="776" ht="16.5" customHeight="1" s="220">
      <c r="A776" s="1" t="n"/>
      <c r="B776" s="1" t="n"/>
      <c r="C776" s="2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</row>
    <row r="777" ht="16.5" customHeight="1" s="220">
      <c r="A777" s="1" t="n"/>
      <c r="B777" s="1" t="n"/>
      <c r="C777" s="2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</row>
    <row r="778" ht="16.5" customHeight="1" s="220">
      <c r="A778" s="1" t="n"/>
      <c r="B778" s="1" t="n"/>
      <c r="C778" s="2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</row>
    <row r="779" ht="16.5" customHeight="1" s="220">
      <c r="A779" s="1" t="n"/>
      <c r="B779" s="1" t="n"/>
      <c r="C779" s="2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</row>
    <row r="780" ht="16.5" customHeight="1" s="220">
      <c r="A780" s="1" t="n"/>
      <c r="B780" s="1" t="n"/>
      <c r="C780" s="2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</row>
    <row r="781" ht="16.5" customHeight="1" s="220">
      <c r="A781" s="1" t="n"/>
      <c r="B781" s="1" t="n"/>
      <c r="C781" s="2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</row>
    <row r="782" ht="16.5" customHeight="1" s="220">
      <c r="A782" s="1" t="n"/>
      <c r="B782" s="1" t="n"/>
      <c r="C782" s="2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</row>
    <row r="783" ht="16.5" customHeight="1" s="220">
      <c r="A783" s="1" t="n"/>
      <c r="B783" s="1" t="n"/>
      <c r="C783" s="2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</row>
    <row r="784" ht="16.5" customHeight="1" s="220">
      <c r="A784" s="1" t="n"/>
      <c r="B784" s="1" t="n"/>
      <c r="C784" s="2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</row>
    <row r="785" ht="16.5" customHeight="1" s="220">
      <c r="A785" s="1" t="n"/>
      <c r="B785" s="1" t="n"/>
      <c r="C785" s="2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</row>
    <row r="786" ht="16.5" customHeight="1" s="220">
      <c r="A786" s="1" t="n"/>
      <c r="B786" s="1" t="n"/>
      <c r="C786" s="2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</row>
    <row r="787" ht="16.5" customHeight="1" s="220">
      <c r="A787" s="1" t="n"/>
      <c r="B787" s="1" t="n"/>
      <c r="C787" s="2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</row>
    <row r="788" ht="16.5" customHeight="1" s="220">
      <c r="A788" s="1" t="n"/>
      <c r="B788" s="1" t="n"/>
      <c r="C788" s="2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</row>
    <row r="789" ht="16.5" customHeight="1" s="220">
      <c r="A789" s="1" t="n"/>
      <c r="B789" s="1" t="n"/>
      <c r="C789" s="2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</row>
    <row r="790" ht="16.5" customHeight="1" s="220">
      <c r="A790" s="1" t="n"/>
      <c r="B790" s="1" t="n"/>
      <c r="C790" s="2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</row>
    <row r="791" ht="16.5" customHeight="1" s="220">
      <c r="A791" s="1" t="n"/>
      <c r="B791" s="1" t="n"/>
      <c r="C791" s="2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</row>
    <row r="792" ht="16.5" customHeight="1" s="220">
      <c r="A792" s="1" t="n"/>
      <c r="B792" s="1" t="n"/>
      <c r="C792" s="2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</row>
    <row r="793" ht="16.5" customHeight="1" s="220">
      <c r="A793" s="1" t="n"/>
      <c r="B793" s="1" t="n"/>
      <c r="C793" s="2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</row>
    <row r="794" ht="16.5" customHeight="1" s="220">
      <c r="A794" s="1" t="n"/>
      <c r="B794" s="1" t="n"/>
      <c r="C794" s="2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</row>
    <row r="795" ht="16.5" customHeight="1" s="220">
      <c r="A795" s="1" t="n"/>
      <c r="B795" s="1" t="n"/>
      <c r="C795" s="2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</row>
    <row r="796" ht="16.5" customHeight="1" s="220">
      <c r="A796" s="1" t="n"/>
      <c r="B796" s="1" t="n"/>
      <c r="C796" s="2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</row>
    <row r="797" ht="16.5" customHeight="1" s="220">
      <c r="A797" s="1" t="n"/>
      <c r="B797" s="1" t="n"/>
      <c r="C797" s="2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</row>
    <row r="798" ht="16.5" customHeight="1" s="220">
      <c r="A798" s="1" t="n"/>
      <c r="B798" s="1" t="n"/>
      <c r="C798" s="2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</row>
    <row r="799" ht="16.5" customHeight="1" s="220">
      <c r="A799" s="1" t="n"/>
      <c r="B799" s="1" t="n"/>
      <c r="C799" s="2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</row>
    <row r="800" ht="16.5" customHeight="1" s="220">
      <c r="A800" s="1" t="n"/>
      <c r="B800" s="1" t="n"/>
      <c r="C800" s="2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</row>
    <row r="801" ht="16.5" customHeight="1" s="220">
      <c r="A801" s="1" t="n"/>
      <c r="B801" s="1" t="n"/>
      <c r="C801" s="2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</row>
    <row r="802" ht="16.5" customHeight="1" s="220">
      <c r="A802" s="1" t="n"/>
      <c r="B802" s="1" t="n"/>
      <c r="C802" s="2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</row>
    <row r="803" ht="16.5" customHeight="1" s="220">
      <c r="A803" s="1" t="n"/>
      <c r="B803" s="1" t="n"/>
      <c r="C803" s="2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</row>
    <row r="804" ht="16.5" customHeight="1" s="220">
      <c r="A804" s="1" t="n"/>
      <c r="B804" s="1" t="n"/>
      <c r="C804" s="2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</row>
    <row r="805" ht="16.5" customHeight="1" s="220">
      <c r="A805" s="1" t="n"/>
      <c r="B805" s="1" t="n"/>
      <c r="C805" s="2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</row>
    <row r="806" ht="16.5" customHeight="1" s="220">
      <c r="A806" s="1" t="n"/>
      <c r="B806" s="1" t="n"/>
      <c r="C806" s="2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</row>
    <row r="807" ht="16.5" customHeight="1" s="220">
      <c r="A807" s="1" t="n"/>
      <c r="B807" s="1" t="n"/>
      <c r="C807" s="2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</row>
    <row r="808" ht="16.5" customHeight="1" s="220">
      <c r="A808" s="1" t="n"/>
      <c r="B808" s="1" t="n"/>
      <c r="C808" s="2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</row>
    <row r="809" ht="16.5" customHeight="1" s="220">
      <c r="A809" s="1" t="n"/>
      <c r="B809" s="1" t="n"/>
      <c r="C809" s="2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</row>
    <row r="810" ht="16.5" customHeight="1" s="220">
      <c r="A810" s="1" t="n"/>
      <c r="B810" s="1" t="n"/>
      <c r="C810" s="2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</row>
    <row r="811" ht="16.5" customHeight="1" s="220">
      <c r="A811" s="1" t="n"/>
      <c r="B811" s="1" t="n"/>
      <c r="C811" s="2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</row>
    <row r="812" ht="16.5" customHeight="1" s="220">
      <c r="A812" s="1" t="n"/>
      <c r="B812" s="1" t="n"/>
      <c r="C812" s="2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</row>
    <row r="813" ht="16.5" customHeight="1" s="220">
      <c r="A813" s="1" t="n"/>
      <c r="B813" s="1" t="n"/>
      <c r="C813" s="2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</row>
    <row r="814" ht="16.5" customHeight="1" s="220">
      <c r="A814" s="1" t="n"/>
      <c r="B814" s="1" t="n"/>
      <c r="C814" s="2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</row>
    <row r="815" ht="16.5" customHeight="1" s="220">
      <c r="A815" s="1" t="n"/>
      <c r="B815" s="1" t="n"/>
      <c r="C815" s="2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</row>
    <row r="816" ht="16.5" customHeight="1" s="220">
      <c r="A816" s="1" t="n"/>
      <c r="B816" s="1" t="n"/>
      <c r="C816" s="2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</row>
    <row r="817" ht="16.5" customHeight="1" s="220">
      <c r="A817" s="1" t="n"/>
      <c r="B817" s="1" t="n"/>
      <c r="C817" s="2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</row>
    <row r="818" ht="16.5" customHeight="1" s="220">
      <c r="A818" s="1" t="n"/>
      <c r="B818" s="1" t="n"/>
      <c r="C818" s="2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</row>
    <row r="819" ht="16.5" customHeight="1" s="220">
      <c r="A819" s="1" t="n"/>
      <c r="B819" s="1" t="n"/>
      <c r="C819" s="2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</row>
    <row r="820" ht="16.5" customHeight="1" s="220">
      <c r="A820" s="1" t="n"/>
      <c r="B820" s="1" t="n"/>
      <c r="C820" s="2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</row>
    <row r="821" ht="16.5" customHeight="1" s="220">
      <c r="A821" s="1" t="n"/>
      <c r="B821" s="1" t="n"/>
      <c r="C821" s="2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</row>
    <row r="822" ht="16.5" customHeight="1" s="220">
      <c r="A822" s="1" t="n"/>
      <c r="B822" s="1" t="n"/>
      <c r="C822" s="2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</row>
    <row r="823" ht="16.5" customHeight="1" s="220">
      <c r="A823" s="1" t="n"/>
      <c r="B823" s="1" t="n"/>
      <c r="C823" s="2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</row>
    <row r="824" ht="16.5" customHeight="1" s="220">
      <c r="A824" s="1" t="n"/>
      <c r="B824" s="1" t="n"/>
      <c r="C824" s="2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</row>
    <row r="825" ht="16.5" customHeight="1" s="220">
      <c r="A825" s="1" t="n"/>
      <c r="B825" s="1" t="n"/>
      <c r="C825" s="2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</row>
    <row r="826" ht="16.5" customHeight="1" s="220">
      <c r="A826" s="1" t="n"/>
      <c r="B826" s="1" t="n"/>
      <c r="C826" s="2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</row>
    <row r="827" ht="16.5" customHeight="1" s="220">
      <c r="A827" s="1" t="n"/>
      <c r="B827" s="1" t="n"/>
      <c r="C827" s="2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</row>
    <row r="828" ht="16.5" customHeight="1" s="220">
      <c r="A828" s="1" t="n"/>
      <c r="B828" s="1" t="n"/>
      <c r="C828" s="2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</row>
    <row r="829" ht="16.5" customHeight="1" s="220">
      <c r="A829" s="1" t="n"/>
      <c r="B829" s="1" t="n"/>
      <c r="C829" s="2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</row>
    <row r="830" ht="16.5" customHeight="1" s="220">
      <c r="A830" s="1" t="n"/>
      <c r="B830" s="1" t="n"/>
      <c r="C830" s="2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</row>
    <row r="831" ht="16.5" customHeight="1" s="220">
      <c r="A831" s="1" t="n"/>
      <c r="B831" s="1" t="n"/>
      <c r="C831" s="2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</row>
    <row r="832" ht="16.5" customHeight="1" s="220">
      <c r="A832" s="1" t="n"/>
      <c r="B832" s="1" t="n"/>
      <c r="C832" s="2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</row>
    <row r="833" ht="16.5" customHeight="1" s="220">
      <c r="A833" s="1" t="n"/>
      <c r="B833" s="1" t="n"/>
      <c r="C833" s="2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</row>
    <row r="834" ht="16.5" customHeight="1" s="220">
      <c r="A834" s="1" t="n"/>
      <c r="B834" s="1" t="n"/>
      <c r="C834" s="2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</row>
    <row r="835" ht="16.5" customHeight="1" s="220">
      <c r="A835" s="1" t="n"/>
      <c r="B835" s="1" t="n"/>
      <c r="C835" s="2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</row>
    <row r="836" ht="16.5" customHeight="1" s="220">
      <c r="A836" s="1" t="n"/>
      <c r="B836" s="1" t="n"/>
      <c r="C836" s="2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</row>
    <row r="837" ht="16.5" customHeight="1" s="220">
      <c r="A837" s="1" t="n"/>
      <c r="B837" s="1" t="n"/>
      <c r="C837" s="2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</row>
    <row r="838" ht="16.5" customHeight="1" s="220">
      <c r="A838" s="1" t="n"/>
      <c r="B838" s="1" t="n"/>
      <c r="C838" s="2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</row>
    <row r="839" ht="16.5" customHeight="1" s="220">
      <c r="A839" s="1" t="n"/>
      <c r="B839" s="1" t="n"/>
      <c r="C839" s="2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</row>
    <row r="840" ht="16.5" customHeight="1" s="220">
      <c r="A840" s="1" t="n"/>
      <c r="B840" s="1" t="n"/>
      <c r="C840" s="2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</row>
    <row r="841" ht="16.5" customHeight="1" s="220">
      <c r="A841" s="1" t="n"/>
      <c r="B841" s="1" t="n"/>
      <c r="C841" s="2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</row>
    <row r="842" ht="16.5" customHeight="1" s="220">
      <c r="A842" s="1" t="n"/>
      <c r="B842" s="1" t="n"/>
      <c r="C842" s="2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</row>
    <row r="843" ht="16.5" customHeight="1" s="220">
      <c r="A843" s="1" t="n"/>
      <c r="B843" s="1" t="n"/>
      <c r="C843" s="2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</row>
    <row r="844" ht="16.5" customHeight="1" s="220">
      <c r="A844" s="1" t="n"/>
      <c r="B844" s="1" t="n"/>
      <c r="C844" s="2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</row>
    <row r="845" ht="16.5" customHeight="1" s="220">
      <c r="A845" s="1" t="n"/>
      <c r="B845" s="1" t="n"/>
      <c r="C845" s="2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</row>
    <row r="846" ht="16.5" customHeight="1" s="220">
      <c r="A846" s="1" t="n"/>
      <c r="B846" s="1" t="n"/>
      <c r="C846" s="2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</row>
    <row r="847" ht="16.5" customHeight="1" s="220">
      <c r="A847" s="1" t="n"/>
      <c r="B847" s="1" t="n"/>
      <c r="C847" s="2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</row>
    <row r="848" ht="16.5" customHeight="1" s="220">
      <c r="A848" s="1" t="n"/>
      <c r="B848" s="1" t="n"/>
      <c r="C848" s="2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</row>
    <row r="849" ht="16.5" customHeight="1" s="220">
      <c r="A849" s="1" t="n"/>
      <c r="B849" s="1" t="n"/>
      <c r="C849" s="2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</row>
    <row r="850" ht="16.5" customHeight="1" s="220">
      <c r="A850" s="1" t="n"/>
      <c r="B850" s="1" t="n"/>
      <c r="C850" s="2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</row>
    <row r="851" ht="16.5" customHeight="1" s="220">
      <c r="A851" s="1" t="n"/>
      <c r="B851" s="1" t="n"/>
      <c r="C851" s="2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</row>
    <row r="852" ht="16.5" customHeight="1" s="220">
      <c r="A852" s="1" t="n"/>
      <c r="B852" s="1" t="n"/>
      <c r="C852" s="2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</row>
    <row r="853" ht="16.5" customHeight="1" s="220">
      <c r="A853" s="1" t="n"/>
      <c r="B853" s="1" t="n"/>
      <c r="C853" s="2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</row>
    <row r="854" ht="16.5" customHeight="1" s="220">
      <c r="A854" s="1" t="n"/>
      <c r="B854" s="1" t="n"/>
      <c r="C854" s="2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</row>
    <row r="855" ht="16.5" customHeight="1" s="220">
      <c r="A855" s="1" t="n"/>
      <c r="B855" s="1" t="n"/>
      <c r="C855" s="2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</row>
    <row r="856" ht="16.5" customHeight="1" s="220">
      <c r="A856" s="1" t="n"/>
      <c r="B856" s="1" t="n"/>
      <c r="C856" s="2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</row>
    <row r="857" ht="16.5" customHeight="1" s="220">
      <c r="A857" s="1" t="n"/>
      <c r="B857" s="1" t="n"/>
      <c r="C857" s="2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</row>
    <row r="858" ht="16.5" customHeight="1" s="220">
      <c r="A858" s="1" t="n"/>
      <c r="B858" s="1" t="n"/>
      <c r="C858" s="2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</row>
    <row r="859" ht="16.5" customHeight="1" s="220">
      <c r="A859" s="1" t="n"/>
      <c r="B859" s="1" t="n"/>
      <c r="C859" s="2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</row>
    <row r="860" ht="16.5" customHeight="1" s="220">
      <c r="A860" s="1" t="n"/>
      <c r="B860" s="1" t="n"/>
      <c r="C860" s="2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</row>
    <row r="861" ht="16.5" customHeight="1" s="220">
      <c r="A861" s="1" t="n"/>
      <c r="B861" s="1" t="n"/>
      <c r="C861" s="2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</row>
    <row r="862" ht="16.5" customHeight="1" s="220">
      <c r="A862" s="1" t="n"/>
      <c r="B862" s="1" t="n"/>
      <c r="C862" s="2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</row>
    <row r="863" ht="16.5" customHeight="1" s="220">
      <c r="A863" s="1" t="n"/>
      <c r="B863" s="1" t="n"/>
      <c r="C863" s="2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</row>
    <row r="864" ht="16.5" customHeight="1" s="220">
      <c r="A864" s="1" t="n"/>
      <c r="B864" s="1" t="n"/>
      <c r="C864" s="2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</row>
    <row r="865" ht="16.5" customHeight="1" s="220">
      <c r="A865" s="1" t="n"/>
      <c r="B865" s="1" t="n"/>
      <c r="C865" s="2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</row>
    <row r="866" ht="16.5" customHeight="1" s="220">
      <c r="A866" s="1" t="n"/>
      <c r="B866" s="1" t="n"/>
      <c r="C866" s="2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</row>
    <row r="867" ht="16.5" customHeight="1" s="220">
      <c r="A867" s="1" t="n"/>
      <c r="B867" s="1" t="n"/>
      <c r="C867" s="2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</row>
    <row r="868" ht="16.5" customHeight="1" s="220">
      <c r="A868" s="1" t="n"/>
      <c r="B868" s="1" t="n"/>
      <c r="C868" s="2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</row>
    <row r="869" ht="16.5" customHeight="1" s="220">
      <c r="A869" s="1" t="n"/>
      <c r="B869" s="1" t="n"/>
      <c r="C869" s="2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</row>
    <row r="870" ht="16.5" customHeight="1" s="220">
      <c r="A870" s="1" t="n"/>
      <c r="B870" s="1" t="n"/>
      <c r="C870" s="2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</row>
    <row r="871" ht="16.5" customHeight="1" s="220">
      <c r="A871" s="1" t="n"/>
      <c r="B871" s="1" t="n"/>
      <c r="C871" s="2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</row>
    <row r="872" ht="16.5" customHeight="1" s="220">
      <c r="A872" s="1" t="n"/>
      <c r="B872" s="1" t="n"/>
      <c r="C872" s="2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</row>
    <row r="873" ht="16.5" customHeight="1" s="220">
      <c r="A873" s="1" t="n"/>
      <c r="B873" s="1" t="n"/>
      <c r="C873" s="2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</row>
    <row r="874" ht="16.5" customHeight="1" s="220">
      <c r="A874" s="1" t="n"/>
      <c r="B874" s="1" t="n"/>
      <c r="C874" s="2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</row>
    <row r="875" ht="16.5" customHeight="1" s="220">
      <c r="A875" s="1" t="n"/>
      <c r="B875" s="1" t="n"/>
      <c r="C875" s="2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</row>
    <row r="876" ht="16.5" customHeight="1" s="220">
      <c r="A876" s="1" t="n"/>
      <c r="B876" s="1" t="n"/>
      <c r="C876" s="2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</row>
    <row r="877" ht="16.5" customHeight="1" s="220">
      <c r="A877" s="1" t="n"/>
      <c r="B877" s="1" t="n"/>
      <c r="C877" s="2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</row>
    <row r="878" ht="16.5" customHeight="1" s="220">
      <c r="A878" s="1" t="n"/>
      <c r="B878" s="1" t="n"/>
      <c r="C878" s="2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</row>
    <row r="879" ht="16.5" customHeight="1" s="220">
      <c r="A879" s="1" t="n"/>
      <c r="B879" s="1" t="n"/>
      <c r="C879" s="2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</row>
    <row r="880" ht="16.5" customHeight="1" s="220">
      <c r="A880" s="1" t="n"/>
      <c r="B880" s="1" t="n"/>
      <c r="C880" s="2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</row>
    <row r="881" ht="16.5" customHeight="1" s="220">
      <c r="A881" s="1" t="n"/>
      <c r="B881" s="1" t="n"/>
      <c r="C881" s="2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</row>
    <row r="882" ht="16.5" customHeight="1" s="220">
      <c r="A882" s="1" t="n"/>
      <c r="B882" s="1" t="n"/>
      <c r="C882" s="2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</row>
    <row r="883" ht="16.5" customHeight="1" s="220">
      <c r="A883" s="1" t="n"/>
      <c r="B883" s="1" t="n"/>
      <c r="C883" s="2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</row>
    <row r="884" ht="16.5" customHeight="1" s="220">
      <c r="A884" s="1" t="n"/>
      <c r="B884" s="1" t="n"/>
      <c r="C884" s="2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</row>
    <row r="885" ht="16.5" customHeight="1" s="220">
      <c r="A885" s="1" t="n"/>
      <c r="B885" s="1" t="n"/>
      <c r="C885" s="2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</row>
    <row r="886" ht="16.5" customHeight="1" s="220">
      <c r="A886" s="1" t="n"/>
      <c r="B886" s="1" t="n"/>
      <c r="C886" s="2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</row>
    <row r="887" ht="16.5" customHeight="1" s="220">
      <c r="A887" s="1" t="n"/>
      <c r="B887" s="1" t="n"/>
      <c r="C887" s="2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</row>
    <row r="888" ht="16.5" customHeight="1" s="220">
      <c r="A888" s="1" t="n"/>
      <c r="B888" s="1" t="n"/>
      <c r="C888" s="2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</row>
    <row r="889" ht="16.5" customHeight="1" s="220">
      <c r="A889" s="1" t="n"/>
      <c r="B889" s="1" t="n"/>
      <c r="C889" s="2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</row>
    <row r="890" ht="16.5" customHeight="1" s="220">
      <c r="A890" s="1" t="n"/>
      <c r="B890" s="1" t="n"/>
      <c r="C890" s="2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</row>
    <row r="891" ht="16.5" customHeight="1" s="220">
      <c r="A891" s="1" t="n"/>
      <c r="B891" s="1" t="n"/>
      <c r="C891" s="2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</row>
    <row r="892" ht="16.5" customHeight="1" s="220">
      <c r="A892" s="1" t="n"/>
      <c r="B892" s="1" t="n"/>
      <c r="C892" s="2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</row>
    <row r="893" ht="16.5" customHeight="1" s="220">
      <c r="A893" s="1" t="n"/>
      <c r="B893" s="1" t="n"/>
      <c r="C893" s="2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</row>
    <row r="894" ht="16.5" customHeight="1" s="220">
      <c r="A894" s="1" t="n"/>
      <c r="B894" s="1" t="n"/>
      <c r="C894" s="2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</row>
    <row r="895" ht="16.5" customHeight="1" s="220">
      <c r="A895" s="1" t="n"/>
      <c r="B895" s="1" t="n"/>
      <c r="C895" s="2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</row>
    <row r="896" ht="16.5" customHeight="1" s="220">
      <c r="A896" s="1" t="n"/>
      <c r="B896" s="1" t="n"/>
      <c r="C896" s="2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</row>
    <row r="897" ht="16.5" customHeight="1" s="220">
      <c r="A897" s="1" t="n"/>
      <c r="B897" s="1" t="n"/>
      <c r="C897" s="2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</row>
    <row r="898" ht="16.5" customHeight="1" s="220">
      <c r="A898" s="1" t="n"/>
      <c r="B898" s="1" t="n"/>
      <c r="C898" s="2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</row>
    <row r="899" ht="16.5" customHeight="1" s="220">
      <c r="A899" s="1" t="n"/>
      <c r="B899" s="1" t="n"/>
      <c r="C899" s="2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</row>
    <row r="900" ht="16.5" customHeight="1" s="220">
      <c r="A900" s="1" t="n"/>
      <c r="B900" s="1" t="n"/>
      <c r="C900" s="2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</row>
    <row r="901" ht="16.5" customHeight="1" s="220">
      <c r="A901" s="1" t="n"/>
      <c r="B901" s="1" t="n"/>
      <c r="C901" s="2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</row>
    <row r="902" ht="16.5" customHeight="1" s="220">
      <c r="A902" s="1" t="n"/>
      <c r="B902" s="1" t="n"/>
      <c r="C902" s="2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</row>
    <row r="903" ht="16.5" customHeight="1" s="220">
      <c r="A903" s="1" t="n"/>
      <c r="B903" s="1" t="n"/>
      <c r="C903" s="2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</row>
    <row r="904" ht="16.5" customHeight="1" s="220">
      <c r="A904" s="1" t="n"/>
      <c r="B904" s="1" t="n"/>
      <c r="C904" s="2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</row>
    <row r="905" ht="16.5" customHeight="1" s="220">
      <c r="A905" s="1" t="n"/>
      <c r="B905" s="1" t="n"/>
      <c r="C905" s="2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</row>
    <row r="906" ht="16.5" customHeight="1" s="220">
      <c r="A906" s="1" t="n"/>
      <c r="B906" s="1" t="n"/>
      <c r="C906" s="2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</row>
    <row r="907" ht="16.5" customHeight="1" s="220">
      <c r="A907" s="1" t="n"/>
      <c r="B907" s="1" t="n"/>
      <c r="C907" s="2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</row>
    <row r="908" ht="16.5" customHeight="1" s="220">
      <c r="A908" s="1" t="n"/>
      <c r="B908" s="1" t="n"/>
      <c r="C908" s="2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</row>
    <row r="909" ht="16.5" customHeight="1" s="220">
      <c r="A909" s="1" t="n"/>
      <c r="B909" s="1" t="n"/>
      <c r="C909" s="2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</row>
    <row r="910" ht="16.5" customHeight="1" s="220">
      <c r="A910" s="1" t="n"/>
      <c r="B910" s="1" t="n"/>
      <c r="C910" s="2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</row>
    <row r="911" ht="16.5" customHeight="1" s="220">
      <c r="A911" s="1" t="n"/>
      <c r="B911" s="1" t="n"/>
      <c r="C911" s="2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</row>
    <row r="912" ht="16.5" customHeight="1" s="220">
      <c r="A912" s="1" t="n"/>
      <c r="B912" s="1" t="n"/>
      <c r="C912" s="2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</row>
    <row r="913" ht="16.5" customHeight="1" s="220">
      <c r="A913" s="1" t="n"/>
      <c r="B913" s="1" t="n"/>
      <c r="C913" s="2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</row>
    <row r="914" ht="16.5" customHeight="1" s="220">
      <c r="A914" s="1" t="n"/>
      <c r="B914" s="1" t="n"/>
      <c r="C914" s="2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</row>
    <row r="915" ht="16.5" customHeight="1" s="220">
      <c r="A915" s="1" t="n"/>
      <c r="B915" s="1" t="n"/>
      <c r="C915" s="2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</row>
    <row r="916" ht="16.5" customHeight="1" s="220">
      <c r="A916" s="1" t="n"/>
      <c r="B916" s="1" t="n"/>
      <c r="C916" s="2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</row>
    <row r="917" ht="16.5" customHeight="1" s="220">
      <c r="A917" s="1" t="n"/>
      <c r="B917" s="1" t="n"/>
      <c r="C917" s="2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</row>
    <row r="918" ht="16.5" customHeight="1" s="220">
      <c r="A918" s="1" t="n"/>
      <c r="B918" s="1" t="n"/>
      <c r="C918" s="2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</row>
    <row r="919" ht="16.5" customHeight="1" s="220">
      <c r="A919" s="1" t="n"/>
      <c r="B919" s="1" t="n"/>
      <c r="C919" s="2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</row>
    <row r="920" ht="16.5" customHeight="1" s="220">
      <c r="A920" s="1" t="n"/>
      <c r="B920" s="1" t="n"/>
      <c r="C920" s="2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</row>
    <row r="921" ht="16.5" customHeight="1" s="220">
      <c r="A921" s="1" t="n"/>
      <c r="B921" s="1" t="n"/>
      <c r="C921" s="2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</row>
    <row r="922" ht="16.5" customHeight="1" s="220">
      <c r="A922" s="1" t="n"/>
      <c r="B922" s="1" t="n"/>
      <c r="C922" s="2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</row>
    <row r="923" ht="16.5" customHeight="1" s="220">
      <c r="A923" s="1" t="n"/>
      <c r="B923" s="1" t="n"/>
      <c r="C923" s="2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</row>
    <row r="924" ht="16.5" customHeight="1" s="220">
      <c r="A924" s="1" t="n"/>
      <c r="B924" s="1" t="n"/>
      <c r="C924" s="2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</row>
    <row r="925" ht="16.5" customHeight="1" s="220">
      <c r="A925" s="1" t="n"/>
      <c r="B925" s="1" t="n"/>
      <c r="C925" s="2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</row>
    <row r="926" ht="16.5" customHeight="1" s="220">
      <c r="A926" s="1" t="n"/>
      <c r="B926" s="1" t="n"/>
      <c r="C926" s="2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</row>
    <row r="927" ht="16.5" customHeight="1" s="220">
      <c r="A927" s="1" t="n"/>
      <c r="B927" s="1" t="n"/>
      <c r="C927" s="2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</row>
    <row r="928" ht="16.5" customHeight="1" s="220">
      <c r="A928" s="1" t="n"/>
      <c r="B928" s="1" t="n"/>
      <c r="C928" s="2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</row>
    <row r="929" ht="16.5" customHeight="1" s="220">
      <c r="A929" s="1" t="n"/>
      <c r="B929" s="1" t="n"/>
      <c r="C929" s="2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</row>
    <row r="930" ht="16.5" customHeight="1" s="220">
      <c r="A930" s="1" t="n"/>
      <c r="B930" s="1" t="n"/>
      <c r="C930" s="2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</row>
    <row r="931" ht="16.5" customHeight="1" s="220">
      <c r="A931" s="1" t="n"/>
      <c r="B931" s="1" t="n"/>
      <c r="C931" s="2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</row>
    <row r="932" ht="16.5" customHeight="1" s="220">
      <c r="A932" s="1" t="n"/>
      <c r="B932" s="1" t="n"/>
      <c r="C932" s="2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</row>
    <row r="933" ht="16.5" customHeight="1" s="220">
      <c r="A933" s="1" t="n"/>
      <c r="B933" s="1" t="n"/>
      <c r="C933" s="2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</row>
    <row r="934" ht="16.5" customHeight="1" s="220">
      <c r="A934" s="1" t="n"/>
      <c r="B934" s="1" t="n"/>
      <c r="C934" s="2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</row>
    <row r="935" ht="16.5" customHeight="1" s="220">
      <c r="A935" s="1" t="n"/>
      <c r="B935" s="1" t="n"/>
      <c r="C935" s="2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</row>
    <row r="936" ht="16.5" customHeight="1" s="220">
      <c r="A936" s="1" t="n"/>
      <c r="B936" s="1" t="n"/>
      <c r="C936" s="2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</row>
    <row r="937" ht="16.5" customHeight="1" s="220">
      <c r="A937" s="1" t="n"/>
      <c r="B937" s="1" t="n"/>
      <c r="C937" s="2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</row>
    <row r="938" ht="16.5" customHeight="1" s="220">
      <c r="A938" s="1" t="n"/>
      <c r="B938" s="1" t="n"/>
      <c r="C938" s="2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</row>
    <row r="939" ht="16.5" customHeight="1" s="220">
      <c r="A939" s="1" t="n"/>
      <c r="B939" s="1" t="n"/>
      <c r="C939" s="2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</row>
    <row r="940" ht="16.5" customHeight="1" s="220">
      <c r="A940" s="1" t="n"/>
      <c r="B940" s="1" t="n"/>
      <c r="C940" s="2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</row>
    <row r="941" ht="16.5" customHeight="1" s="220">
      <c r="A941" s="1" t="n"/>
      <c r="B941" s="1" t="n"/>
      <c r="C941" s="2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</row>
    <row r="942" ht="16.5" customHeight="1" s="220">
      <c r="A942" s="1" t="n"/>
      <c r="B942" s="1" t="n"/>
      <c r="C942" s="2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</row>
    <row r="943" ht="16.5" customHeight="1" s="220">
      <c r="A943" s="1" t="n"/>
      <c r="B943" s="1" t="n"/>
      <c r="C943" s="2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</row>
    <row r="944" ht="16.5" customHeight="1" s="220">
      <c r="A944" s="1" t="n"/>
      <c r="B944" s="1" t="n"/>
      <c r="C944" s="2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</row>
    <row r="945" ht="16.5" customHeight="1" s="220">
      <c r="A945" s="1" t="n"/>
      <c r="B945" s="1" t="n"/>
      <c r="C945" s="2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</row>
    <row r="946" ht="16.5" customHeight="1" s="220">
      <c r="A946" s="1" t="n"/>
      <c r="B946" s="1" t="n"/>
      <c r="C946" s="2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</row>
    <row r="947" ht="16.5" customHeight="1" s="220">
      <c r="A947" s="1" t="n"/>
      <c r="B947" s="1" t="n"/>
      <c r="C947" s="2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</row>
    <row r="948" ht="16.5" customHeight="1" s="220">
      <c r="A948" s="1" t="n"/>
      <c r="B948" s="1" t="n"/>
      <c r="C948" s="2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</row>
    <row r="949" ht="16.5" customHeight="1" s="220">
      <c r="A949" s="1" t="n"/>
      <c r="B949" s="1" t="n"/>
      <c r="C949" s="2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</row>
    <row r="950" ht="16.5" customHeight="1" s="220">
      <c r="A950" s="1" t="n"/>
      <c r="B950" s="1" t="n"/>
      <c r="C950" s="2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</row>
    <row r="951" ht="16.5" customHeight="1" s="220">
      <c r="A951" s="1" t="n"/>
      <c r="B951" s="1" t="n"/>
      <c r="C951" s="2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</row>
    <row r="952" ht="16.5" customHeight="1" s="220">
      <c r="A952" s="1" t="n"/>
      <c r="B952" s="1" t="n"/>
      <c r="C952" s="2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</row>
    <row r="953" ht="16.5" customHeight="1" s="220">
      <c r="A953" s="1" t="n"/>
      <c r="B953" s="1" t="n"/>
      <c r="C953" s="2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</row>
    <row r="954" ht="16.5" customHeight="1" s="220">
      <c r="A954" s="1" t="n"/>
      <c r="B954" s="1" t="n"/>
      <c r="C954" s="2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</row>
    <row r="955" ht="16.5" customHeight="1" s="220">
      <c r="A955" s="1" t="n"/>
      <c r="B955" s="1" t="n"/>
      <c r="C955" s="2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</row>
    <row r="956" ht="16.5" customHeight="1" s="220">
      <c r="A956" s="1" t="n"/>
      <c r="B956" s="1" t="n"/>
      <c r="C956" s="2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</row>
    <row r="957" ht="16.5" customHeight="1" s="220">
      <c r="A957" s="1" t="n"/>
      <c r="B957" s="1" t="n"/>
      <c r="C957" s="2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</row>
    <row r="958" ht="16.5" customHeight="1" s="220">
      <c r="A958" s="1" t="n"/>
      <c r="B958" s="1" t="n"/>
      <c r="C958" s="2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</row>
    <row r="959" ht="16.5" customHeight="1" s="220">
      <c r="A959" s="1" t="n"/>
      <c r="B959" s="1" t="n"/>
      <c r="C959" s="2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</row>
    <row r="960" ht="16.5" customHeight="1" s="220">
      <c r="A960" s="1" t="n"/>
      <c r="B960" s="1" t="n"/>
      <c r="C960" s="2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</row>
    <row r="961" ht="16.5" customHeight="1" s="220">
      <c r="A961" s="1" t="n"/>
      <c r="B961" s="1" t="n"/>
      <c r="C961" s="2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</row>
    <row r="962" ht="16.5" customHeight="1" s="220">
      <c r="A962" s="1" t="n"/>
      <c r="B962" s="1" t="n"/>
      <c r="C962" s="2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</row>
    <row r="963" ht="16.5" customHeight="1" s="220">
      <c r="A963" s="1" t="n"/>
      <c r="B963" s="1" t="n"/>
      <c r="C963" s="2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</row>
    <row r="964" ht="16.5" customHeight="1" s="220">
      <c r="A964" s="1" t="n"/>
      <c r="B964" s="1" t="n"/>
      <c r="C964" s="2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</row>
    <row r="965" ht="16.5" customHeight="1" s="220">
      <c r="A965" s="1" t="n"/>
      <c r="B965" s="1" t="n"/>
      <c r="C965" s="2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</row>
    <row r="966" ht="16.5" customHeight="1" s="220">
      <c r="A966" s="1" t="n"/>
      <c r="B966" s="1" t="n"/>
      <c r="C966" s="2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</row>
    <row r="967" ht="16.5" customHeight="1" s="220">
      <c r="A967" s="1" t="n"/>
      <c r="B967" s="1" t="n"/>
      <c r="C967" s="2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</row>
    <row r="968" ht="16.5" customHeight="1" s="220">
      <c r="A968" s="1" t="n"/>
      <c r="B968" s="1" t="n"/>
      <c r="C968" s="2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</row>
    <row r="969" ht="16.5" customHeight="1" s="220">
      <c r="A969" s="1" t="n"/>
      <c r="B969" s="1" t="n"/>
      <c r="C969" s="2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</row>
    <row r="970" ht="16.5" customHeight="1" s="220">
      <c r="A970" s="1" t="n"/>
      <c r="B970" s="1" t="n"/>
      <c r="C970" s="2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</row>
    <row r="971" ht="16.5" customHeight="1" s="220">
      <c r="A971" s="1" t="n"/>
      <c r="B971" s="1" t="n"/>
      <c r="C971" s="2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</row>
    <row r="972" ht="16.5" customHeight="1" s="220">
      <c r="A972" s="1" t="n"/>
      <c r="B972" s="1" t="n"/>
      <c r="C972" s="2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</row>
    <row r="973" ht="16.5" customHeight="1" s="220">
      <c r="A973" s="1" t="n"/>
      <c r="B973" s="1" t="n"/>
      <c r="C973" s="2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</row>
    <row r="974" ht="16.5" customHeight="1" s="220">
      <c r="A974" s="1" t="n"/>
      <c r="B974" s="1" t="n"/>
      <c r="C974" s="2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</row>
    <row r="975" ht="16.5" customHeight="1" s="220">
      <c r="A975" s="1" t="n"/>
      <c r="B975" s="1" t="n"/>
      <c r="C975" s="2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</row>
    <row r="976" ht="16.5" customHeight="1" s="220">
      <c r="A976" s="1" t="n"/>
      <c r="B976" s="1" t="n"/>
      <c r="C976" s="2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</row>
    <row r="977" ht="16.5" customHeight="1" s="220">
      <c r="A977" s="1" t="n"/>
      <c r="B977" s="1" t="n"/>
      <c r="C977" s="2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</row>
    <row r="978" ht="16.5" customHeight="1" s="220">
      <c r="A978" s="1" t="n"/>
      <c r="B978" s="1" t="n"/>
      <c r="C978" s="2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</row>
    <row r="979" ht="16.5" customHeight="1" s="220">
      <c r="A979" s="1" t="n"/>
      <c r="B979" s="1" t="n"/>
      <c r="C979" s="2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</row>
    <row r="980" ht="16.5" customHeight="1" s="220">
      <c r="A980" s="1" t="n"/>
      <c r="B980" s="1" t="n"/>
      <c r="C980" s="2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</row>
    <row r="981" ht="16.5" customHeight="1" s="220">
      <c r="A981" s="1" t="n"/>
      <c r="B981" s="1" t="n"/>
      <c r="C981" s="2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</row>
    <row r="982" ht="16.5" customHeight="1" s="220">
      <c r="A982" s="1" t="n"/>
      <c r="B982" s="1" t="n"/>
      <c r="C982" s="2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</row>
    <row r="983" ht="16.5" customHeight="1" s="220">
      <c r="A983" s="1" t="n"/>
      <c r="B983" s="1" t="n"/>
      <c r="C983" s="2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</row>
    <row r="984" ht="16.5" customHeight="1" s="220">
      <c r="A984" s="1" t="n"/>
      <c r="B984" s="1" t="n"/>
      <c r="C984" s="2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</row>
    <row r="985" ht="16.5" customHeight="1" s="220">
      <c r="A985" s="1" t="n"/>
      <c r="B985" s="1" t="n"/>
      <c r="C985" s="2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</row>
    <row r="986" ht="16.5" customHeight="1" s="220">
      <c r="A986" s="1" t="n"/>
      <c r="B986" s="1" t="n"/>
      <c r="C986" s="2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</row>
    <row r="987" ht="16.5" customHeight="1" s="220">
      <c r="A987" s="1" t="n"/>
      <c r="B987" s="1" t="n"/>
      <c r="C987" s="2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</row>
    <row r="988" ht="16.5" customHeight="1" s="220">
      <c r="A988" s="1" t="n"/>
      <c r="B988" s="1" t="n"/>
      <c r="C988" s="2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</row>
    <row r="989" ht="16.5" customHeight="1" s="220">
      <c r="A989" s="1" t="n"/>
      <c r="B989" s="1" t="n"/>
      <c r="C989" s="2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</row>
    <row r="990" ht="16.5" customHeight="1" s="220">
      <c r="A990" s="1" t="n"/>
      <c r="B990" s="1" t="n"/>
      <c r="C990" s="2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</row>
    <row r="991" ht="16.5" customHeight="1" s="220">
      <c r="A991" s="1" t="n"/>
      <c r="B991" s="1" t="n"/>
      <c r="C991" s="2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</row>
    <row r="992" ht="16.5" customHeight="1" s="220">
      <c r="A992" s="1" t="n"/>
      <c r="B992" s="1" t="n"/>
      <c r="C992" s="2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</row>
    <row r="993" ht="16.5" customHeight="1" s="220">
      <c r="A993" s="1" t="n"/>
      <c r="B993" s="1" t="n"/>
      <c r="C993" s="2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</row>
    <row r="994" ht="16.5" customHeight="1" s="220">
      <c r="A994" s="1" t="n"/>
      <c r="B994" s="1" t="n"/>
      <c r="C994" s="2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</row>
    <row r="995" ht="16.5" customHeight="1" s="220">
      <c r="A995" s="1" t="n"/>
      <c r="B995" s="1" t="n"/>
      <c r="C995" s="2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</row>
    <row r="996" ht="16.5" customHeight="1" s="220">
      <c r="A996" s="1" t="n"/>
      <c r="B996" s="1" t="n"/>
      <c r="C996" s="2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</row>
    <row r="997" ht="16.5" customHeight="1" s="220">
      <c r="A997" s="1" t="n"/>
      <c r="B997" s="1" t="n"/>
      <c r="C997" s="2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</row>
    <row r="998" ht="16.5" customHeight="1" s="220">
      <c r="A998" s="1" t="n"/>
      <c r="B998" s="1" t="n"/>
      <c r="C998" s="2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</row>
    <row r="999" ht="16.5" customHeight="1" s="220">
      <c r="A999" s="1" t="n"/>
      <c r="B999" s="1" t="n"/>
      <c r="C999" s="2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</row>
    <row r="1000" ht="16.5" customHeight="1" s="220">
      <c r="A1000" s="1" t="n"/>
      <c r="B1000" s="1" t="n"/>
      <c r="C1000" s="2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</row>
    <row r="1001" ht="16.5" customHeight="1" s="220">
      <c r="A1001" s="1" t="n"/>
      <c r="B1001" s="1" t="n"/>
      <c r="C1001" s="2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  <c r="AG1001" s="1" t="n"/>
      <c r="AH1001" s="1" t="n"/>
      <c r="AI1001" s="1" t="n"/>
      <c r="AJ1001" s="1" t="n"/>
      <c r="AK1001" s="1" t="n"/>
      <c r="AL1001" s="1" t="n"/>
    </row>
  </sheetData>
  <mergeCells count="36">
    <mergeCell ref="F4:G4"/>
    <mergeCell ref="Y5:AA5"/>
    <mergeCell ref="Q5:S5"/>
    <mergeCell ref="B3:C3"/>
    <mergeCell ref="V33:W33"/>
    <mergeCell ref="N4:O4"/>
    <mergeCell ref="R4:S4"/>
    <mergeCell ref="F3:G3"/>
    <mergeCell ref="V4:W4"/>
    <mergeCell ref="AE3:AF3"/>
    <mergeCell ref="N3:O3"/>
    <mergeCell ref="A5:C5"/>
    <mergeCell ref="I5:K5"/>
    <mergeCell ref="F33:G33"/>
    <mergeCell ref="N33:O33"/>
    <mergeCell ref="AE33:AF33"/>
    <mergeCell ref="Z3:AA3"/>
    <mergeCell ref="J4:K4"/>
    <mergeCell ref="AJ3:AK3"/>
    <mergeCell ref="U5:W5"/>
    <mergeCell ref="AI5:AK5"/>
    <mergeCell ref="AJ33:AK33"/>
    <mergeCell ref="Z33:AA33"/>
    <mergeCell ref="R3:S3"/>
    <mergeCell ref="J3:K3"/>
    <mergeCell ref="AJ4:AK4"/>
    <mergeCell ref="Z4:AA4"/>
    <mergeCell ref="AD5:AF5"/>
    <mergeCell ref="B33:C33"/>
    <mergeCell ref="E5:G5"/>
    <mergeCell ref="M5:O5"/>
    <mergeCell ref="J33:K33"/>
    <mergeCell ref="R33:S33"/>
    <mergeCell ref="B4:C4"/>
    <mergeCell ref="V3:W3"/>
    <mergeCell ref="AE4:AF4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FF99CC"/>
    <outlinePr summaryBelow="1" summaryRight="1"/>
    <pageSetUpPr/>
  </sheetPr>
  <dimension ref="A1:BA1000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32.5" customWidth="1" style="220" min="1" max="1"/>
    <col width="76.13" customWidth="1" style="220" min="2" max="2"/>
    <col width="43.5" customWidth="1" style="220" min="3" max="3"/>
    <col width="27.75" customWidth="1" style="220" min="4" max="4"/>
    <col hidden="1" width="33" customWidth="1" style="220" min="5" max="5"/>
    <col hidden="1" width="56.75" customWidth="1" style="220" min="6" max="6"/>
    <col hidden="1" width="33.88" customWidth="1" style="220" min="7" max="7"/>
    <col hidden="1" width="28" customWidth="1" style="220" min="8" max="8"/>
    <col width="33" customWidth="1" style="220" min="9" max="9"/>
    <col width="56.75" customWidth="1" style="220" min="10" max="10"/>
    <col width="30.13" customWidth="1" style="220" min="11" max="11"/>
    <col width="28" customWidth="1" style="220" min="12" max="12"/>
    <col width="33.13" customWidth="1" style="220" min="13" max="13"/>
    <col width="56.75" customWidth="1" style="220" min="14" max="14"/>
    <col width="30.13" customWidth="1" style="220" min="15" max="15"/>
    <col width="41.75" customWidth="1" style="220" min="16" max="16"/>
    <col hidden="1" width="28.13" customWidth="1" style="220" min="17" max="17"/>
    <col hidden="1" width="56.75" customWidth="1" style="220" min="18" max="18"/>
    <col hidden="1" width="30.13" customWidth="1" style="220" min="19" max="19"/>
    <col hidden="1" width="27.38" customWidth="1" style="220" min="20" max="20"/>
    <col width="33.38" customWidth="1" style="220" min="21" max="21"/>
    <col width="56.75" customWidth="1" style="220" min="22" max="22"/>
    <col width="30.13" customWidth="1" style="220" min="23" max="23"/>
    <col width="47.63" customWidth="1" style="220" min="24" max="24"/>
    <col width="33.88" customWidth="1" style="220" min="25" max="25"/>
    <col width="56.75" customWidth="1" style="220" min="26" max="26"/>
    <col width="30.13" customWidth="1" style="220" min="27" max="27"/>
    <col width="22.88" customWidth="1" style="220" min="28" max="28"/>
    <col width="8.880000000000001" customWidth="1" style="220" min="29" max="29"/>
    <col width="32.75" customWidth="1" style="220" min="30" max="30"/>
    <col width="56.75" customWidth="1" style="220" min="31" max="31"/>
    <col width="30.13" customWidth="1" style="220" min="32" max="32"/>
    <col width="22.88" customWidth="1" style="220" min="33" max="33"/>
    <col width="8.880000000000001" customWidth="1" style="220" min="34" max="34"/>
    <col hidden="1" width="31.88" customWidth="1" style="220" min="35" max="35"/>
    <col hidden="1" width="52.63" customWidth="1" style="220" min="36" max="36"/>
    <col hidden="1" width="20" customWidth="1" style="220" min="37" max="37"/>
    <col hidden="1" width="19.25" customWidth="1" style="220" min="38" max="38"/>
    <col hidden="1" width="15.88" customWidth="1" style="220" min="39" max="39"/>
    <col width="31.88" customWidth="1" style="220" min="40" max="40"/>
    <col width="52.63" customWidth="1" style="220" min="41" max="41"/>
    <col width="19.5" customWidth="1" style="220" min="42" max="42"/>
    <col width="22.63" customWidth="1" style="220" min="43" max="43"/>
    <col width="8.880000000000001" customWidth="1" style="220" min="44" max="44"/>
    <col width="31.88" customWidth="1" style="220" min="45" max="45"/>
    <col width="52.63" customWidth="1" style="220" min="46" max="46"/>
    <col width="19.5" customWidth="1" style="220" min="47" max="47"/>
    <col width="11.5" customWidth="1" style="220" min="48" max="48"/>
    <col width="8.880000000000001" customWidth="1" style="220" min="49" max="49"/>
    <col width="31.88" customWidth="1" style="220" min="50" max="50"/>
    <col width="52.63" customWidth="1" style="220" min="51" max="51"/>
    <col width="19.5" customWidth="1" style="220" min="52" max="52"/>
    <col width="8.880000000000001" customWidth="1" style="220" min="53" max="53"/>
  </cols>
  <sheetData>
    <row r="1" ht="16.5" customHeight="1" s="220">
      <c r="A1" s="1" t="n"/>
      <c r="B1" s="1" t="n"/>
      <c r="C1" s="2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</row>
    <row r="2" ht="17.25" customHeight="1" s="220">
      <c r="A2" s="1" t="n"/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</row>
    <row r="3" ht="23.25" customHeight="1" s="220">
      <c r="A3" s="3" t="inlineStr">
        <is>
          <t>MONTH/YEAR:</t>
        </is>
      </c>
      <c r="B3" s="221" t="n">
        <v>46023</v>
      </c>
      <c r="C3" s="222" t="n"/>
      <c r="D3" s="1" t="n"/>
      <c r="E3" s="3" t="inlineStr">
        <is>
          <t>MONTH/YEAR:</t>
        </is>
      </c>
      <c r="F3" s="221">
        <f>B3</f>
        <v/>
      </c>
      <c r="G3" s="222" t="n"/>
      <c r="H3" s="1" t="n"/>
      <c r="I3" s="3" t="inlineStr">
        <is>
          <t>MONTH/YEAR:</t>
        </is>
      </c>
      <c r="J3" s="221">
        <f>B3</f>
        <v/>
      </c>
      <c r="K3" s="222" t="n"/>
      <c r="L3" s="1" t="n"/>
      <c r="M3" s="3" t="inlineStr">
        <is>
          <t>MONTH/YEAR:</t>
        </is>
      </c>
      <c r="N3" s="221">
        <f>B3</f>
        <v/>
      </c>
      <c r="O3" s="222" t="n"/>
      <c r="P3" s="1" t="n"/>
      <c r="Q3" s="3" t="inlineStr">
        <is>
          <t>MONTH/YEAR:</t>
        </is>
      </c>
      <c r="R3" s="221">
        <f>B3</f>
        <v/>
      </c>
      <c r="S3" s="222" t="n"/>
      <c r="T3" s="1" t="n"/>
      <c r="U3" s="3" t="inlineStr">
        <is>
          <t>MONTH/YEAR:</t>
        </is>
      </c>
      <c r="V3" s="221">
        <f>B3</f>
        <v/>
      </c>
      <c r="W3" s="222" t="n"/>
      <c r="X3" s="1" t="n"/>
      <c r="Y3" s="3" t="inlineStr">
        <is>
          <t>MONTH/YEAR:</t>
        </is>
      </c>
      <c r="Z3" s="221">
        <f>B3</f>
        <v/>
      </c>
      <c r="AA3" s="222" t="n"/>
      <c r="AB3" s="1" t="n"/>
      <c r="AC3" s="1" t="n"/>
      <c r="AD3" s="3" t="inlineStr">
        <is>
          <t>MONTH/YEAR:</t>
        </is>
      </c>
      <c r="AE3" s="221">
        <f>B3</f>
        <v/>
      </c>
      <c r="AF3" s="222" t="n"/>
      <c r="AG3" s="1" t="n"/>
      <c r="AH3" s="1" t="n"/>
      <c r="AI3" s="3" t="inlineStr">
        <is>
          <t>MONTH/YEAR:</t>
        </is>
      </c>
      <c r="AJ3" s="221">
        <f>AE3</f>
        <v/>
      </c>
      <c r="AK3" s="222" t="n"/>
      <c r="AL3" s="1" t="n"/>
      <c r="AM3" s="1" t="n"/>
      <c r="AN3" s="3" t="inlineStr">
        <is>
          <t>MONTH/YEAR:</t>
        </is>
      </c>
      <c r="AO3" s="221">
        <f>AE3</f>
        <v/>
      </c>
      <c r="AP3" s="222" t="n"/>
      <c r="AQ3" s="1" t="n"/>
      <c r="AR3" s="1" t="n"/>
      <c r="AS3" s="3" t="inlineStr">
        <is>
          <t>MONTH/YEAR:</t>
        </is>
      </c>
      <c r="AT3" s="221">
        <f>AO3</f>
        <v/>
      </c>
      <c r="AU3" s="222" t="n"/>
      <c r="AV3" s="1" t="n"/>
      <c r="AW3" s="1" t="n"/>
      <c r="AX3" s="3" t="inlineStr">
        <is>
          <t>MONTH/YEAR:</t>
        </is>
      </c>
      <c r="AY3" s="221">
        <f>V3</f>
        <v/>
      </c>
      <c r="AZ3" s="222" t="n"/>
      <c r="BA3" s="1" t="n"/>
    </row>
    <row r="4" ht="31.5" customHeight="1" s="220">
      <c r="A4" s="6" t="inlineStr">
        <is>
          <t>BRANCH:</t>
        </is>
      </c>
      <c r="B4" s="223" t="inlineStr">
        <is>
          <t>CASA DENTAL CLEMENTI PTE LTD</t>
        </is>
      </c>
      <c r="C4" s="224" t="n"/>
      <c r="D4" s="1" t="n"/>
      <c r="E4" s="6" t="inlineStr">
        <is>
          <t>BRANCH:</t>
        </is>
      </c>
      <c r="F4" s="223">
        <f>B4</f>
        <v/>
      </c>
      <c r="G4" s="224" t="n"/>
      <c r="H4" s="1" t="n"/>
      <c r="I4" s="6" t="inlineStr">
        <is>
          <t>BRANCH:</t>
        </is>
      </c>
      <c r="J4" s="223">
        <f>B4</f>
        <v/>
      </c>
      <c r="K4" s="224" t="n"/>
      <c r="L4" s="1" t="n"/>
      <c r="M4" s="6" t="inlineStr">
        <is>
          <t>BRANCH:</t>
        </is>
      </c>
      <c r="N4" s="223">
        <f>B4</f>
        <v/>
      </c>
      <c r="O4" s="224" t="n"/>
      <c r="P4" s="1" t="n"/>
      <c r="Q4" s="6" t="inlineStr">
        <is>
          <t>BRANCH:</t>
        </is>
      </c>
      <c r="R4" s="223" t="inlineStr">
        <is>
          <t>CASA DENTAL AMK PTE LTD</t>
        </is>
      </c>
      <c r="S4" s="224" t="n"/>
      <c r="T4" s="1" t="n"/>
      <c r="U4" s="6" t="inlineStr">
        <is>
          <t>BRANCH:</t>
        </is>
      </c>
      <c r="V4" s="223">
        <f>B4</f>
        <v/>
      </c>
      <c r="W4" s="224" t="n"/>
      <c r="X4" s="1" t="n"/>
      <c r="Y4" s="6" t="inlineStr">
        <is>
          <t>BRANCH:</t>
        </is>
      </c>
      <c r="Z4" s="223">
        <f>B4</f>
        <v/>
      </c>
      <c r="AA4" s="224" t="n"/>
      <c r="AB4" s="1" t="n"/>
      <c r="AC4" s="1" t="n"/>
      <c r="AD4" s="6" t="inlineStr">
        <is>
          <t>BRANCH:</t>
        </is>
      </c>
      <c r="AE4" s="223">
        <f>B4</f>
        <v/>
      </c>
      <c r="AF4" s="224" t="n"/>
      <c r="AG4" s="1" t="n"/>
      <c r="AH4" s="1" t="n"/>
      <c r="AI4" s="6" t="inlineStr">
        <is>
          <t>BRANCH:</t>
        </is>
      </c>
      <c r="AJ4" s="223" t="inlineStr">
        <is>
          <t>CASA DENTAL AMK PTE LTD</t>
        </is>
      </c>
      <c r="AK4" s="224" t="n"/>
      <c r="AL4" s="1" t="n"/>
      <c r="AM4" s="1" t="n"/>
      <c r="AN4" s="6" t="inlineStr">
        <is>
          <t>BRANCH:</t>
        </is>
      </c>
      <c r="AO4" s="223">
        <f>AE4</f>
        <v/>
      </c>
      <c r="AP4" s="224" t="n"/>
      <c r="AQ4" s="1" t="n"/>
      <c r="AR4" s="1" t="n"/>
      <c r="AS4" s="6" t="inlineStr">
        <is>
          <t>BRANCH:</t>
        </is>
      </c>
      <c r="AT4" s="223">
        <f>AO4</f>
        <v/>
      </c>
      <c r="AU4" s="224" t="n"/>
      <c r="AV4" s="1" t="n"/>
      <c r="AW4" s="1" t="n"/>
      <c r="AX4" s="6" t="inlineStr">
        <is>
          <t>BRANCH:</t>
        </is>
      </c>
      <c r="AY4" s="223">
        <f>V4</f>
        <v/>
      </c>
      <c r="AZ4" s="224" t="n"/>
      <c r="BA4" s="1" t="n"/>
    </row>
    <row r="5" ht="34.5" customHeight="1" s="220">
      <c r="A5" s="225" t="inlineStr">
        <is>
          <t>ALL PROVIDERS SETTLEMENT</t>
        </is>
      </c>
      <c r="C5" s="226" t="n"/>
      <c r="D5" s="1" t="n"/>
      <c r="E5" s="227" t="inlineStr">
        <is>
          <t>DR CHAN KC</t>
        </is>
      </c>
      <c r="F5" s="228" t="n"/>
      <c r="G5" s="229" t="n"/>
      <c r="H5" s="1" t="n"/>
      <c r="I5" s="227" t="inlineStr">
        <is>
          <t>DR JASMINE LEE</t>
        </is>
      </c>
      <c r="J5" s="228" t="n"/>
      <c r="K5" s="229" t="n"/>
      <c r="L5" s="1" t="n"/>
      <c r="M5" s="227" t="inlineStr">
        <is>
          <t>DR ROCKY LEUNG</t>
        </is>
      </c>
      <c r="N5" s="228" t="n"/>
      <c r="O5" s="229" t="n"/>
      <c r="P5" s="1" t="n"/>
      <c r="Q5" s="227" t="inlineStr">
        <is>
          <t xml:space="preserve">DR KALIE </t>
        </is>
      </c>
      <c r="R5" s="228" t="n"/>
      <c r="S5" s="229" t="n"/>
      <c r="T5" s="1" t="n"/>
      <c r="U5" s="233" t="inlineStr">
        <is>
          <t>DR PETER KEITH</t>
        </is>
      </c>
      <c r="V5" s="228" t="n"/>
      <c r="W5" s="229" t="n"/>
      <c r="X5" s="1" t="n"/>
      <c r="Y5" s="227" t="inlineStr">
        <is>
          <t>DR HUANG JIAWEN</t>
        </is>
      </c>
      <c r="Z5" s="228" t="n"/>
      <c r="AA5" s="229" t="n"/>
      <c r="AB5" s="1" t="n"/>
      <c r="AC5" s="1" t="n"/>
      <c r="AD5" s="227" t="inlineStr">
        <is>
          <t>DR ANG LI EN</t>
        </is>
      </c>
      <c r="AE5" s="228" t="n"/>
      <c r="AF5" s="229" t="n"/>
      <c r="AG5" s="1" t="n"/>
      <c r="AH5" s="1" t="n"/>
      <c r="AI5" s="227" t="inlineStr">
        <is>
          <t>DR ANDREW YIN</t>
        </is>
      </c>
      <c r="AJ5" s="228" t="n"/>
      <c r="AK5" s="229" t="n"/>
      <c r="AL5" s="1" t="n"/>
      <c r="AM5" s="1" t="n"/>
      <c r="AN5" s="233" t="inlineStr">
        <is>
          <t>DR KAREN LEONG</t>
        </is>
      </c>
      <c r="AO5" s="228" t="n"/>
      <c r="AP5" s="229" t="n"/>
      <c r="AQ5" s="1" t="n"/>
      <c r="AR5" s="1" t="n"/>
      <c r="AS5" s="234" t="inlineStr">
        <is>
          <t>DR JOLEEN NGOI</t>
        </is>
      </c>
      <c r="AT5" s="228" t="n"/>
      <c r="AU5" s="229" t="n"/>
      <c r="AV5" s="1" t="n"/>
      <c r="AW5" s="1" t="n"/>
      <c r="AX5" s="227" t="inlineStr">
        <is>
          <t>DR CHARLENE YAP</t>
        </is>
      </c>
      <c r="AY5" s="228" t="n"/>
      <c r="AZ5" s="229" t="n"/>
      <c r="BA5" s="1" t="n"/>
    </row>
    <row r="6" ht="18.75" customHeight="1" s="220">
      <c r="A6" s="14" t="n"/>
      <c r="B6" s="15" t="n"/>
      <c r="C6" s="16" t="inlineStr">
        <is>
          <t>ADMIN CHARGES</t>
        </is>
      </c>
      <c r="D6" s="17" t="n"/>
      <c r="E6" s="18" t="n"/>
      <c r="F6" s="15" t="n"/>
      <c r="G6" s="16" t="inlineStr">
        <is>
          <t>ADMIN CHARGES</t>
        </is>
      </c>
      <c r="H6" s="17" t="n"/>
      <c r="I6" s="19" t="n"/>
      <c r="J6" s="15" t="inlineStr">
        <is>
          <t>TOTALS</t>
        </is>
      </c>
      <c r="K6" s="20" t="inlineStr">
        <is>
          <t>ADMIN CHARGES</t>
        </is>
      </c>
      <c r="L6" s="17" t="n"/>
      <c r="M6" s="21" t="n"/>
      <c r="N6" s="22" t="n"/>
      <c r="O6" s="16" t="inlineStr">
        <is>
          <t>ADMIN CHARGES</t>
        </is>
      </c>
      <c r="P6" s="1" t="n"/>
      <c r="Q6" s="23" t="n"/>
      <c r="R6" s="24" t="n"/>
      <c r="S6" s="25" t="inlineStr">
        <is>
          <t>ADMIN CHARGES</t>
        </is>
      </c>
      <c r="T6" s="1" t="n"/>
      <c r="U6" s="26" t="n"/>
      <c r="V6" s="24" t="n"/>
      <c r="W6" s="27" t="inlineStr">
        <is>
          <t>ADMIN CHARGES</t>
        </is>
      </c>
      <c r="X6" s="28" t="n"/>
      <c r="Y6" s="14" t="n"/>
      <c r="Z6" s="29" t="n"/>
      <c r="AA6" s="22" t="inlineStr">
        <is>
          <t>ADMIN CHARGES</t>
        </is>
      </c>
      <c r="AB6" s="1" t="n"/>
      <c r="AC6" s="1" t="n"/>
      <c r="AD6" s="26" t="n"/>
      <c r="AE6" s="27" t="n"/>
      <c r="AF6" s="27" t="inlineStr">
        <is>
          <t>ADMIN CHARGES</t>
        </is>
      </c>
      <c r="AG6" s="30" t="n"/>
      <c r="AH6" s="1" t="n"/>
      <c r="AI6" s="23" t="n"/>
      <c r="AJ6" s="25" t="n"/>
      <c r="AK6" s="25" t="inlineStr">
        <is>
          <t>ADMIN CHARGES</t>
        </is>
      </c>
      <c r="AL6" s="1" t="n"/>
      <c r="AM6" s="1" t="n"/>
      <c r="AN6" s="26" t="n"/>
      <c r="AO6" s="27" t="n"/>
      <c r="AP6" s="27" t="inlineStr">
        <is>
          <t>ADMIN CHARGES</t>
        </is>
      </c>
      <c r="AQ6" s="30" t="n"/>
      <c r="AR6" s="1" t="n"/>
      <c r="AS6" s="26" t="n"/>
      <c r="AT6" s="27" t="n"/>
      <c r="AU6" s="27" t="inlineStr">
        <is>
          <t>ADMIN CHARGES</t>
        </is>
      </c>
      <c r="AV6" s="30" t="n"/>
      <c r="AW6" s="1" t="n"/>
      <c r="AX6" s="26" t="n"/>
      <c r="AY6" s="27" t="n"/>
      <c r="AZ6" s="27" t="inlineStr">
        <is>
          <t>ADMIN CHARGES</t>
        </is>
      </c>
      <c r="BA6" s="30" t="n"/>
    </row>
    <row r="7" ht="27.75" customHeight="1" s="220">
      <c r="A7" s="31" t="inlineStr">
        <is>
          <t>AIA</t>
        </is>
      </c>
      <c r="B7" s="32" t="n"/>
      <c r="C7" s="33">
        <f>B7*0.05*1.09</f>
        <v/>
      </c>
      <c r="D7" s="34" t="n"/>
      <c r="E7" s="35" t="inlineStr">
        <is>
          <t>AIA</t>
        </is>
      </c>
      <c r="F7" s="36" t="n"/>
      <c r="G7" s="33">
        <f>F7*0.05*1.09</f>
        <v/>
      </c>
      <c r="H7" s="37" t="n"/>
      <c r="I7" s="35" t="inlineStr">
        <is>
          <t>AIA</t>
        </is>
      </c>
      <c r="J7" s="36" t="n"/>
      <c r="K7" s="33">
        <f>J7*0.05*1.09</f>
        <v/>
      </c>
      <c r="L7" s="37" t="n"/>
      <c r="M7" s="41" t="inlineStr">
        <is>
          <t>AIA</t>
        </is>
      </c>
      <c r="N7" s="36" t="n"/>
      <c r="O7" s="33">
        <f>N7*0.05*1.09</f>
        <v/>
      </c>
      <c r="P7" s="38" t="n"/>
      <c r="Q7" s="31" t="inlineStr">
        <is>
          <t>AIA</t>
        </is>
      </c>
      <c r="R7" s="39" t="n"/>
      <c r="S7" s="40">
        <f>R7*0.05*1.09</f>
        <v/>
      </c>
      <c r="T7" s="38" t="n"/>
      <c r="U7" s="41" t="inlineStr">
        <is>
          <t>AIA</t>
        </is>
      </c>
      <c r="V7" s="51" t="n"/>
      <c r="W7" s="43">
        <f>V7*0.05*1.09</f>
        <v/>
      </c>
      <c r="X7" s="44" t="n"/>
      <c r="Y7" s="31" t="inlineStr">
        <is>
          <t>AIA</t>
        </is>
      </c>
      <c r="Z7" s="36" t="n"/>
      <c r="AA7" s="45">
        <f>Z7*0.05*1.09</f>
        <v/>
      </c>
      <c r="AB7" s="46" t="n"/>
      <c r="AC7" s="46" t="n"/>
      <c r="AD7" s="41" t="inlineStr">
        <is>
          <t>AIA</t>
        </is>
      </c>
      <c r="AE7" s="47" t="n"/>
      <c r="AF7" s="43">
        <f>AE7*0.05*1.09</f>
        <v/>
      </c>
      <c r="AG7" s="48" t="n"/>
      <c r="AH7" s="46" t="n"/>
      <c r="AI7" s="31" t="inlineStr">
        <is>
          <t>AIA</t>
        </is>
      </c>
      <c r="AJ7" s="39" t="n"/>
      <c r="AK7" s="40">
        <f>AJ7*0.05*1.09</f>
        <v/>
      </c>
      <c r="AL7" s="46" t="n"/>
      <c r="AM7" s="46" t="n"/>
      <c r="AN7" s="41" t="inlineStr">
        <is>
          <t>AIA</t>
        </is>
      </c>
      <c r="AO7" s="47" t="n"/>
      <c r="AP7" s="43">
        <f>AO7*0.05*1.09</f>
        <v/>
      </c>
      <c r="AQ7" s="48" t="n"/>
      <c r="AR7" s="46" t="n"/>
      <c r="AS7" s="41" t="inlineStr">
        <is>
          <t>AIA</t>
        </is>
      </c>
      <c r="AT7" s="47" t="n"/>
      <c r="AU7" s="43">
        <f>AT7*0.05*1.09</f>
        <v/>
      </c>
      <c r="AV7" s="48" t="n"/>
      <c r="AW7" s="46" t="n"/>
      <c r="AX7" s="41" t="inlineStr">
        <is>
          <t>AIA</t>
        </is>
      </c>
      <c r="AY7" s="47" t="n"/>
      <c r="AZ7" s="43">
        <f>AY7*0.05*1.09</f>
        <v/>
      </c>
      <c r="BA7" s="48" t="n"/>
    </row>
    <row r="8" ht="27.75" customHeight="1" s="220">
      <c r="A8" s="31" t="inlineStr">
        <is>
          <t>ALLIANCE</t>
        </is>
      </c>
      <c r="B8" s="172" t="n"/>
      <c r="C8" s="33">
        <f>B8*0.05*1.09</f>
        <v/>
      </c>
      <c r="D8" s="34" t="n"/>
      <c r="E8" s="35" t="inlineStr">
        <is>
          <t>ALLIANCE</t>
        </is>
      </c>
      <c r="F8" s="36" t="n"/>
      <c r="G8" s="33">
        <f>F8*0.05*1.09</f>
        <v/>
      </c>
      <c r="H8" s="37" t="n"/>
      <c r="I8" s="35" t="inlineStr">
        <is>
          <t>ALLIANCE</t>
        </is>
      </c>
      <c r="J8" s="36" t="n"/>
      <c r="K8" s="33">
        <f>J8*0.05*1.09</f>
        <v/>
      </c>
      <c r="L8" s="37" t="n"/>
      <c r="M8" s="41" t="inlineStr">
        <is>
          <t>ALLIANCE</t>
        </is>
      </c>
      <c r="N8" s="173" t="n"/>
      <c r="O8" s="33">
        <f>N8*0.05*1.09</f>
        <v/>
      </c>
      <c r="P8" s="38" t="n"/>
      <c r="Q8" s="31" t="n"/>
      <c r="R8" s="39" t="n"/>
      <c r="S8" s="40" t="n"/>
      <c r="T8" s="38" t="n"/>
      <c r="U8" s="41" t="inlineStr">
        <is>
          <t>ALLIANCE</t>
        </is>
      </c>
      <c r="V8" s="173" t="n"/>
      <c r="W8" s="43">
        <f>V8*0.05*1.09</f>
        <v/>
      </c>
      <c r="X8" s="44" t="n"/>
      <c r="Y8" s="31" t="inlineStr">
        <is>
          <t>ALLIANCE</t>
        </is>
      </c>
      <c r="Z8" s="174" t="n"/>
      <c r="AA8" s="45">
        <f>Z8*0.05*1.09</f>
        <v/>
      </c>
      <c r="AB8" s="46" t="n"/>
      <c r="AC8" s="46" t="n"/>
      <c r="AD8" s="41" t="inlineStr">
        <is>
          <t>ALLIANCE</t>
        </is>
      </c>
      <c r="AE8" s="173" t="n"/>
      <c r="AF8" s="43">
        <f>AE8*0.05*1.09</f>
        <v/>
      </c>
      <c r="AG8" s="48" t="n"/>
      <c r="AH8" s="46" t="n"/>
      <c r="AI8" s="31" t="n"/>
      <c r="AJ8" s="39" t="n"/>
      <c r="AK8" s="40" t="n"/>
      <c r="AL8" s="46" t="n"/>
      <c r="AM8" s="46" t="n"/>
      <c r="AN8" s="41" t="inlineStr">
        <is>
          <t>ALLIANCE</t>
        </is>
      </c>
      <c r="AO8" s="174" t="n"/>
      <c r="AP8" s="43">
        <f>AO8*0.05*1.09</f>
        <v/>
      </c>
      <c r="AQ8" s="48" t="n"/>
      <c r="AR8" s="46" t="n"/>
      <c r="AS8" s="41" t="inlineStr">
        <is>
          <t>ALLIANCE</t>
        </is>
      </c>
      <c r="AT8" s="173" t="n"/>
      <c r="AU8" s="43">
        <f>AT8*0.05*1.09</f>
        <v/>
      </c>
      <c r="AV8" s="48" t="n"/>
      <c r="AW8" s="46" t="n"/>
      <c r="AX8" s="41" t="inlineStr">
        <is>
          <t>ALLIANCE</t>
        </is>
      </c>
      <c r="AY8" s="174" t="n"/>
      <c r="AZ8" s="43">
        <f>AY8*0.05*1.09</f>
        <v/>
      </c>
      <c r="BA8" s="48" t="n"/>
    </row>
    <row r="9" ht="27.75" customHeight="1" s="220">
      <c r="A9" s="31" t="inlineStr">
        <is>
          <t>AMEX</t>
        </is>
      </c>
      <c r="B9" s="172" t="n"/>
      <c r="C9" s="33">
        <f>B9*0.0195</f>
        <v/>
      </c>
      <c r="D9" s="34" t="n"/>
      <c r="E9" s="35" t="inlineStr">
        <is>
          <t>AMEX</t>
        </is>
      </c>
      <c r="F9" s="36" t="n"/>
      <c r="G9" s="33">
        <f>F9*0.0195</f>
        <v/>
      </c>
      <c r="H9" s="34" t="n"/>
      <c r="I9" s="35" t="inlineStr">
        <is>
          <t>AMEX</t>
        </is>
      </c>
      <c r="J9" s="36" t="n"/>
      <c r="K9" s="33">
        <f>J9*0.0195</f>
        <v/>
      </c>
      <c r="L9" s="34" t="n"/>
      <c r="M9" s="41" t="inlineStr">
        <is>
          <t>AMEX</t>
        </is>
      </c>
      <c r="N9" s="173" t="n"/>
      <c r="O9" s="33">
        <f>N9*0.0195</f>
        <v/>
      </c>
      <c r="P9" s="46" t="n"/>
      <c r="Q9" s="31" t="inlineStr">
        <is>
          <t>AMEX</t>
        </is>
      </c>
      <c r="R9" s="39" t="n"/>
      <c r="S9" s="40">
        <f>R9*0.0195</f>
        <v/>
      </c>
      <c r="T9" s="46" t="n"/>
      <c r="U9" s="41" t="inlineStr">
        <is>
          <t>AMEX</t>
        </is>
      </c>
      <c r="V9" s="173" t="n"/>
      <c r="W9" s="43">
        <f>V9*0.0195</f>
        <v/>
      </c>
      <c r="X9" s="49" t="n"/>
      <c r="Y9" s="31" t="inlineStr">
        <is>
          <t>AMEX</t>
        </is>
      </c>
      <c r="Z9" s="36" t="n"/>
      <c r="AA9" s="45">
        <f>Z9*0.0195</f>
        <v/>
      </c>
      <c r="AB9" s="46" t="n"/>
      <c r="AC9" s="46" t="n"/>
      <c r="AD9" s="41" t="inlineStr">
        <is>
          <t>AMEX</t>
        </is>
      </c>
      <c r="AE9" s="173" t="n"/>
      <c r="AF9" s="43">
        <f>AE9*0.0195</f>
        <v/>
      </c>
      <c r="AG9" s="48" t="n"/>
      <c r="AH9" s="46" t="n"/>
      <c r="AI9" s="31" t="inlineStr">
        <is>
          <t>AMEX</t>
        </is>
      </c>
      <c r="AJ9" s="39" t="n"/>
      <c r="AK9" s="40">
        <f>AJ9*0.0195</f>
        <v/>
      </c>
      <c r="AL9" s="46" t="n"/>
      <c r="AM9" s="46" t="n"/>
      <c r="AN9" s="41" t="inlineStr">
        <is>
          <t>AMEX</t>
        </is>
      </c>
      <c r="AO9" s="174" t="n"/>
      <c r="AP9" s="43">
        <f>AO9*0.0195</f>
        <v/>
      </c>
      <c r="AQ9" s="48" t="n"/>
      <c r="AR9" s="46" t="n"/>
      <c r="AS9" s="41" t="inlineStr">
        <is>
          <t>AMEX</t>
        </is>
      </c>
      <c r="AT9" s="173" t="n"/>
      <c r="AU9" s="43">
        <f>AT9*0.0195</f>
        <v/>
      </c>
      <c r="AV9" s="48" t="n"/>
      <c r="AW9" s="46" t="n"/>
      <c r="AX9" s="41" t="inlineStr">
        <is>
          <t>AMEX</t>
        </is>
      </c>
      <c r="AY9" s="174" t="n"/>
      <c r="AZ9" s="43">
        <f>AY9*0.0195</f>
        <v/>
      </c>
      <c r="BA9" s="48" t="n"/>
    </row>
    <row r="10" ht="27.75" customHeight="1" s="220">
      <c r="A10" s="31" t="inlineStr">
        <is>
          <t>BABYBONUS</t>
        </is>
      </c>
      <c r="B10" s="172" t="n"/>
      <c r="C10" s="33">
        <f>B10*0.008</f>
        <v/>
      </c>
      <c r="D10" s="34" t="n"/>
      <c r="E10" s="35" t="inlineStr">
        <is>
          <t>BABYBONUS</t>
        </is>
      </c>
      <c r="F10" s="50" t="n"/>
      <c r="G10" s="33">
        <f>F10*0.008</f>
        <v/>
      </c>
      <c r="H10" s="34" t="n"/>
      <c r="I10" s="35" t="inlineStr">
        <is>
          <t>BABYBONUS</t>
        </is>
      </c>
      <c r="J10" s="50" t="n"/>
      <c r="K10" s="33">
        <f>J10*0.008</f>
        <v/>
      </c>
      <c r="L10" s="34" t="n"/>
      <c r="M10" s="41" t="inlineStr">
        <is>
          <t>BABYBONUS</t>
        </is>
      </c>
      <c r="N10" s="36" t="n"/>
      <c r="O10" s="33">
        <f>N10*0.008</f>
        <v/>
      </c>
      <c r="P10" s="46" t="n"/>
      <c r="Q10" s="31" t="n"/>
      <c r="R10" s="39" t="n"/>
      <c r="S10" s="40" t="n"/>
      <c r="T10" s="46" t="n"/>
      <c r="U10" s="41" t="inlineStr">
        <is>
          <t>BABYBONUS</t>
        </is>
      </c>
      <c r="V10" s="51" t="n"/>
      <c r="W10" s="33">
        <f>V10*0.008</f>
        <v/>
      </c>
      <c r="X10" s="49" t="n"/>
      <c r="Y10" s="31" t="inlineStr">
        <is>
          <t>BABYBONUS</t>
        </is>
      </c>
      <c r="Z10" s="36" t="n"/>
      <c r="AA10" s="45">
        <f>Z10*0.008</f>
        <v/>
      </c>
      <c r="AB10" s="46" t="n"/>
      <c r="AC10" s="46" t="n"/>
      <c r="AD10" s="41" t="inlineStr">
        <is>
          <t>BABYBONUS</t>
        </is>
      </c>
      <c r="AE10" s="47" t="n"/>
      <c r="AF10" s="43">
        <f>AE10*0.008</f>
        <v/>
      </c>
      <c r="AG10" s="48" t="n"/>
      <c r="AH10" s="46" t="n"/>
      <c r="AI10" s="31" t="n"/>
      <c r="AJ10" s="39" t="n"/>
      <c r="AK10" s="40" t="n"/>
      <c r="AL10" s="46" t="n"/>
      <c r="AM10" s="46" t="n"/>
      <c r="AN10" s="41" t="inlineStr">
        <is>
          <t>BABYBONUS</t>
        </is>
      </c>
      <c r="AO10" s="47" t="n"/>
      <c r="AP10" s="43">
        <f>AO10*0.008</f>
        <v/>
      </c>
      <c r="AQ10" s="48" t="n"/>
      <c r="AR10" s="46" t="n"/>
      <c r="AS10" s="41" t="inlineStr">
        <is>
          <t>BABYBONUS</t>
        </is>
      </c>
      <c r="AT10" s="36" t="n"/>
      <c r="AU10" s="43">
        <f>AT10*0.008</f>
        <v/>
      </c>
      <c r="AV10" s="48" t="n"/>
      <c r="AW10" s="46" t="n"/>
      <c r="AX10" s="41" t="inlineStr">
        <is>
          <t>BABYBONUS</t>
        </is>
      </c>
      <c r="AY10" s="47" t="n"/>
      <c r="AZ10" s="43">
        <f>AY10*0.008</f>
        <v/>
      </c>
      <c r="BA10" s="48" t="n"/>
    </row>
    <row r="11" ht="27.75" customHeight="1" s="220">
      <c r="A11" s="31" t="inlineStr">
        <is>
          <t>CASH</t>
        </is>
      </c>
      <c r="B11" s="172" t="n"/>
      <c r="C11" s="33" t="n"/>
      <c r="D11" s="34" t="n"/>
      <c r="E11" s="35" t="inlineStr">
        <is>
          <t>CASH</t>
        </is>
      </c>
      <c r="F11" s="36" t="n"/>
      <c r="G11" s="33" t="n"/>
      <c r="H11" s="34" t="n"/>
      <c r="I11" s="35" t="inlineStr">
        <is>
          <t>CASH</t>
        </is>
      </c>
      <c r="J11" s="36" t="n"/>
      <c r="K11" s="33" t="n"/>
      <c r="L11" s="34" t="n"/>
      <c r="M11" s="41" t="inlineStr">
        <is>
          <t>CASH</t>
        </is>
      </c>
      <c r="N11" s="173" t="n"/>
      <c r="O11" s="33" t="n"/>
      <c r="P11" s="46" t="n"/>
      <c r="Q11" s="31" t="inlineStr">
        <is>
          <t>ALLIANCE</t>
        </is>
      </c>
      <c r="R11" s="39" t="n"/>
      <c r="S11" s="40">
        <f>R11*0.05*1.09</f>
        <v/>
      </c>
      <c r="T11" s="46" t="n"/>
      <c r="U11" s="41" t="inlineStr">
        <is>
          <t>CASH</t>
        </is>
      </c>
      <c r="V11" s="51" t="n"/>
      <c r="W11" s="33" t="n"/>
      <c r="X11" s="49" t="n"/>
      <c r="Y11" s="31" t="inlineStr">
        <is>
          <t>CASH</t>
        </is>
      </c>
      <c r="Z11" s="36" t="n"/>
      <c r="AA11" s="45" t="n"/>
      <c r="AB11" s="46" t="n"/>
      <c r="AC11" s="46" t="n"/>
      <c r="AD11" s="41" t="inlineStr">
        <is>
          <t>CASH</t>
        </is>
      </c>
      <c r="AE11" s="173" t="n"/>
      <c r="AF11" s="43" t="n"/>
      <c r="AG11" s="48" t="n"/>
      <c r="AH11" s="46" t="n"/>
      <c r="AI11" s="31" t="inlineStr">
        <is>
          <t>ALLIANCE</t>
        </is>
      </c>
      <c r="AJ11" s="39" t="n"/>
      <c r="AK11" s="40">
        <f>AJ11*0.05*1.09</f>
        <v/>
      </c>
      <c r="AL11" s="46" t="n"/>
      <c r="AM11" s="46" t="n"/>
      <c r="AN11" s="41" t="inlineStr">
        <is>
          <t>CASH</t>
        </is>
      </c>
      <c r="AO11" s="174" t="n"/>
      <c r="AP11" s="43" t="n"/>
      <c r="AQ11" s="48" t="n"/>
      <c r="AR11" s="46" t="n"/>
      <c r="AS11" s="41" t="inlineStr">
        <is>
          <t>CASH</t>
        </is>
      </c>
      <c r="AT11" s="173" t="n"/>
      <c r="AU11" s="43" t="n"/>
      <c r="AV11" s="48" t="n"/>
      <c r="AW11" s="46" t="n"/>
      <c r="AX11" s="41" t="inlineStr">
        <is>
          <t>CASH</t>
        </is>
      </c>
      <c r="AY11" s="174" t="n"/>
      <c r="AZ11" s="43" t="n"/>
      <c r="BA11" s="48" t="n"/>
    </row>
    <row r="12" ht="27.75" customHeight="1" s="220">
      <c r="A12" s="31" t="inlineStr">
        <is>
          <t>CASA VOUCHER</t>
        </is>
      </c>
      <c r="B12" s="32" t="n"/>
      <c r="C12" s="33" t="n"/>
      <c r="D12" s="34" t="n"/>
      <c r="E12" s="35" t="inlineStr">
        <is>
          <t>CASA VOUCHER</t>
        </is>
      </c>
      <c r="F12" s="36" t="n"/>
      <c r="G12" s="33" t="n"/>
      <c r="H12" s="34" t="n"/>
      <c r="I12" s="35" t="inlineStr">
        <is>
          <t>CASA VOUCHER</t>
        </is>
      </c>
      <c r="J12" s="36" t="n"/>
      <c r="K12" s="33" t="n"/>
      <c r="L12" s="34" t="n"/>
      <c r="M12" s="41" t="inlineStr">
        <is>
          <t>CASA VOUCHER</t>
        </is>
      </c>
      <c r="N12" s="36" t="n"/>
      <c r="O12" s="33" t="n"/>
      <c r="P12" s="46" t="n"/>
      <c r="Q12" s="31" t="inlineStr">
        <is>
          <t>CASH</t>
        </is>
      </c>
      <c r="R12" s="39" t="n"/>
      <c r="S12" s="40" t="n"/>
      <c r="T12" s="46" t="n"/>
      <c r="U12" s="35" t="inlineStr">
        <is>
          <t>CASA VOUCHER</t>
        </is>
      </c>
      <c r="V12" s="51" t="n"/>
      <c r="W12" s="33" t="n"/>
      <c r="X12" s="49" t="n"/>
      <c r="Y12" s="31" t="inlineStr">
        <is>
          <t>CASA VOUCHER</t>
        </is>
      </c>
      <c r="Z12" s="36" t="n"/>
      <c r="AA12" s="45" t="n"/>
      <c r="AB12" s="46" t="n"/>
      <c r="AC12" s="46" t="n"/>
      <c r="AD12" s="35" t="inlineStr">
        <is>
          <t>CASA VOUCHER</t>
        </is>
      </c>
      <c r="AE12" s="47" t="n"/>
      <c r="AF12" s="43" t="n"/>
      <c r="AG12" s="48" t="n"/>
      <c r="AH12" s="46" t="n"/>
      <c r="AI12" s="31" t="inlineStr">
        <is>
          <t>CASH</t>
        </is>
      </c>
      <c r="AJ12" s="39" t="n"/>
      <c r="AK12" s="40" t="n"/>
      <c r="AL12" s="46" t="n"/>
      <c r="AM12" s="46" t="n"/>
      <c r="AN12" s="35" t="inlineStr">
        <is>
          <t>CASA VOUCHER</t>
        </is>
      </c>
      <c r="AO12" s="47" t="n"/>
      <c r="AP12" s="43" t="n"/>
      <c r="AQ12" s="48" t="n"/>
      <c r="AR12" s="46" t="n"/>
      <c r="AS12" s="41" t="inlineStr">
        <is>
          <t>CASA VOUCHER</t>
        </is>
      </c>
      <c r="AT12" s="36" t="n"/>
      <c r="AU12" s="43" t="n"/>
      <c r="AV12" s="48" t="n"/>
      <c r="AW12" s="46" t="n"/>
      <c r="AX12" s="35" t="inlineStr">
        <is>
          <t>CASA VOUCHER</t>
        </is>
      </c>
      <c r="AY12" s="47" t="n"/>
      <c r="AZ12" s="43" t="n"/>
      <c r="BA12" s="48" t="n"/>
    </row>
    <row r="13" ht="27.75" customHeight="1" s="220">
      <c r="A13" s="52" t="inlineStr">
        <is>
          <t>CDC VOUCHER</t>
        </is>
      </c>
      <c r="B13" s="172" t="n"/>
      <c r="C13" s="54" t="n"/>
      <c r="D13" s="34" t="n"/>
      <c r="E13" s="35" t="inlineStr">
        <is>
          <t>CDC VOUCHER</t>
        </is>
      </c>
      <c r="F13" s="36" t="n"/>
      <c r="G13" s="33" t="n"/>
      <c r="H13" s="34" t="n"/>
      <c r="I13" s="35" t="inlineStr">
        <is>
          <t>CDC VOUCHER</t>
        </is>
      </c>
      <c r="J13" s="36" t="n"/>
      <c r="K13" s="33" t="n"/>
      <c r="L13" s="34" t="n"/>
      <c r="M13" s="41" t="inlineStr">
        <is>
          <t>CDC VOUCHER</t>
        </is>
      </c>
      <c r="N13" s="173" t="n"/>
      <c r="O13" s="33" t="n"/>
      <c r="P13" s="46" t="n"/>
      <c r="Q13" s="31" t="inlineStr">
        <is>
          <t>CASA VOUCHER</t>
        </is>
      </c>
      <c r="R13" s="39" t="n"/>
      <c r="S13" s="40" t="n"/>
      <c r="T13" s="46" t="n"/>
      <c r="U13" s="35" t="inlineStr">
        <is>
          <t>CDC VOUCHER</t>
        </is>
      </c>
      <c r="V13" s="174" t="n"/>
      <c r="W13" s="33" t="n"/>
      <c r="X13" s="49" t="n"/>
      <c r="Y13" s="52" t="inlineStr">
        <is>
          <t>CDC VOUCHER</t>
        </is>
      </c>
      <c r="Z13" s="55" t="n"/>
      <c r="AA13" s="56" t="n"/>
      <c r="AB13" s="46" t="n"/>
      <c r="AC13" s="46" t="n"/>
      <c r="AD13" s="57" t="inlineStr">
        <is>
          <t>CDC VOUCHER</t>
        </is>
      </c>
      <c r="AE13" s="173" t="n"/>
      <c r="AF13" s="59" t="n"/>
      <c r="AG13" s="48" t="n"/>
      <c r="AH13" s="46" t="n"/>
      <c r="AI13" s="31" t="inlineStr">
        <is>
          <t>CASA VOUCHER</t>
        </is>
      </c>
      <c r="AJ13" s="39" t="n"/>
      <c r="AK13" s="40" t="n"/>
      <c r="AL13" s="46" t="n"/>
      <c r="AM13" s="46" t="n"/>
      <c r="AN13" s="57" t="inlineStr">
        <is>
          <t>CDC VOUCHER</t>
        </is>
      </c>
      <c r="AO13" s="174" t="n"/>
      <c r="AP13" s="59" t="n"/>
      <c r="AQ13" s="48" t="n"/>
      <c r="AR13" s="46" t="n"/>
      <c r="AS13" s="57" t="inlineStr">
        <is>
          <t>CDC VOUCHER</t>
        </is>
      </c>
      <c r="AT13" s="175" t="n"/>
      <c r="AU13" s="59" t="n"/>
      <c r="AV13" s="48" t="n"/>
      <c r="AW13" s="46" t="n"/>
      <c r="AX13" s="57" t="inlineStr">
        <is>
          <t>CDC VOUCHER</t>
        </is>
      </c>
      <c r="AY13" s="174" t="n"/>
      <c r="AZ13" s="59" t="n"/>
      <c r="BA13" s="48" t="n"/>
    </row>
    <row r="14" ht="27.75" customHeight="1" s="220">
      <c r="A14" s="31" t="inlineStr">
        <is>
          <t>CHAS</t>
        </is>
      </c>
      <c r="B14" s="173" t="n"/>
      <c r="C14" s="33" t="n"/>
      <c r="D14" s="34" t="n"/>
      <c r="E14" s="35" t="inlineStr">
        <is>
          <t>CHAS</t>
        </is>
      </c>
      <c r="F14" s="36" t="n"/>
      <c r="G14" s="33" t="n"/>
      <c r="H14" s="34" t="n"/>
      <c r="I14" s="35" t="inlineStr">
        <is>
          <t>CHAS</t>
        </is>
      </c>
      <c r="J14" s="36" t="n"/>
      <c r="K14" s="33" t="n"/>
      <c r="L14" s="34" t="n"/>
      <c r="M14" s="41" t="inlineStr">
        <is>
          <t>CHAS</t>
        </is>
      </c>
      <c r="N14" s="173" t="n"/>
      <c r="O14" s="33" t="n"/>
      <c r="P14" s="46" t="n"/>
      <c r="Q14" s="31" t="n"/>
      <c r="R14" s="39" t="n"/>
      <c r="S14" s="40" t="n"/>
      <c r="T14" s="46" t="n"/>
      <c r="U14" s="35" t="inlineStr">
        <is>
          <t>CHAS</t>
        </is>
      </c>
      <c r="V14" s="174" t="n"/>
      <c r="W14" s="33" t="n"/>
      <c r="X14" s="49" t="n"/>
      <c r="Y14" s="31" t="inlineStr">
        <is>
          <t>CHAS</t>
        </is>
      </c>
      <c r="Z14" s="174" t="n"/>
      <c r="AA14" s="45" t="n"/>
      <c r="AB14" s="46" t="n"/>
      <c r="AC14" s="46" t="n"/>
      <c r="AD14" s="35" t="inlineStr">
        <is>
          <t>CHAS</t>
        </is>
      </c>
      <c r="AE14" s="173" t="n"/>
      <c r="AF14" s="43" t="n"/>
      <c r="AG14" s="48" t="n"/>
      <c r="AH14" s="46" t="n"/>
      <c r="AI14" s="31" t="n"/>
      <c r="AJ14" s="39" t="n"/>
      <c r="AK14" s="40" t="n"/>
      <c r="AL14" s="46" t="n"/>
      <c r="AM14" s="46" t="n"/>
      <c r="AN14" s="35" t="inlineStr">
        <is>
          <t>CHAS</t>
        </is>
      </c>
      <c r="AO14" s="174" t="n"/>
      <c r="AP14" s="43" t="n"/>
      <c r="AQ14" s="48" t="n"/>
      <c r="AR14" s="46" t="n"/>
      <c r="AS14" s="35" t="inlineStr">
        <is>
          <t>CHAS</t>
        </is>
      </c>
      <c r="AT14" s="174" t="n"/>
      <c r="AU14" s="43" t="n"/>
      <c r="AV14" s="48" t="n"/>
      <c r="AW14" s="46" t="n"/>
      <c r="AX14" s="35" t="inlineStr">
        <is>
          <t>CHAS</t>
        </is>
      </c>
      <c r="AY14" s="174" t="n"/>
      <c r="AZ14" s="43" t="n"/>
      <c r="BA14" s="48" t="n"/>
    </row>
    <row r="15" ht="27.75" customHeight="1" s="220">
      <c r="A15" s="31" t="inlineStr">
        <is>
          <t>CYNERGY</t>
        </is>
      </c>
      <c r="B15" s="173" t="n"/>
      <c r="C15" s="33" t="n"/>
      <c r="D15" s="34" t="n"/>
      <c r="E15" s="35" t="inlineStr">
        <is>
          <t>CYNERGY</t>
        </is>
      </c>
      <c r="F15" s="36" t="n"/>
      <c r="G15" s="33" t="n"/>
      <c r="H15" s="34" t="n"/>
      <c r="I15" s="35" t="inlineStr">
        <is>
          <t>CYNERGY</t>
        </is>
      </c>
      <c r="J15" s="36" t="n"/>
      <c r="K15" s="33" t="n"/>
      <c r="L15" s="34" t="n"/>
      <c r="M15" s="41" t="inlineStr">
        <is>
          <t>CYNERGY</t>
        </is>
      </c>
      <c r="N15" s="173" t="n"/>
      <c r="O15" s="33" t="n"/>
      <c r="P15" s="46" t="n"/>
      <c r="Q15" s="31" t="n"/>
      <c r="R15" s="39" t="n"/>
      <c r="S15" s="40" t="n"/>
      <c r="T15" s="46" t="n"/>
      <c r="U15" s="35" t="inlineStr">
        <is>
          <t>CYNERGY</t>
        </is>
      </c>
      <c r="V15" s="174" t="n"/>
      <c r="W15" s="33" t="n"/>
      <c r="X15" s="49" t="n"/>
      <c r="Y15" s="31" t="inlineStr">
        <is>
          <t>CYNERGY</t>
        </is>
      </c>
      <c r="Z15" s="36" t="n"/>
      <c r="AA15" s="45" t="n"/>
      <c r="AB15" s="46" t="n"/>
      <c r="AC15" s="46" t="n"/>
      <c r="AD15" s="35" t="inlineStr">
        <is>
          <t>CYNERGY</t>
        </is>
      </c>
      <c r="AE15" s="173" t="n"/>
      <c r="AF15" s="43" t="n"/>
      <c r="AG15" s="48" t="n"/>
      <c r="AH15" s="46" t="n"/>
      <c r="AI15" s="31" t="n"/>
      <c r="AJ15" s="39" t="n"/>
      <c r="AK15" s="40" t="n"/>
      <c r="AL15" s="46" t="n"/>
      <c r="AM15" s="46" t="n"/>
      <c r="AN15" s="35" t="inlineStr">
        <is>
          <t>CYNERGY</t>
        </is>
      </c>
      <c r="AO15" s="174" t="n"/>
      <c r="AP15" s="43" t="n"/>
      <c r="AQ15" s="48" t="n"/>
      <c r="AR15" s="46" t="n"/>
      <c r="AS15" s="35" t="inlineStr">
        <is>
          <t>CYNERGY</t>
        </is>
      </c>
      <c r="AT15" s="173" t="n"/>
      <c r="AU15" s="43" t="n"/>
      <c r="AV15" s="48" t="n"/>
      <c r="AW15" s="46" t="n"/>
      <c r="AX15" s="35" t="inlineStr">
        <is>
          <t>CYNERGY</t>
        </is>
      </c>
      <c r="AY15" s="173" t="n"/>
      <c r="AZ15" s="43" t="n"/>
      <c r="BA15" s="48" t="n"/>
    </row>
    <row r="16" ht="27.75" customHeight="1" s="220">
      <c r="A16" s="35" t="inlineStr">
        <is>
          <t>DA ADEPT HEALTH</t>
        </is>
      </c>
      <c r="B16" s="50" t="n"/>
      <c r="C16" s="33">
        <f>B16*8%</f>
        <v/>
      </c>
      <c r="D16" s="34" t="n"/>
      <c r="E16" s="35" t="inlineStr">
        <is>
          <t>DA ADEPT HEALTH</t>
        </is>
      </c>
      <c r="F16" s="36" t="n"/>
      <c r="G16" s="33">
        <f>F16*8%</f>
        <v/>
      </c>
      <c r="H16" s="34" t="n"/>
      <c r="I16" s="35" t="inlineStr">
        <is>
          <t>DA ADEPT HEALTH</t>
        </is>
      </c>
      <c r="J16" s="36" t="n"/>
      <c r="K16" s="33">
        <f>J16*8%</f>
        <v/>
      </c>
      <c r="L16" s="34" t="n"/>
      <c r="M16" s="41" t="inlineStr">
        <is>
          <t>DA ADEPT HEALTH</t>
        </is>
      </c>
      <c r="N16" s="36" t="n"/>
      <c r="O16" s="33">
        <f>N16*8%</f>
        <v/>
      </c>
      <c r="P16" s="46" t="n"/>
      <c r="Q16" s="31" t="n"/>
      <c r="R16" s="39" t="n"/>
      <c r="S16" s="40" t="n"/>
      <c r="T16" s="46" t="n"/>
      <c r="U16" s="35" t="inlineStr">
        <is>
          <t>DA ADEPT HEALTH</t>
        </is>
      </c>
      <c r="V16" s="51" t="n"/>
      <c r="W16" s="33">
        <f>V16*8%</f>
        <v/>
      </c>
      <c r="X16" s="49" t="n"/>
      <c r="Y16" s="52" t="inlineStr">
        <is>
          <t>DA ADEPT HEALTH</t>
        </is>
      </c>
      <c r="Z16" s="55" t="n"/>
      <c r="AA16" s="56">
        <f>Z16*8%</f>
        <v/>
      </c>
      <c r="AB16" s="46" t="n"/>
      <c r="AC16" s="46" t="n"/>
      <c r="AD16" s="57" t="inlineStr">
        <is>
          <t>DA ADEPT HEALTH</t>
        </is>
      </c>
      <c r="AE16" s="58" t="n"/>
      <c r="AF16" s="59">
        <f>AE16*8%</f>
        <v/>
      </c>
      <c r="AG16" s="48" t="n"/>
      <c r="AH16" s="46" t="n"/>
      <c r="AI16" s="31" t="n"/>
      <c r="AJ16" s="39" t="n"/>
      <c r="AK16" s="40" t="n"/>
      <c r="AL16" s="46" t="n"/>
      <c r="AM16" s="46" t="n"/>
      <c r="AN16" s="57" t="inlineStr">
        <is>
          <t>DA ADEPT HEALTH</t>
        </is>
      </c>
      <c r="AO16" s="58" t="n"/>
      <c r="AP16" s="59">
        <f>AO16*8%</f>
        <v/>
      </c>
      <c r="AQ16" s="48" t="n"/>
      <c r="AR16" s="46" t="n"/>
      <c r="AS16" s="57" t="inlineStr">
        <is>
          <t>DA ADEPT HEALTH</t>
        </is>
      </c>
      <c r="AT16" s="58" t="n"/>
      <c r="AU16" s="59">
        <f>AT16*8%</f>
        <v/>
      </c>
      <c r="AV16" s="48" t="n"/>
      <c r="AW16" s="46" t="n"/>
      <c r="AX16" s="57" t="inlineStr">
        <is>
          <t>DA ADEPT HEALTH</t>
        </is>
      </c>
      <c r="AY16" s="58" t="n"/>
      <c r="AZ16" s="59">
        <f>AY16*8%</f>
        <v/>
      </c>
      <c r="BA16" s="48" t="n"/>
    </row>
    <row r="17" ht="27.75" customHeight="1" s="220">
      <c r="A17" s="60" t="inlineStr">
        <is>
          <t>DEPOSIT</t>
        </is>
      </c>
      <c r="B17" s="172" t="n"/>
      <c r="C17" s="33">
        <f>G17+K17+O17+O17+S17+W17+AA17+AF17+AP17+AU17+AZ17</f>
        <v/>
      </c>
      <c r="D17" s="34" t="n"/>
      <c r="E17" s="61" t="inlineStr">
        <is>
          <t>DEPOSIT</t>
        </is>
      </c>
      <c r="F17" s="36" t="n"/>
      <c r="G17" s="33" t="n"/>
      <c r="H17" s="34" t="n"/>
      <c r="I17" s="61" t="inlineStr">
        <is>
          <t>DEPOSIT</t>
        </is>
      </c>
      <c r="J17" s="36" t="n"/>
      <c r="K17" s="33" t="n"/>
      <c r="L17" s="34" t="n"/>
      <c r="M17" s="176" t="inlineStr">
        <is>
          <t>DEPOSIT</t>
        </is>
      </c>
      <c r="N17" s="173" t="n"/>
      <c r="O17" s="33" t="n"/>
      <c r="P17" s="46" t="n"/>
      <c r="Q17" s="31" t="inlineStr">
        <is>
          <t>DEPOSIT</t>
        </is>
      </c>
      <c r="R17" s="39" t="n"/>
      <c r="S17" s="40" t="n">
        <v>0</v>
      </c>
      <c r="T17" s="46" t="n"/>
      <c r="U17" s="61" t="inlineStr">
        <is>
          <t>DEPOSIT</t>
        </is>
      </c>
      <c r="V17" s="51" t="n"/>
      <c r="W17" s="33" t="n"/>
      <c r="X17" s="49" t="n"/>
      <c r="Y17" s="60" t="inlineStr">
        <is>
          <t>DEPOSIT</t>
        </is>
      </c>
      <c r="Z17" s="36" t="n"/>
      <c r="AA17" s="45" t="n"/>
      <c r="AB17" s="46" t="n"/>
      <c r="AC17" s="46" t="n"/>
      <c r="AD17" s="61" t="inlineStr">
        <is>
          <t>DEPOSIT</t>
        </is>
      </c>
      <c r="AE17" s="47" t="n"/>
      <c r="AF17" s="43" t="n"/>
      <c r="AG17" s="48" t="n"/>
      <c r="AH17" s="46" t="n"/>
      <c r="AI17" s="60" t="inlineStr">
        <is>
          <t>DEPOSIT</t>
        </is>
      </c>
      <c r="AJ17" s="39" t="n"/>
      <c r="AK17" s="40" t="n"/>
      <c r="AL17" s="46" t="n"/>
      <c r="AM17" s="46" t="n"/>
      <c r="AN17" s="61" t="inlineStr">
        <is>
          <t>DEPOSIT</t>
        </is>
      </c>
      <c r="AO17" s="174" t="n"/>
      <c r="AP17" s="43" t="n"/>
      <c r="AQ17" s="48" t="n"/>
      <c r="AR17" s="46" t="n"/>
      <c r="AS17" s="61" t="inlineStr">
        <is>
          <t>DEPOSIT</t>
        </is>
      </c>
      <c r="AT17" s="47" t="n"/>
      <c r="AU17" s="43" t="n"/>
      <c r="AV17" s="48" t="n"/>
      <c r="AW17" s="46" t="n"/>
      <c r="AX17" s="61" t="inlineStr">
        <is>
          <t>DEPOSIT</t>
        </is>
      </c>
      <c r="AY17" s="47" t="n"/>
      <c r="AZ17" s="43" t="n"/>
      <c r="BA17" s="48" t="n"/>
    </row>
    <row r="18" ht="27.75" customHeight="1" s="220">
      <c r="A18" s="31" t="inlineStr">
        <is>
          <t>IHP</t>
        </is>
      </c>
      <c r="B18" s="173" t="n"/>
      <c r="C18" s="33">
        <f>B18*0.051*1.09</f>
        <v/>
      </c>
      <c r="D18" s="34" t="n"/>
      <c r="E18" s="35" t="inlineStr">
        <is>
          <t>IHP</t>
        </is>
      </c>
      <c r="F18" s="36" t="n"/>
      <c r="G18" s="33">
        <f>F18*0.051*1.09</f>
        <v/>
      </c>
      <c r="H18" s="34" t="n"/>
      <c r="I18" s="35" t="inlineStr">
        <is>
          <t>IHP</t>
        </is>
      </c>
      <c r="J18" s="36" t="n"/>
      <c r="K18" s="33">
        <f>J18*0.051*1.09</f>
        <v/>
      </c>
      <c r="L18" s="34" t="n"/>
      <c r="M18" s="41" t="inlineStr">
        <is>
          <t>IHP</t>
        </is>
      </c>
      <c r="N18" s="173" t="n"/>
      <c r="O18" s="33">
        <f>N18*0.051*1.09</f>
        <v/>
      </c>
      <c r="P18" s="46" t="n"/>
      <c r="Q18" s="31" t="n"/>
      <c r="R18" s="39" t="n"/>
      <c r="S18" s="40" t="n"/>
      <c r="T18" s="46" t="n"/>
      <c r="U18" s="35" t="inlineStr">
        <is>
          <t>IHP</t>
        </is>
      </c>
      <c r="V18" s="174" t="n"/>
      <c r="W18" s="33">
        <f>V18*0.051*1.09</f>
        <v/>
      </c>
      <c r="X18" s="49" t="n"/>
      <c r="Y18" s="31" t="inlineStr">
        <is>
          <t>IHP</t>
        </is>
      </c>
      <c r="Z18" s="36" t="n"/>
      <c r="AA18" s="45">
        <f>Z18*0.051*1.09</f>
        <v/>
      </c>
      <c r="AB18" s="46" t="n"/>
      <c r="AC18" s="46" t="n"/>
      <c r="AD18" s="35" t="inlineStr">
        <is>
          <t>IHP</t>
        </is>
      </c>
      <c r="AE18" s="173" t="n"/>
      <c r="AF18" s="43">
        <f>AE18*0.051*1.09</f>
        <v/>
      </c>
      <c r="AG18" s="48" t="n"/>
      <c r="AH18" s="46" t="n"/>
      <c r="AI18" s="60" t="n"/>
      <c r="AJ18" s="39" t="n"/>
      <c r="AK18" s="40" t="n"/>
      <c r="AL18" s="46" t="n"/>
      <c r="AM18" s="46" t="n"/>
      <c r="AN18" s="35" t="inlineStr">
        <is>
          <t>IHP</t>
        </is>
      </c>
      <c r="AO18" s="174" t="n"/>
      <c r="AP18" s="43">
        <f>AO18*0.051*1.09</f>
        <v/>
      </c>
      <c r="AQ18" s="48" t="n"/>
      <c r="AR18" s="46" t="n"/>
      <c r="AS18" s="35" t="inlineStr">
        <is>
          <t>IHP</t>
        </is>
      </c>
      <c r="AT18" s="173" t="n"/>
      <c r="AU18" s="43">
        <f>AT18*0.051*1.09</f>
        <v/>
      </c>
      <c r="AV18" s="48" t="n"/>
      <c r="AW18" s="46" t="n"/>
      <c r="AX18" s="35" t="inlineStr">
        <is>
          <t>IHP</t>
        </is>
      </c>
      <c r="AY18" s="173" t="n"/>
      <c r="AZ18" s="43">
        <f>AY18*0.051*1.09</f>
        <v/>
      </c>
      <c r="BA18" s="48" t="n"/>
    </row>
    <row r="19" ht="27.75" customHeight="1" s="220">
      <c r="A19" s="31" t="inlineStr">
        <is>
          <t>JCB</t>
        </is>
      </c>
      <c r="B19" s="32" t="n"/>
      <c r="C19" s="33">
        <f>B19*0.15*1.09</f>
        <v/>
      </c>
      <c r="D19" s="34" t="n"/>
      <c r="E19" s="35" t="inlineStr">
        <is>
          <t>JCB</t>
        </is>
      </c>
      <c r="F19" s="50" t="n"/>
      <c r="G19" s="33">
        <f>F19*0.15*1.09</f>
        <v/>
      </c>
      <c r="H19" s="34" t="n"/>
      <c r="I19" s="35" t="inlineStr">
        <is>
          <t>JCB</t>
        </is>
      </c>
      <c r="J19" s="50" t="n"/>
      <c r="K19" s="33">
        <f>J19*0.15*1.09</f>
        <v/>
      </c>
      <c r="L19" s="34" t="n"/>
      <c r="M19" s="41" t="inlineStr">
        <is>
          <t>JCB</t>
        </is>
      </c>
      <c r="N19" s="50" t="n"/>
      <c r="O19" s="33">
        <f>N19*0.15*1.09</f>
        <v/>
      </c>
      <c r="P19" s="46" t="n"/>
      <c r="Q19" s="31" t="n"/>
      <c r="R19" s="39" t="n"/>
      <c r="S19" s="40" t="n"/>
      <c r="T19" s="46" t="n"/>
      <c r="U19" s="35" t="inlineStr">
        <is>
          <t>JCB</t>
        </is>
      </c>
      <c r="V19" s="50" t="n"/>
      <c r="W19" s="33">
        <f>V19*0.15*1.09</f>
        <v/>
      </c>
      <c r="X19" s="49" t="n"/>
      <c r="Y19" s="31" t="inlineStr">
        <is>
          <t>JCB</t>
        </is>
      </c>
      <c r="Z19" s="50" t="n"/>
      <c r="AA19" s="45">
        <f>Z19*0.15*1.09</f>
        <v/>
      </c>
      <c r="AB19" s="46" t="n"/>
      <c r="AC19" s="46" t="n"/>
      <c r="AD19" s="35" t="inlineStr">
        <is>
          <t>JCB</t>
        </is>
      </c>
      <c r="AE19" s="62" t="n"/>
      <c r="AF19" s="43">
        <f>AE19*0.15*1.09</f>
        <v/>
      </c>
      <c r="AG19" s="48" t="n"/>
      <c r="AH19" s="46" t="n"/>
      <c r="AI19" s="60" t="n"/>
      <c r="AJ19" s="39" t="n"/>
      <c r="AK19" s="40" t="n"/>
      <c r="AL19" s="46" t="n"/>
      <c r="AM19" s="46" t="n"/>
      <c r="AN19" s="35" t="inlineStr">
        <is>
          <t>JCB</t>
        </is>
      </c>
      <c r="AO19" s="62" t="n"/>
      <c r="AP19" s="43">
        <f>AO19*0.15*1.09</f>
        <v/>
      </c>
      <c r="AQ19" s="48" t="n"/>
      <c r="AR19" s="46" t="n"/>
      <c r="AS19" s="35" t="inlineStr">
        <is>
          <t>JCB</t>
        </is>
      </c>
      <c r="AT19" s="62" t="n"/>
      <c r="AU19" s="43">
        <f>AT19*0.15*1.09</f>
        <v/>
      </c>
      <c r="AV19" s="48" t="n"/>
      <c r="AW19" s="46" t="n"/>
      <c r="AX19" s="35" t="inlineStr">
        <is>
          <t>JCB</t>
        </is>
      </c>
      <c r="AY19" s="62" t="n"/>
      <c r="AZ19" s="43">
        <f>AY19*0.15*1.09</f>
        <v/>
      </c>
      <c r="BA19" s="48" t="n"/>
    </row>
    <row r="20" ht="27.75" customHeight="1" s="220">
      <c r="A20" s="31" t="inlineStr">
        <is>
          <t>MASTER</t>
        </is>
      </c>
      <c r="B20" s="172" t="n"/>
      <c r="C20" s="33">
        <f>B20*0.021</f>
        <v/>
      </c>
      <c r="D20" s="34" t="n"/>
      <c r="E20" s="35" t="inlineStr">
        <is>
          <t>MASTER</t>
        </is>
      </c>
      <c r="F20" s="36" t="n"/>
      <c r="G20" s="33">
        <f>F20*0.021</f>
        <v/>
      </c>
      <c r="H20" s="34" t="n"/>
      <c r="I20" s="35" t="inlineStr">
        <is>
          <t>MASTER</t>
        </is>
      </c>
      <c r="J20" s="36" t="n"/>
      <c r="K20" s="33">
        <f>J20*0.021</f>
        <v/>
      </c>
      <c r="L20" s="34" t="n"/>
      <c r="M20" s="41" t="inlineStr">
        <is>
          <t>MASTER</t>
        </is>
      </c>
      <c r="N20" s="173" t="n"/>
      <c r="O20" s="33">
        <f>N20*0.021</f>
        <v/>
      </c>
      <c r="P20" s="46" t="n"/>
      <c r="Q20" s="31" t="n"/>
      <c r="R20" s="39" t="n"/>
      <c r="S20" s="40" t="n"/>
      <c r="T20" s="46" t="n"/>
      <c r="U20" s="35" t="inlineStr">
        <is>
          <t>MASTER</t>
        </is>
      </c>
      <c r="V20" s="174" t="n"/>
      <c r="W20" s="33">
        <f>V20*0.021</f>
        <v/>
      </c>
      <c r="X20" s="49" t="n"/>
      <c r="Y20" s="31" t="inlineStr">
        <is>
          <t>MASTER</t>
        </is>
      </c>
      <c r="Z20" s="174" t="n"/>
      <c r="AA20" s="45">
        <f>Z20*0.021</f>
        <v/>
      </c>
      <c r="AB20" s="46" t="n"/>
      <c r="AC20" s="46" t="n"/>
      <c r="AD20" s="35" t="inlineStr">
        <is>
          <t>MASTER</t>
        </is>
      </c>
      <c r="AE20" s="173" t="n"/>
      <c r="AF20" s="43">
        <f>AE20*0.021</f>
        <v/>
      </c>
      <c r="AG20" s="48" t="n"/>
      <c r="AH20" s="46" t="n"/>
      <c r="AI20" s="60" t="n"/>
      <c r="AJ20" s="39" t="n"/>
      <c r="AK20" s="40" t="n"/>
      <c r="AL20" s="46" t="n"/>
      <c r="AM20" s="46" t="n"/>
      <c r="AN20" s="35" t="inlineStr">
        <is>
          <t>MASTER</t>
        </is>
      </c>
      <c r="AO20" s="174" t="n"/>
      <c r="AP20" s="43">
        <f>AO20*0.021</f>
        <v/>
      </c>
      <c r="AQ20" s="48" t="n"/>
      <c r="AR20" s="46" t="n"/>
      <c r="AS20" s="35" t="inlineStr">
        <is>
          <t>MASTER</t>
        </is>
      </c>
      <c r="AT20" s="174" t="n"/>
      <c r="AU20" s="43">
        <f>AT20*0.021</f>
        <v/>
      </c>
      <c r="AV20" s="48" t="n"/>
      <c r="AW20" s="46" t="n"/>
      <c r="AX20" s="35" t="inlineStr">
        <is>
          <t>MASTER</t>
        </is>
      </c>
      <c r="AY20" s="174" t="n"/>
      <c r="AZ20" s="43">
        <f>AY20*0.021</f>
        <v/>
      </c>
      <c r="BA20" s="48" t="n"/>
    </row>
    <row r="21" ht="27.75" customHeight="1" s="220">
      <c r="A21" s="31" t="inlineStr">
        <is>
          <t>MEDISAVE</t>
        </is>
      </c>
      <c r="B21" s="173" t="n"/>
      <c r="C21" s="33" t="n"/>
      <c r="D21" s="34" t="n"/>
      <c r="E21" s="35" t="inlineStr">
        <is>
          <t>MEDISAVE</t>
        </is>
      </c>
      <c r="F21" s="36" t="n"/>
      <c r="G21" s="33" t="n"/>
      <c r="H21" s="34" t="n"/>
      <c r="I21" s="35" t="inlineStr">
        <is>
          <t>MEDISAVE</t>
        </is>
      </c>
      <c r="J21" s="36" t="n"/>
      <c r="K21" s="33" t="n"/>
      <c r="L21" s="34" t="n"/>
      <c r="M21" s="41" t="inlineStr">
        <is>
          <t>MEDISAVE</t>
        </is>
      </c>
      <c r="N21" s="173" t="n"/>
      <c r="O21" s="33" t="n"/>
      <c r="P21" s="46" t="n"/>
      <c r="Q21" s="31" t="n"/>
      <c r="R21" s="39" t="n"/>
      <c r="S21" s="40" t="n"/>
      <c r="T21" s="46" t="n"/>
      <c r="U21" s="35" t="inlineStr">
        <is>
          <t>MEDISAVE</t>
        </is>
      </c>
      <c r="V21" s="51" t="n"/>
      <c r="W21" s="33" t="n"/>
      <c r="X21" s="49" t="n"/>
      <c r="Y21" s="31" t="inlineStr">
        <is>
          <t>MEDISAVE</t>
        </is>
      </c>
      <c r="Z21" s="36" t="n"/>
      <c r="AA21" s="45" t="n"/>
      <c r="AB21" s="46" t="n"/>
      <c r="AC21" s="46" t="n"/>
      <c r="AD21" s="35" t="inlineStr">
        <is>
          <t>MEDISAVE</t>
        </is>
      </c>
      <c r="AE21" s="173" t="n"/>
      <c r="AF21" s="43" t="n"/>
      <c r="AG21" s="48" t="n"/>
      <c r="AH21" s="46" t="n"/>
      <c r="AI21" s="60" t="n"/>
      <c r="AJ21" s="39" t="n"/>
      <c r="AK21" s="40" t="n"/>
      <c r="AL21" s="46" t="n"/>
      <c r="AM21" s="46" t="n"/>
      <c r="AN21" s="35" t="inlineStr">
        <is>
          <t>MEDISAVE</t>
        </is>
      </c>
      <c r="AO21" s="174" t="n"/>
      <c r="AP21" s="43" t="n"/>
      <c r="AQ21" s="48" t="n"/>
      <c r="AR21" s="46" t="n"/>
      <c r="AS21" s="35" t="inlineStr">
        <is>
          <t>MEDISAVE</t>
        </is>
      </c>
      <c r="AT21" s="174" t="n"/>
      <c r="AU21" s="43" t="n"/>
      <c r="AV21" s="48" t="n"/>
      <c r="AW21" s="46" t="n"/>
      <c r="AX21" s="35" t="inlineStr">
        <is>
          <t>MEDISAVE</t>
        </is>
      </c>
      <c r="AY21" s="173" t="n"/>
      <c r="AZ21" s="43" t="n"/>
      <c r="BA21" s="48" t="n"/>
    </row>
    <row r="22" ht="27.75" customHeight="1" s="220">
      <c r="A22" s="52" t="inlineStr">
        <is>
          <t>mednefits</t>
        </is>
      </c>
      <c r="B22" s="53" t="n"/>
      <c r="C22" s="54">
        <f>B22*20%</f>
        <v/>
      </c>
      <c r="D22" s="34" t="n"/>
      <c r="E22" s="35" t="inlineStr">
        <is>
          <t>mednefits</t>
        </is>
      </c>
      <c r="F22" s="50" t="n"/>
      <c r="G22" s="33">
        <f>F22*20%</f>
        <v/>
      </c>
      <c r="H22" s="34" t="n"/>
      <c r="I22" s="35" t="inlineStr">
        <is>
          <t>mednefits</t>
        </is>
      </c>
      <c r="J22" s="50" t="n"/>
      <c r="K22" s="33">
        <f>J22*20%</f>
        <v/>
      </c>
      <c r="L22" s="34" t="n"/>
      <c r="M22" s="41" t="inlineStr">
        <is>
          <t>mednefits</t>
        </is>
      </c>
      <c r="N22" s="36" t="n"/>
      <c r="O22" s="33">
        <f>N22*20%</f>
        <v/>
      </c>
      <c r="P22" s="46" t="n"/>
      <c r="Q22" s="31" t="n"/>
      <c r="R22" s="39" t="n"/>
      <c r="S22" s="40" t="n"/>
      <c r="T22" s="46" t="n"/>
      <c r="U22" s="35" t="inlineStr">
        <is>
          <t>mednefits</t>
        </is>
      </c>
      <c r="V22" s="51" t="n"/>
      <c r="W22" s="33">
        <f>V22*20%</f>
        <v/>
      </c>
      <c r="X22" s="49" t="n"/>
      <c r="Y22" s="52" t="inlineStr">
        <is>
          <t>mednefits</t>
        </is>
      </c>
      <c r="Z22" s="55" t="n"/>
      <c r="AA22" s="56">
        <f>Z22*20%</f>
        <v/>
      </c>
      <c r="AB22" s="46" t="n"/>
      <c r="AC22" s="46" t="n"/>
      <c r="AD22" s="57" t="inlineStr">
        <is>
          <t>mednefits</t>
        </is>
      </c>
      <c r="AE22" s="58" t="n"/>
      <c r="AF22" s="59">
        <f>AE22*20%</f>
        <v/>
      </c>
      <c r="AG22" s="48" t="n"/>
      <c r="AH22" s="46" t="n"/>
      <c r="AI22" s="60" t="n"/>
      <c r="AJ22" s="39" t="n"/>
      <c r="AK22" s="40" t="n"/>
      <c r="AL22" s="46" t="n"/>
      <c r="AM22" s="46" t="n"/>
      <c r="AN22" s="57" t="inlineStr">
        <is>
          <t>mednefits</t>
        </is>
      </c>
      <c r="AO22" s="58" t="n"/>
      <c r="AP22" s="59">
        <f>AO22*20%</f>
        <v/>
      </c>
      <c r="AQ22" s="48" t="n"/>
      <c r="AR22" s="46" t="n"/>
      <c r="AS22" s="57" t="inlineStr">
        <is>
          <t>mednefits</t>
        </is>
      </c>
      <c r="AT22" s="58" t="n"/>
      <c r="AU22" s="59">
        <f>AT22*20%</f>
        <v/>
      </c>
      <c r="AV22" s="48" t="n"/>
      <c r="AW22" s="46" t="n"/>
      <c r="AX22" s="57" t="inlineStr">
        <is>
          <t>mednefits</t>
        </is>
      </c>
      <c r="AY22" s="58" t="n"/>
      <c r="AZ22" s="59">
        <f>AY22*20%</f>
        <v/>
      </c>
      <c r="BA22" s="48" t="n"/>
    </row>
    <row r="23" ht="27.75" customHeight="1" s="220">
      <c r="A23" s="35" t="inlineStr">
        <is>
          <t>MHC</t>
        </is>
      </c>
      <c r="B23" s="173" t="n"/>
      <c r="C23" s="33">
        <f>B23*0.15*1.09</f>
        <v/>
      </c>
      <c r="D23" s="34" t="n"/>
      <c r="E23" s="35" t="inlineStr">
        <is>
          <t>MHC</t>
        </is>
      </c>
      <c r="F23" s="36" t="n"/>
      <c r="G23" s="33">
        <f>F23*0.15*1.09</f>
        <v/>
      </c>
      <c r="H23" s="34" t="n"/>
      <c r="I23" s="35" t="inlineStr">
        <is>
          <t>MHC</t>
        </is>
      </c>
      <c r="J23" s="36" t="n"/>
      <c r="K23" s="33">
        <f>J23*0.15*1.09</f>
        <v/>
      </c>
      <c r="L23" s="34" t="n"/>
      <c r="M23" s="41" t="inlineStr">
        <is>
          <t>MHC</t>
        </is>
      </c>
      <c r="N23" s="173" t="n"/>
      <c r="O23" s="33">
        <f>N23*0.15*1.09</f>
        <v/>
      </c>
      <c r="P23" s="46" t="n"/>
      <c r="Q23" s="31" t="n"/>
      <c r="R23" s="39" t="n"/>
      <c r="S23" s="40" t="n"/>
      <c r="T23" s="46" t="n"/>
      <c r="U23" s="35" t="inlineStr">
        <is>
          <t>MHC</t>
        </is>
      </c>
      <c r="V23" s="51" t="n"/>
      <c r="W23" s="33">
        <f>V23*0.15*1.09</f>
        <v/>
      </c>
      <c r="X23" s="48" t="n"/>
      <c r="Y23" s="35" t="inlineStr">
        <is>
          <t>MHC</t>
        </is>
      </c>
      <c r="Z23" s="36" t="n"/>
      <c r="AA23" s="33">
        <f>Z23*0.15*1.09</f>
        <v/>
      </c>
      <c r="AB23" s="46" t="n"/>
      <c r="AC23" s="46" t="n"/>
      <c r="AD23" s="35" t="inlineStr">
        <is>
          <t>MHC</t>
        </is>
      </c>
      <c r="AE23" s="173" t="n"/>
      <c r="AF23" s="33">
        <f>AE23*0.15*1.09</f>
        <v/>
      </c>
      <c r="AG23" s="48" t="n"/>
      <c r="AH23" s="46" t="n"/>
      <c r="AI23" s="60" t="n"/>
      <c r="AJ23" s="39" t="n"/>
      <c r="AK23" s="40" t="n"/>
      <c r="AL23" s="46" t="n"/>
      <c r="AM23" s="46" t="n"/>
      <c r="AN23" s="35" t="inlineStr">
        <is>
          <t>MHC</t>
        </is>
      </c>
      <c r="AO23" s="174" t="n"/>
      <c r="AP23" s="33">
        <f>AO23*0.15*1.09</f>
        <v/>
      </c>
      <c r="AQ23" s="48" t="n"/>
      <c r="AR23" s="46" t="n"/>
      <c r="AS23" s="35" t="inlineStr">
        <is>
          <t>MHC</t>
        </is>
      </c>
      <c r="AT23" s="173" t="n"/>
      <c r="AU23" s="33">
        <f>AT23*0.15*1.09</f>
        <v/>
      </c>
      <c r="AV23" s="48" t="n"/>
      <c r="AW23" s="46" t="n"/>
      <c r="AX23" s="35" t="inlineStr">
        <is>
          <t>MHC</t>
        </is>
      </c>
      <c r="AY23" s="173" t="n"/>
      <c r="AZ23" s="33">
        <f>AY23*0.15*1.09</f>
        <v/>
      </c>
      <c r="BA23" s="48" t="n"/>
    </row>
    <row r="24" ht="27.75" customHeight="1" s="220">
      <c r="A24" s="31" t="inlineStr">
        <is>
          <t>NETS</t>
        </is>
      </c>
      <c r="B24" s="172" t="n"/>
      <c r="C24" s="33">
        <f>B24*0.008</f>
        <v/>
      </c>
      <c r="D24" s="34" t="n"/>
      <c r="E24" s="35" t="inlineStr">
        <is>
          <t>NETS</t>
        </is>
      </c>
      <c r="F24" s="36" t="n"/>
      <c r="G24" s="33">
        <f>F24*0.008</f>
        <v/>
      </c>
      <c r="H24" s="34" t="n"/>
      <c r="I24" s="35" t="inlineStr">
        <is>
          <t>NETS</t>
        </is>
      </c>
      <c r="J24" s="36" t="n"/>
      <c r="K24" s="33">
        <f>J24*0.008</f>
        <v/>
      </c>
      <c r="L24" s="34" t="n"/>
      <c r="M24" s="41" t="inlineStr">
        <is>
          <t>NETS</t>
        </is>
      </c>
      <c r="N24" s="173" t="n"/>
      <c r="O24" s="33">
        <f>N24*0.008</f>
        <v/>
      </c>
      <c r="P24" s="46" t="n"/>
      <c r="Q24" s="31" t="n"/>
      <c r="R24" s="39" t="n"/>
      <c r="S24" s="40" t="n"/>
      <c r="T24" s="46" t="n"/>
      <c r="U24" s="35" t="inlineStr">
        <is>
          <t>NETS</t>
        </is>
      </c>
      <c r="V24" s="174" t="n"/>
      <c r="W24" s="33">
        <f>V24*0.008</f>
        <v/>
      </c>
      <c r="X24" s="48" t="n"/>
      <c r="Y24" s="35" t="inlineStr">
        <is>
          <t>NETS</t>
        </is>
      </c>
      <c r="Z24" s="36" t="n"/>
      <c r="AA24" s="33">
        <f>Z24*0.008</f>
        <v/>
      </c>
      <c r="AB24" s="46" t="n"/>
      <c r="AC24" s="46" t="n"/>
      <c r="AD24" s="35" t="inlineStr">
        <is>
          <t>NETS</t>
        </is>
      </c>
      <c r="AE24" s="173" t="n"/>
      <c r="AF24" s="33">
        <f>AE24*0.008</f>
        <v/>
      </c>
      <c r="AG24" s="48" t="n"/>
      <c r="AH24" s="46" t="n"/>
      <c r="AI24" s="60" t="n"/>
      <c r="AJ24" s="39" t="n"/>
      <c r="AK24" s="40" t="n"/>
      <c r="AL24" s="46" t="n"/>
      <c r="AM24" s="46" t="n"/>
      <c r="AN24" s="35" t="inlineStr">
        <is>
          <t>NETS</t>
        </is>
      </c>
      <c r="AO24" s="174" t="n"/>
      <c r="AP24" s="33">
        <f>AO24*0.008</f>
        <v/>
      </c>
      <c r="AQ24" s="48" t="n"/>
      <c r="AR24" s="46" t="n"/>
      <c r="AS24" s="35" t="inlineStr">
        <is>
          <t>NETS</t>
        </is>
      </c>
      <c r="AT24" s="174" t="n"/>
      <c r="AU24" s="33">
        <f>AT24*0.008</f>
        <v/>
      </c>
      <c r="AV24" s="48" t="n"/>
      <c r="AW24" s="46" t="n"/>
      <c r="AX24" s="35" t="inlineStr">
        <is>
          <t>NETS</t>
        </is>
      </c>
      <c r="AY24" s="174" t="n"/>
      <c r="AZ24" s="33">
        <f>AY24*0.008</f>
        <v/>
      </c>
      <c r="BA24" s="48" t="n"/>
    </row>
    <row r="25" ht="27.75" customHeight="1" s="220">
      <c r="A25" s="35" t="inlineStr">
        <is>
          <t>PARKWAY</t>
        </is>
      </c>
      <c r="B25" s="36" t="n"/>
      <c r="C25" s="61">
        <f>B25*10%</f>
        <v/>
      </c>
      <c r="D25" s="34" t="n"/>
      <c r="E25" s="35" t="inlineStr">
        <is>
          <t>PARKWAY</t>
        </is>
      </c>
      <c r="F25" s="36" t="n"/>
      <c r="G25" s="61">
        <f>F25*10%</f>
        <v/>
      </c>
      <c r="H25" s="34" t="n"/>
      <c r="I25" s="35" t="inlineStr">
        <is>
          <t>PARKWAY</t>
        </is>
      </c>
      <c r="J25" s="36" t="n"/>
      <c r="K25" s="61">
        <f>J25*10%</f>
        <v/>
      </c>
      <c r="L25" s="34" t="n"/>
      <c r="M25" s="41" t="inlineStr">
        <is>
          <t>PARKWAY</t>
        </is>
      </c>
      <c r="N25" s="36" t="n"/>
      <c r="O25" s="61">
        <f>N25*10%</f>
        <v/>
      </c>
      <c r="P25" s="46" t="n"/>
      <c r="Q25" s="31" t="n"/>
      <c r="R25" s="39" t="n"/>
      <c r="S25" s="40" t="n"/>
      <c r="T25" s="46" t="n"/>
      <c r="U25" s="35" t="inlineStr">
        <is>
          <t>PARKWAY</t>
        </is>
      </c>
      <c r="V25" s="36" t="n"/>
      <c r="W25" s="61">
        <f>V25*10%</f>
        <v/>
      </c>
      <c r="X25" s="48" t="n"/>
      <c r="Y25" s="35" t="inlineStr">
        <is>
          <t>PARKWAY</t>
        </is>
      </c>
      <c r="Z25" s="36" t="n"/>
      <c r="AA25" s="33">
        <f>Z25*10%</f>
        <v/>
      </c>
      <c r="AB25" s="46" t="n"/>
      <c r="AC25" s="46" t="n"/>
      <c r="AD25" s="35" t="inlineStr">
        <is>
          <t>PARKWAY</t>
        </is>
      </c>
      <c r="AE25" s="36" t="n"/>
      <c r="AF25" s="33">
        <f>AE25*10%</f>
        <v/>
      </c>
      <c r="AG25" s="48" t="n"/>
      <c r="AH25" s="46" t="n"/>
      <c r="AI25" s="60" t="n"/>
      <c r="AJ25" s="39" t="n"/>
      <c r="AK25" s="40" t="n"/>
      <c r="AL25" s="46" t="n"/>
      <c r="AM25" s="46" t="n"/>
      <c r="AN25" s="35" t="inlineStr">
        <is>
          <t>PARKWAY</t>
        </is>
      </c>
      <c r="AO25" s="36" t="n"/>
      <c r="AP25" s="33">
        <f>AO25*10%</f>
        <v/>
      </c>
      <c r="AQ25" s="48" t="n"/>
      <c r="AR25" s="46" t="n"/>
      <c r="AS25" s="35" t="inlineStr">
        <is>
          <t>PARKWAY</t>
        </is>
      </c>
      <c r="AT25" s="36" t="n"/>
      <c r="AU25" s="33">
        <f>AT25*10%</f>
        <v/>
      </c>
      <c r="AV25" s="48" t="n"/>
      <c r="AW25" s="46" t="n"/>
      <c r="AX25" s="35" t="inlineStr">
        <is>
          <t>PARKWAY</t>
        </is>
      </c>
      <c r="AY25" s="36" t="n"/>
      <c r="AZ25" s="33">
        <f>AY25*10%</f>
        <v/>
      </c>
      <c r="BA25" s="48" t="n"/>
    </row>
    <row r="26" ht="27.75" customHeight="1" s="220">
      <c r="A26" s="31" t="inlineStr">
        <is>
          <t>PAYNOW</t>
        </is>
      </c>
      <c r="B26" s="173" t="n"/>
      <c r="C26" s="33" t="n"/>
      <c r="D26" s="34" t="n"/>
      <c r="E26" s="35" t="inlineStr">
        <is>
          <t>PAYNOW</t>
        </is>
      </c>
      <c r="F26" s="36" t="n"/>
      <c r="G26" s="33" t="n"/>
      <c r="H26" s="34" t="n"/>
      <c r="I26" s="35" t="inlineStr">
        <is>
          <t>PAYNOW</t>
        </is>
      </c>
      <c r="J26" s="36" t="n"/>
      <c r="K26" s="33" t="n"/>
      <c r="L26" s="34" t="n"/>
      <c r="M26" s="41" t="inlineStr">
        <is>
          <t>PAYNOW</t>
        </is>
      </c>
      <c r="N26" s="36" t="n"/>
      <c r="O26" s="33" t="n"/>
      <c r="P26" s="46" t="n"/>
      <c r="Q26" s="31" t="n"/>
      <c r="R26" s="39" t="n"/>
      <c r="S26" s="40" t="n"/>
      <c r="T26" s="46" t="n"/>
      <c r="U26" s="35" t="inlineStr">
        <is>
          <t>PAYNOW</t>
        </is>
      </c>
      <c r="V26" s="50" t="n"/>
      <c r="W26" s="33" t="n"/>
      <c r="X26" s="48" t="n"/>
      <c r="Y26" s="35" t="inlineStr">
        <is>
          <t>PAYNOW</t>
        </is>
      </c>
      <c r="Z26" s="36" t="n"/>
      <c r="AA26" s="33" t="n"/>
      <c r="AB26" s="46" t="n"/>
      <c r="AC26" s="46" t="n"/>
      <c r="AD26" s="35" t="inlineStr">
        <is>
          <t>PAYNOW</t>
        </is>
      </c>
      <c r="AE26" s="36" t="n"/>
      <c r="AF26" s="33" t="n"/>
      <c r="AG26" s="48" t="n"/>
      <c r="AH26" s="46" t="n"/>
      <c r="AI26" s="60" t="n"/>
      <c r="AJ26" s="39" t="n"/>
      <c r="AK26" s="40" t="n"/>
      <c r="AL26" s="46" t="n"/>
      <c r="AM26" s="46" t="n"/>
      <c r="AN26" s="35" t="inlineStr">
        <is>
          <t>PAYNOW</t>
        </is>
      </c>
      <c r="AO26" s="36" t="n"/>
      <c r="AP26" s="33" t="n"/>
      <c r="AQ26" s="48" t="n"/>
      <c r="AR26" s="46" t="n"/>
      <c r="AS26" s="35" t="inlineStr">
        <is>
          <t>PAYNOW</t>
        </is>
      </c>
      <c r="AT26" s="36" t="n"/>
      <c r="AU26" s="33" t="n"/>
      <c r="AV26" s="48" t="n"/>
      <c r="AW26" s="46" t="n"/>
      <c r="AX26" s="35" t="inlineStr">
        <is>
          <t>PAYNOW</t>
        </is>
      </c>
      <c r="AY26" s="36" t="n"/>
      <c r="AZ26" s="33" t="n"/>
      <c r="BA26" s="48" t="n"/>
    </row>
    <row r="27" ht="27.75" customHeight="1" s="220">
      <c r="A27" s="63" t="inlineStr">
        <is>
          <t>RHI</t>
        </is>
      </c>
      <c r="B27" s="173" t="n"/>
      <c r="C27" s="65" t="n"/>
      <c r="D27" s="34" t="n"/>
      <c r="E27" s="35" t="inlineStr">
        <is>
          <t>RHI</t>
        </is>
      </c>
      <c r="F27" s="36" t="n"/>
      <c r="G27" s="33" t="n"/>
      <c r="H27" s="34" t="n"/>
      <c r="I27" s="35" t="inlineStr">
        <is>
          <t>RHI</t>
        </is>
      </c>
      <c r="J27" s="36" t="n"/>
      <c r="K27" s="33" t="n"/>
      <c r="L27" s="34" t="n"/>
      <c r="M27" s="41" t="inlineStr">
        <is>
          <t>RHI</t>
        </is>
      </c>
      <c r="N27" s="173" t="n"/>
      <c r="O27" s="33" t="n"/>
      <c r="P27" s="46" t="n"/>
      <c r="Q27" s="31" t="n"/>
      <c r="R27" s="39" t="n"/>
      <c r="S27" s="40" t="n"/>
      <c r="T27" s="46" t="n"/>
      <c r="U27" s="35" t="inlineStr">
        <is>
          <t>RHI</t>
        </is>
      </c>
      <c r="V27" s="51" t="n"/>
      <c r="W27" s="33" t="n"/>
      <c r="X27" s="48" t="n"/>
      <c r="Y27" s="35" t="inlineStr">
        <is>
          <t>RHI</t>
        </is>
      </c>
      <c r="Z27" s="36" t="n"/>
      <c r="AA27" s="33" t="n"/>
      <c r="AB27" s="46" t="n"/>
      <c r="AC27" s="46" t="n"/>
      <c r="AD27" s="35" t="inlineStr">
        <is>
          <t>RHI</t>
        </is>
      </c>
      <c r="AE27" s="36" t="n"/>
      <c r="AF27" s="33" t="n"/>
      <c r="AG27" s="48" t="n"/>
      <c r="AH27" s="46" t="n"/>
      <c r="AI27" s="60" t="n"/>
      <c r="AJ27" s="39" t="n"/>
      <c r="AK27" s="40" t="n"/>
      <c r="AL27" s="46" t="n"/>
      <c r="AM27" s="46" t="n"/>
      <c r="AN27" s="35" t="inlineStr">
        <is>
          <t>RHI</t>
        </is>
      </c>
      <c r="AO27" s="36" t="n"/>
      <c r="AP27" s="33" t="n"/>
      <c r="AQ27" s="48" t="n"/>
      <c r="AR27" s="46" t="n"/>
      <c r="AS27" s="35" t="inlineStr">
        <is>
          <t>RHI</t>
        </is>
      </c>
      <c r="AT27" s="36" t="n"/>
      <c r="AU27" s="33" t="n"/>
      <c r="AV27" s="48" t="n"/>
      <c r="AW27" s="46" t="n"/>
      <c r="AX27" s="35" t="inlineStr">
        <is>
          <t>RHI</t>
        </is>
      </c>
      <c r="AY27" s="36" t="n"/>
      <c r="AZ27" s="33" t="n"/>
      <c r="BA27" s="48" t="n"/>
    </row>
    <row r="28" ht="27.75" customHeight="1" s="220">
      <c r="A28" s="35" t="inlineStr">
        <is>
          <t>SAH</t>
        </is>
      </c>
      <c r="B28" s="36" t="n"/>
      <c r="C28" s="61">
        <f>B28*8%</f>
        <v/>
      </c>
      <c r="D28" s="34" t="n"/>
      <c r="E28" s="35" t="inlineStr">
        <is>
          <t>SAH</t>
        </is>
      </c>
      <c r="F28" s="36" t="n"/>
      <c r="G28" s="61">
        <f>F28*8%</f>
        <v/>
      </c>
      <c r="H28" s="34" t="n"/>
      <c r="I28" s="35" t="inlineStr">
        <is>
          <t>SAH</t>
        </is>
      </c>
      <c r="J28" s="36" t="n"/>
      <c r="K28" s="61">
        <f>J28*8%</f>
        <v/>
      </c>
      <c r="L28" s="34" t="n"/>
      <c r="M28" s="41" t="inlineStr">
        <is>
          <t>SAH</t>
        </is>
      </c>
      <c r="N28" s="36" t="n"/>
      <c r="O28" s="61">
        <f>N28*8%</f>
        <v/>
      </c>
      <c r="P28" s="46" t="n"/>
      <c r="Q28" s="31" t="n"/>
      <c r="R28" s="39" t="n"/>
      <c r="S28" s="40" t="n"/>
      <c r="T28" s="46" t="n"/>
      <c r="U28" s="35" t="inlineStr">
        <is>
          <t>SAH</t>
        </is>
      </c>
      <c r="V28" s="36" t="n"/>
      <c r="W28" s="61">
        <f>V28*8%</f>
        <v/>
      </c>
      <c r="X28" s="48" t="n"/>
      <c r="Y28" s="35" t="inlineStr">
        <is>
          <t>SAH</t>
        </is>
      </c>
      <c r="Z28" s="36" t="n"/>
      <c r="AA28" s="61">
        <f>Z28*8%</f>
        <v/>
      </c>
      <c r="AB28" s="46" t="n"/>
      <c r="AC28" s="46" t="n"/>
      <c r="AD28" s="35" t="inlineStr">
        <is>
          <t>SAH</t>
        </is>
      </c>
      <c r="AE28" s="36" t="n"/>
      <c r="AF28" s="61">
        <f>AE28*8%</f>
        <v/>
      </c>
      <c r="AG28" s="48" t="n"/>
      <c r="AH28" s="46" t="n"/>
      <c r="AI28" s="60" t="n"/>
      <c r="AJ28" s="39" t="n"/>
      <c r="AK28" s="40" t="n"/>
      <c r="AL28" s="46" t="n"/>
      <c r="AM28" s="46" t="n"/>
      <c r="AN28" s="35" t="inlineStr">
        <is>
          <t>SAH</t>
        </is>
      </c>
      <c r="AO28" s="36" t="n"/>
      <c r="AP28" s="61">
        <f>AO28*8%</f>
        <v/>
      </c>
      <c r="AQ28" s="48" t="n"/>
      <c r="AR28" s="46" t="n"/>
      <c r="AS28" s="35" t="inlineStr">
        <is>
          <t>SAH</t>
        </is>
      </c>
      <c r="AT28" s="36" t="n"/>
      <c r="AU28" s="61">
        <f>AT28*8%</f>
        <v/>
      </c>
      <c r="AV28" s="48" t="n"/>
      <c r="AW28" s="46" t="n"/>
      <c r="AX28" s="35" t="inlineStr">
        <is>
          <t>SAH</t>
        </is>
      </c>
      <c r="AY28" s="36" t="n"/>
      <c r="AZ28" s="61">
        <f>AY28*8%</f>
        <v/>
      </c>
      <c r="BA28" s="48" t="n"/>
    </row>
    <row r="29" ht="27.75" customHeight="1" s="220">
      <c r="A29" s="52" t="inlineStr">
        <is>
          <t>UNION PAY</t>
        </is>
      </c>
      <c r="B29" s="53" t="n"/>
      <c r="C29" s="54">
        <f>B29*2.5%</f>
        <v/>
      </c>
      <c r="D29" s="34" t="n"/>
      <c r="E29" s="35" t="inlineStr">
        <is>
          <t>UNION PAY</t>
        </is>
      </c>
      <c r="F29" s="36" t="n"/>
      <c r="G29" s="33">
        <f>F29*2.5%</f>
        <v/>
      </c>
      <c r="H29" s="34" t="n"/>
      <c r="I29" s="35" t="inlineStr">
        <is>
          <t>UNION PAY</t>
        </is>
      </c>
      <c r="J29" s="36" t="n"/>
      <c r="K29" s="33">
        <f>J29*2.5%</f>
        <v/>
      </c>
      <c r="L29" s="34" t="n"/>
      <c r="M29" s="41" t="inlineStr">
        <is>
          <t>UNION PAY</t>
        </is>
      </c>
      <c r="N29" s="36" t="n"/>
      <c r="O29" s="33">
        <f>N29*2.5%</f>
        <v/>
      </c>
      <c r="P29" s="46" t="n"/>
      <c r="Q29" s="31" t="n"/>
      <c r="R29" s="39" t="n"/>
      <c r="S29" s="40" t="n"/>
      <c r="T29" s="46" t="n"/>
      <c r="U29" s="35" t="inlineStr">
        <is>
          <t>UNION PAY</t>
        </is>
      </c>
      <c r="V29" s="36" t="n"/>
      <c r="W29" s="33">
        <f>V29*2.5%</f>
        <v/>
      </c>
      <c r="X29" s="48" t="n"/>
      <c r="Y29" s="35" t="inlineStr">
        <is>
          <t>UNION PAY</t>
        </is>
      </c>
      <c r="Z29" s="36" t="n"/>
      <c r="AA29" s="33">
        <f>Z29*2.5%</f>
        <v/>
      </c>
      <c r="AB29" s="46" t="n"/>
      <c r="AC29" s="46" t="n"/>
      <c r="AD29" s="35" t="inlineStr">
        <is>
          <t>UNION PAY</t>
        </is>
      </c>
      <c r="AE29" s="36" t="n"/>
      <c r="AF29" s="33">
        <f>AE29*2.5%</f>
        <v/>
      </c>
      <c r="AG29" s="48" t="n"/>
      <c r="AH29" s="46" t="n"/>
      <c r="AI29" s="60" t="n"/>
      <c r="AJ29" s="39" t="n"/>
      <c r="AK29" s="40" t="n"/>
      <c r="AL29" s="46" t="n"/>
      <c r="AM29" s="46" t="n"/>
      <c r="AN29" s="35" t="inlineStr">
        <is>
          <t>UNION PAY</t>
        </is>
      </c>
      <c r="AO29" s="36" t="n"/>
      <c r="AP29" s="33">
        <f>AO29*2.5%</f>
        <v/>
      </c>
      <c r="AQ29" s="48" t="n"/>
      <c r="AR29" s="46" t="n"/>
      <c r="AS29" s="35" t="inlineStr">
        <is>
          <t>UNION PAY</t>
        </is>
      </c>
      <c r="AT29" s="36" t="n"/>
      <c r="AU29" s="33">
        <f>AT29*2.5%</f>
        <v/>
      </c>
      <c r="AV29" s="48" t="n"/>
      <c r="AW29" s="46" t="n"/>
      <c r="AX29" s="35" t="inlineStr">
        <is>
          <t>UNION PAY</t>
        </is>
      </c>
      <c r="AY29" s="36" t="n"/>
      <c r="AZ29" s="33">
        <f>AY29*2.5%</f>
        <v/>
      </c>
      <c r="BA29" s="48" t="n"/>
    </row>
    <row r="30" ht="28.5" customHeight="1" s="220">
      <c r="A30" s="66" t="inlineStr">
        <is>
          <t>VISA</t>
        </is>
      </c>
      <c r="B30" s="177" t="n"/>
      <c r="C30" s="68">
        <f>B30*0.021</f>
        <v/>
      </c>
      <c r="D30" s="34" t="n"/>
      <c r="E30" s="69" t="inlineStr">
        <is>
          <t>VISA</t>
        </is>
      </c>
      <c r="F30" s="70" t="n"/>
      <c r="G30" s="68">
        <f>F30*0.021</f>
        <v/>
      </c>
      <c r="H30" s="34" t="n"/>
      <c r="I30" s="69" t="inlineStr">
        <is>
          <t>VISA</t>
        </is>
      </c>
      <c r="J30" s="70" t="n"/>
      <c r="K30" s="68">
        <f>J30*0.021</f>
        <v/>
      </c>
      <c r="L30" s="34" t="n"/>
      <c r="M30" s="178" t="inlineStr">
        <is>
          <t>VISA</t>
        </is>
      </c>
      <c r="N30" s="36" t="n"/>
      <c r="O30" s="68">
        <f>N30*0.021</f>
        <v/>
      </c>
      <c r="P30" s="46" t="n"/>
      <c r="Q30" s="31" t="n"/>
      <c r="R30" s="39" t="n"/>
      <c r="S30" s="40" t="n"/>
      <c r="T30" s="46" t="n"/>
      <c r="U30" s="69" t="inlineStr">
        <is>
          <t>VISA</t>
        </is>
      </c>
      <c r="V30" s="70" t="n"/>
      <c r="W30" s="68">
        <f>V30*0.021</f>
        <v/>
      </c>
      <c r="X30" s="48" t="n"/>
      <c r="Y30" s="69" t="inlineStr">
        <is>
          <t>VISA</t>
        </is>
      </c>
      <c r="Z30" s="70" t="n"/>
      <c r="AA30" s="68">
        <f>Z30*0.021</f>
        <v/>
      </c>
      <c r="AB30" s="46" t="n"/>
      <c r="AC30" s="46" t="n"/>
      <c r="AD30" s="69" t="inlineStr">
        <is>
          <t>VISA</t>
        </is>
      </c>
      <c r="AE30" s="70" t="n"/>
      <c r="AF30" s="68">
        <f>AE30*0.021</f>
        <v/>
      </c>
      <c r="AG30" s="48" t="n"/>
      <c r="AH30" s="46" t="n"/>
      <c r="AI30" s="60" t="n"/>
      <c r="AJ30" s="39" t="n"/>
      <c r="AK30" s="40" t="n"/>
      <c r="AL30" s="46" t="n"/>
      <c r="AM30" s="46" t="n"/>
      <c r="AN30" s="69" t="inlineStr">
        <is>
          <t>VISA</t>
        </is>
      </c>
      <c r="AO30" s="70" t="n"/>
      <c r="AP30" s="68">
        <f>AO30*0.021</f>
        <v/>
      </c>
      <c r="AQ30" s="48" t="n"/>
      <c r="AR30" s="46" t="n"/>
      <c r="AS30" s="69" t="inlineStr">
        <is>
          <t>VISA</t>
        </is>
      </c>
      <c r="AT30" s="70" t="n"/>
      <c r="AU30" s="68">
        <f>AT30*0.021</f>
        <v/>
      </c>
      <c r="AV30" s="48" t="n"/>
      <c r="AW30" s="46" t="n"/>
      <c r="AX30" s="69" t="inlineStr">
        <is>
          <t>VISA</t>
        </is>
      </c>
      <c r="AY30" s="70" t="n"/>
      <c r="AZ30" s="68">
        <f>AY30*0.021</f>
        <v/>
      </c>
      <c r="BA30" s="48" t="n"/>
    </row>
    <row r="31" ht="32.25" customHeight="1" s="220">
      <c r="A31" s="72" t="inlineStr">
        <is>
          <t>TOTAL INCOME</t>
        </is>
      </c>
      <c r="B31" s="73">
        <f>SUM(B7:B30)</f>
        <v/>
      </c>
      <c r="C31" s="74">
        <f>SUM(C7:C30)</f>
        <v/>
      </c>
      <c r="D31" s="34" t="n"/>
      <c r="E31" s="75" t="inlineStr">
        <is>
          <t>DR TOTAL INCOME</t>
        </is>
      </c>
      <c r="F31" s="75">
        <f>SUM(F7:F30)</f>
        <v/>
      </c>
      <c r="G31" s="76">
        <f>SUM(G7:G30)</f>
        <v/>
      </c>
      <c r="H31" s="34" t="n"/>
      <c r="I31" s="77" t="inlineStr">
        <is>
          <t>DR TOTAL INCOME</t>
        </is>
      </c>
      <c r="J31" s="78">
        <f>SUM(J7:J30)</f>
        <v/>
      </c>
      <c r="K31" s="79">
        <f>SUM(K7:K30)</f>
        <v/>
      </c>
      <c r="L31" s="34" t="n"/>
      <c r="M31" s="77" t="inlineStr">
        <is>
          <t>DR TOTAL INCOME</t>
        </is>
      </c>
      <c r="N31" s="78">
        <f>SUM(N7:N30)</f>
        <v/>
      </c>
      <c r="O31" s="80">
        <f>SUM(O7:O30)</f>
        <v/>
      </c>
      <c r="P31" s="46" t="n"/>
      <c r="Q31" s="31" t="n"/>
      <c r="R31" s="39" t="n"/>
      <c r="S31" s="40" t="n"/>
      <c r="T31" s="46" t="n"/>
      <c r="U31" s="75" t="inlineStr">
        <is>
          <t>DR TOTAL INCOME</t>
        </is>
      </c>
      <c r="V31" s="81">
        <f>SUM(V7:V30)</f>
        <v/>
      </c>
      <c r="W31" s="82">
        <f>SUM(W7:W30)</f>
        <v/>
      </c>
      <c r="X31" s="49" t="n"/>
      <c r="Y31" s="77" t="inlineStr">
        <is>
          <t>DR TOTAL INCOME</t>
        </is>
      </c>
      <c r="Z31" s="83">
        <f>SUM(Z7:Z30)</f>
        <v/>
      </c>
      <c r="AA31" s="79">
        <f>SUM(AA7:AA30)</f>
        <v/>
      </c>
      <c r="AB31" s="46" t="n"/>
      <c r="AC31" s="46" t="n"/>
      <c r="AD31" s="84" t="inlineStr">
        <is>
          <t>DR TOTAL INCOME</t>
        </is>
      </c>
      <c r="AE31" s="85">
        <f>SUM(AE7:AE30)</f>
        <v/>
      </c>
      <c r="AF31" s="82">
        <f>SUM(AF7:AF30)</f>
        <v/>
      </c>
      <c r="AG31" s="48" t="n"/>
      <c r="AH31" s="46" t="n"/>
      <c r="AI31" s="60" t="n"/>
      <c r="AJ31" s="39" t="n"/>
      <c r="AK31" s="40" t="n"/>
      <c r="AL31" s="46" t="n"/>
      <c r="AM31" s="46" t="n"/>
      <c r="AN31" s="84" t="inlineStr">
        <is>
          <t>DR TOTAL INCOME</t>
        </is>
      </c>
      <c r="AO31" s="85">
        <f>SUM(AO7:AO30)</f>
        <v/>
      </c>
      <c r="AP31" s="82">
        <f>SUM(AP7:AP30)</f>
        <v/>
      </c>
      <c r="AQ31" s="48" t="n"/>
      <c r="AR31" s="46" t="n"/>
      <c r="AS31" s="84" t="inlineStr">
        <is>
          <t>DR TOTAL INCOME</t>
        </is>
      </c>
      <c r="AT31" s="85">
        <f>SUM(AT7:AT30)</f>
        <v/>
      </c>
      <c r="AU31" s="82">
        <f>SUM(AU7:AU30)</f>
        <v/>
      </c>
      <c r="AV31" s="48" t="n"/>
      <c r="AW31" s="46" t="n"/>
      <c r="AX31" s="84" t="inlineStr">
        <is>
          <t>DR TOTAL INCOME</t>
        </is>
      </c>
      <c r="AY31" s="85">
        <f>SUM(AY7:AY30)</f>
        <v/>
      </c>
      <c r="AZ31" s="82">
        <f>SUM(AZ7:AZ30)</f>
        <v/>
      </c>
      <c r="BA31" s="48" t="n"/>
    </row>
    <row r="32" ht="29.25" customHeight="1" s="220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31" t="n"/>
      <c r="R32" s="39" t="n"/>
      <c r="S32" s="40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8" t="n"/>
      <c r="AH32" s="46" t="n"/>
      <c r="AI32" s="60" t="n"/>
      <c r="AJ32" s="39" t="n"/>
      <c r="AK32" s="40" t="n"/>
      <c r="AL32" s="46" t="n"/>
      <c r="AM32" s="46" t="n"/>
      <c r="AN32" s="46" t="n"/>
      <c r="AO32" s="46" t="n"/>
      <c r="AP32" s="46" t="n"/>
      <c r="AQ32" s="48" t="n"/>
      <c r="AR32" s="46" t="n"/>
      <c r="AS32" s="46" t="n"/>
      <c r="AT32" s="46" t="n"/>
      <c r="AU32" s="46" t="n"/>
      <c r="AV32" s="48" t="n"/>
      <c r="AW32" s="46" t="n"/>
      <c r="AX32" s="46" t="n"/>
      <c r="AY32" s="46" t="n"/>
      <c r="AZ32" s="46" t="n"/>
      <c r="BA32" s="48" t="n"/>
    </row>
    <row r="33" ht="23.25" customHeight="1" s="220">
      <c r="A33" s="86" t="n"/>
      <c r="B33" s="230" t="inlineStr">
        <is>
          <t>EXPENSES</t>
        </is>
      </c>
      <c r="C33" s="231" t="n"/>
      <c r="D33" s="86" t="n"/>
      <c r="E33" s="86" t="n"/>
      <c r="F33" s="232" t="inlineStr">
        <is>
          <t>DEDUCTIONS</t>
        </is>
      </c>
      <c r="G33" s="222" t="n"/>
      <c r="H33" s="90" t="inlineStr">
        <is>
          <t>REMARKS</t>
        </is>
      </c>
      <c r="I33" s="86" t="n"/>
      <c r="J33" s="230" t="inlineStr">
        <is>
          <t>DEDUCTIONS</t>
        </is>
      </c>
      <c r="K33" s="231" t="n"/>
      <c r="L33" s="90" t="inlineStr">
        <is>
          <t>REMARKS</t>
        </is>
      </c>
      <c r="M33" s="86" t="n"/>
      <c r="N33" s="230" t="inlineStr">
        <is>
          <t>DEDUCTIONS</t>
        </is>
      </c>
      <c r="O33" s="231" t="n"/>
      <c r="P33" s="90" t="inlineStr">
        <is>
          <t>REMARKS</t>
        </is>
      </c>
      <c r="Q33" s="86" t="n"/>
      <c r="R33" s="232" t="inlineStr">
        <is>
          <t>DEDUCTIONS</t>
        </is>
      </c>
      <c r="S33" s="222" t="n"/>
      <c r="T33" s="90" t="inlineStr">
        <is>
          <t>REMARKS</t>
        </is>
      </c>
      <c r="U33" s="86" t="n"/>
      <c r="V33" s="230" t="inlineStr">
        <is>
          <t>DEDUCTIONS</t>
        </is>
      </c>
      <c r="W33" s="231" t="n"/>
      <c r="X33" s="90" t="inlineStr">
        <is>
          <t>REMARKS</t>
        </is>
      </c>
      <c r="Y33" s="86" t="n"/>
      <c r="Z33" s="230" t="inlineStr">
        <is>
          <t>DEDUCTIONS</t>
        </is>
      </c>
      <c r="AA33" s="231" t="n"/>
      <c r="AB33" s="90" t="inlineStr">
        <is>
          <t>REMARKS</t>
        </is>
      </c>
      <c r="AC33" s="86" t="n"/>
      <c r="AD33" s="86" t="n"/>
      <c r="AE33" s="230" t="inlineStr">
        <is>
          <t>DEDUCTIONS</t>
        </is>
      </c>
      <c r="AF33" s="231" t="n"/>
      <c r="AG33" s="90" t="inlineStr">
        <is>
          <t>REMARKS</t>
        </is>
      </c>
      <c r="AH33" s="86" t="n"/>
      <c r="AI33" s="86" t="n"/>
      <c r="AJ33" s="232" t="inlineStr">
        <is>
          <t>DEDUCTIONS</t>
        </is>
      </c>
      <c r="AK33" s="222" t="n"/>
      <c r="AL33" s="90" t="inlineStr">
        <is>
          <t>REMARKS</t>
        </is>
      </c>
      <c r="AM33" s="86" t="n"/>
      <c r="AN33" s="86" t="n"/>
      <c r="AO33" s="230" t="inlineStr">
        <is>
          <t>DEDUCTIONS</t>
        </is>
      </c>
      <c r="AP33" s="231" t="n"/>
      <c r="AQ33" s="90" t="inlineStr">
        <is>
          <t>REMARKS</t>
        </is>
      </c>
      <c r="AR33" s="86" t="n"/>
      <c r="AS33" s="86" t="n"/>
      <c r="AT33" s="230" t="inlineStr">
        <is>
          <t>DEDUCTIONS</t>
        </is>
      </c>
      <c r="AU33" s="231" t="n"/>
      <c r="AV33" s="90" t="inlineStr">
        <is>
          <t>REMARKS</t>
        </is>
      </c>
      <c r="AW33" s="86" t="n"/>
      <c r="AX33" s="86" t="n"/>
      <c r="AY33" s="230" t="inlineStr">
        <is>
          <t>DEDUCTIONS</t>
        </is>
      </c>
      <c r="AZ33" s="231" t="n"/>
      <c r="BA33" s="90" t="inlineStr">
        <is>
          <t>REMARKS</t>
        </is>
      </c>
    </row>
    <row r="34" ht="30.75" customHeight="1" s="220">
      <c r="A34" s="1" t="n"/>
      <c r="B34" s="96" t="inlineStr">
        <is>
          <t>ADMIN FEE</t>
        </is>
      </c>
      <c r="C34" s="97">
        <f>SUM(C7:C30)</f>
        <v/>
      </c>
      <c r="D34" s="1" t="n"/>
      <c r="E34" s="1" t="n"/>
      <c r="F34" s="31" t="inlineStr">
        <is>
          <t>ADMIN CHARGES</t>
        </is>
      </c>
      <c r="G34" s="93">
        <f>G31</f>
        <v/>
      </c>
      <c r="H34" s="90" t="n"/>
      <c r="I34" s="1" t="n"/>
      <c r="J34" s="35" t="inlineStr">
        <is>
          <t>ADMIN CHARGES</t>
        </is>
      </c>
      <c r="K34" s="94">
        <f>K31</f>
        <v/>
      </c>
      <c r="L34" s="90" t="n"/>
      <c r="M34" s="1" t="n"/>
      <c r="N34" s="35" t="inlineStr">
        <is>
          <t>ADMIN CHARGES</t>
        </is>
      </c>
      <c r="O34" s="94">
        <f>O31</f>
        <v/>
      </c>
      <c r="P34" s="90" t="n"/>
      <c r="Q34" s="1" t="n"/>
      <c r="R34" s="31" t="inlineStr">
        <is>
          <t>ADMIN CHARGES</t>
        </is>
      </c>
      <c r="S34" s="93">
        <f>#REF!</f>
        <v/>
      </c>
      <c r="T34" s="90" t="n"/>
      <c r="U34" s="1" t="n"/>
      <c r="V34" s="35" t="inlineStr">
        <is>
          <t>ADMIN CHARGES</t>
        </is>
      </c>
      <c r="W34" s="94">
        <f>W31</f>
        <v/>
      </c>
      <c r="X34" s="90" t="n"/>
      <c r="Y34" s="1" t="n"/>
      <c r="Z34" s="35" t="inlineStr">
        <is>
          <t>ADMIN CHARGES</t>
        </is>
      </c>
      <c r="AA34" s="94">
        <f>AA31</f>
        <v/>
      </c>
      <c r="AB34" s="90" t="n"/>
      <c r="AC34" s="1" t="n"/>
      <c r="AD34" s="1" t="n"/>
      <c r="AE34" s="35" t="inlineStr">
        <is>
          <t>ADMIN CHARGES</t>
        </is>
      </c>
      <c r="AF34" s="94">
        <f>AF31</f>
        <v/>
      </c>
      <c r="AG34" s="90" t="n"/>
      <c r="AH34" s="1" t="n"/>
      <c r="AI34" s="1" t="n"/>
      <c r="AJ34" s="31" t="inlineStr">
        <is>
          <t>ADMIN CHARGES</t>
        </is>
      </c>
      <c r="AK34" s="93">
        <f>#REF!</f>
        <v/>
      </c>
      <c r="AL34" s="90" t="n"/>
      <c r="AM34" s="1" t="n"/>
      <c r="AN34" s="1" t="n"/>
      <c r="AO34" s="35" t="inlineStr">
        <is>
          <t>ADMIN CHARGES</t>
        </is>
      </c>
      <c r="AP34" s="94">
        <f>AP31</f>
        <v/>
      </c>
      <c r="AQ34" s="90" t="n"/>
      <c r="AR34" s="1" t="n"/>
      <c r="AS34" s="1" t="n"/>
      <c r="AT34" s="35" t="inlineStr">
        <is>
          <t>ADMIN CHARGES</t>
        </is>
      </c>
      <c r="AU34" s="94">
        <f>AU31</f>
        <v/>
      </c>
      <c r="AV34" s="90" t="n"/>
      <c r="AW34" s="1" t="n"/>
      <c r="AX34" s="1" t="n"/>
      <c r="AY34" s="35" t="inlineStr">
        <is>
          <t>ADMIN CHARGES</t>
        </is>
      </c>
      <c r="AZ34" s="94">
        <f>AZ31</f>
        <v/>
      </c>
      <c r="BA34" s="90" t="n"/>
    </row>
    <row r="35" ht="30.75" customHeight="1" s="220">
      <c r="A35" s="1" t="n"/>
      <c r="B35" s="96" t="inlineStr">
        <is>
          <t>GST</t>
        </is>
      </c>
      <c r="C35" s="179">
        <f>K35+O35+AA35+AF35+AM35+AP35+T35+W35+AU35+AZ35</f>
        <v/>
      </c>
      <c r="D35" s="1" t="n"/>
      <c r="E35" s="1" t="n"/>
      <c r="F35" s="31" t="inlineStr">
        <is>
          <t>GST</t>
        </is>
      </c>
      <c r="G35" s="100" t="n"/>
      <c r="H35" s="90" t="n"/>
      <c r="I35" s="1" t="n"/>
      <c r="J35" s="35" t="inlineStr">
        <is>
          <t>GST</t>
        </is>
      </c>
      <c r="K35" s="51" t="n"/>
      <c r="L35" s="90" t="n"/>
      <c r="M35" s="1" t="n"/>
      <c r="N35" s="35" t="inlineStr">
        <is>
          <t>GST</t>
        </is>
      </c>
      <c r="O35" s="51" t="n"/>
      <c r="P35" s="90" t="n"/>
      <c r="Q35" s="1" t="n"/>
      <c r="R35" s="31" t="inlineStr">
        <is>
          <t>GST</t>
        </is>
      </c>
      <c r="S35" s="100" t="n"/>
      <c r="T35" s="90" t="n"/>
      <c r="U35" s="1" t="n"/>
      <c r="V35" s="35" t="inlineStr">
        <is>
          <t>GST</t>
        </is>
      </c>
      <c r="W35" s="51" t="n"/>
      <c r="X35" s="90" t="n"/>
      <c r="Y35" s="1" t="n"/>
      <c r="Z35" s="35" t="inlineStr">
        <is>
          <t>GST</t>
        </is>
      </c>
      <c r="AA35" s="51" t="n"/>
      <c r="AB35" s="90" t="n"/>
      <c r="AC35" s="1" t="n"/>
      <c r="AD35" s="1" t="n"/>
      <c r="AE35" s="35" t="inlineStr">
        <is>
          <t>GST</t>
        </is>
      </c>
      <c r="AF35" s="51" t="n"/>
      <c r="AG35" s="90" t="n"/>
      <c r="AH35" s="1" t="n"/>
      <c r="AI35" s="1" t="n"/>
      <c r="AJ35" s="31" t="inlineStr">
        <is>
          <t>GST</t>
        </is>
      </c>
      <c r="AK35" s="100" t="n"/>
      <c r="AL35" s="90" t="n"/>
      <c r="AM35" s="1" t="n"/>
      <c r="AN35" s="1" t="n"/>
      <c r="AO35" s="35" t="inlineStr">
        <is>
          <t>GST</t>
        </is>
      </c>
      <c r="AP35" s="51" t="n"/>
      <c r="AQ35" s="90" t="n"/>
      <c r="AR35" s="1" t="n"/>
      <c r="AS35" s="1" t="n"/>
      <c r="AT35" s="35" t="inlineStr">
        <is>
          <t>GST</t>
        </is>
      </c>
      <c r="AU35" s="51" t="n"/>
      <c r="AV35" s="90" t="n"/>
      <c r="AW35" s="1" t="n"/>
      <c r="AX35" s="1" t="n"/>
      <c r="AY35" s="35" t="inlineStr">
        <is>
          <t>GST</t>
        </is>
      </c>
      <c r="AZ35" s="51" t="n"/>
      <c r="BA35" s="90" t="n"/>
    </row>
    <row r="36" ht="30.75" customHeight="1" s="220">
      <c r="A36" s="1" t="n"/>
      <c r="B36" s="96" t="inlineStr">
        <is>
          <t>RENTAL</t>
        </is>
      </c>
      <c r="C36" s="97" t="n"/>
      <c r="D36" s="1" t="n"/>
      <c r="E36" s="1" t="n"/>
      <c r="F36" s="31" t="inlineStr">
        <is>
          <t>ICC-5</t>
        </is>
      </c>
      <c r="G36" s="100" t="n"/>
      <c r="H36" s="90" t="n"/>
      <c r="I36" s="1" t="n"/>
      <c r="J36" s="35" t="inlineStr">
        <is>
          <t>ICC-5</t>
        </is>
      </c>
      <c r="K36" s="51" t="n"/>
      <c r="L36" s="90" t="n"/>
      <c r="M36" s="1" t="n"/>
      <c r="N36" s="35" t="inlineStr">
        <is>
          <t>ICC-5</t>
        </is>
      </c>
      <c r="O36" s="51" t="n"/>
      <c r="P36" s="90" t="n"/>
      <c r="Q36" s="1" t="n"/>
      <c r="R36" s="31" t="n"/>
      <c r="S36" s="100" t="n"/>
      <c r="T36" s="90" t="n"/>
      <c r="U36" s="1" t="n"/>
      <c r="V36" s="35" t="inlineStr">
        <is>
          <t>ICC-5</t>
        </is>
      </c>
      <c r="W36" s="51" t="n"/>
      <c r="X36" s="90" t="n"/>
      <c r="Y36" s="1" t="n"/>
      <c r="Z36" s="35" t="inlineStr">
        <is>
          <t>ICC-5</t>
        </is>
      </c>
      <c r="AA36" s="51" t="n"/>
      <c r="AB36" s="90" t="n"/>
      <c r="AC36" s="1" t="n"/>
      <c r="AD36" s="1" t="n"/>
      <c r="AE36" s="35" t="inlineStr">
        <is>
          <t>ICC-5</t>
        </is>
      </c>
      <c r="AF36" s="51" t="n"/>
      <c r="AG36" s="90" t="n"/>
      <c r="AH36" s="1" t="n"/>
      <c r="AI36" s="1" t="n"/>
      <c r="AJ36" s="31" t="n"/>
      <c r="AK36" s="100" t="n"/>
      <c r="AL36" s="90" t="n"/>
      <c r="AM36" s="1" t="n"/>
      <c r="AN36" s="1" t="n"/>
      <c r="AO36" s="35" t="inlineStr">
        <is>
          <t>ICC-5</t>
        </is>
      </c>
      <c r="AP36" s="51" t="n"/>
      <c r="AQ36" s="90" t="n"/>
      <c r="AR36" s="1" t="n"/>
      <c r="AS36" s="1" t="n"/>
      <c r="AT36" s="35" t="inlineStr">
        <is>
          <t>ICC-5</t>
        </is>
      </c>
      <c r="AU36" s="51" t="n"/>
      <c r="AV36" s="90" t="n"/>
      <c r="AW36" s="1" t="n"/>
      <c r="AX36" s="1" t="n"/>
      <c r="AY36" s="35" t="inlineStr">
        <is>
          <t>ICC-5</t>
        </is>
      </c>
      <c r="AZ36" s="51" t="n"/>
      <c r="BA36" s="90" t="n"/>
    </row>
    <row r="37" ht="30.75" customHeight="1" s="220">
      <c r="A37" s="1" t="n"/>
      <c r="B37" s="96" t="inlineStr">
        <is>
          <t>LOAN INTEREST</t>
        </is>
      </c>
      <c r="C37" s="97" t="n"/>
      <c r="D37" s="1" t="n"/>
      <c r="E37" s="1" t="n"/>
      <c r="F37" s="31" t="inlineStr">
        <is>
          <t>PRODUCTS</t>
        </is>
      </c>
      <c r="G37" s="100" t="n"/>
      <c r="H37" s="90" t="n"/>
      <c r="I37" s="1" t="n"/>
      <c r="J37" s="35" t="inlineStr">
        <is>
          <t>PRODUCTS</t>
        </is>
      </c>
      <c r="K37" s="51" t="n"/>
      <c r="L37" s="90" t="n"/>
      <c r="M37" s="1" t="n"/>
      <c r="N37" s="35" t="inlineStr">
        <is>
          <t>PRODUCTS</t>
        </is>
      </c>
      <c r="O37" s="51" t="n"/>
      <c r="P37" s="90" t="n"/>
      <c r="Q37" s="1" t="n"/>
      <c r="R37" s="31" t="n"/>
      <c r="S37" s="100" t="n"/>
      <c r="T37" s="90" t="n"/>
      <c r="U37" s="1" t="n"/>
      <c r="V37" s="35" t="inlineStr">
        <is>
          <t>PRODUCTS</t>
        </is>
      </c>
      <c r="W37" s="51" t="n"/>
      <c r="X37" s="90" t="n"/>
      <c r="Y37" s="1" t="n"/>
      <c r="Z37" s="35" t="inlineStr">
        <is>
          <t>PRODUCTS</t>
        </is>
      </c>
      <c r="AA37" s="51" t="n"/>
      <c r="AB37" s="90" t="n"/>
      <c r="AC37" s="1" t="n"/>
      <c r="AD37" s="1" t="n"/>
      <c r="AE37" s="35" t="inlineStr">
        <is>
          <t>PRODUCTS</t>
        </is>
      </c>
      <c r="AF37" s="51" t="n"/>
      <c r="AG37" s="90" t="n"/>
      <c r="AH37" s="1" t="n"/>
      <c r="AI37" s="1" t="n"/>
      <c r="AJ37" s="31" t="n"/>
      <c r="AK37" s="100" t="n"/>
      <c r="AL37" s="90" t="n"/>
      <c r="AM37" s="1" t="n"/>
      <c r="AN37" s="1" t="n"/>
      <c r="AO37" s="35" t="inlineStr">
        <is>
          <t>PRODUCTS</t>
        </is>
      </c>
      <c r="AP37" s="51" t="n"/>
      <c r="AQ37" s="90" t="n"/>
      <c r="AR37" s="1" t="n"/>
      <c r="AS37" s="1" t="n"/>
      <c r="AT37" s="35" t="inlineStr">
        <is>
          <t>PRODUCTS</t>
        </is>
      </c>
      <c r="AU37" s="51" t="n"/>
      <c r="AV37" s="90" t="n"/>
      <c r="AW37" s="1" t="n"/>
      <c r="AX37" s="1" t="n"/>
      <c r="AY37" s="35" t="inlineStr">
        <is>
          <t>PRODUCTS</t>
        </is>
      </c>
      <c r="AZ37" s="51" t="n"/>
      <c r="BA37" s="90" t="n"/>
    </row>
    <row r="38" ht="30.75" customHeight="1" s="220">
      <c r="A38" s="1" t="n"/>
      <c r="B38" s="96" t="inlineStr">
        <is>
          <t xml:space="preserve">IRAS TAX </t>
        </is>
      </c>
      <c r="C38" s="97" t="n"/>
      <c r="D38" s="1" t="n"/>
      <c r="E38" s="1" t="n"/>
      <c r="F38" s="31" t="inlineStr">
        <is>
          <t>ORTHO (B+B)</t>
        </is>
      </c>
      <c r="G38" s="100" t="n"/>
      <c r="H38" s="90" t="n"/>
      <c r="I38" s="1" t="n"/>
      <c r="J38" s="35" t="inlineStr">
        <is>
          <t>ORTHO (B+B)</t>
        </is>
      </c>
      <c r="K38" s="51" t="n"/>
      <c r="L38" s="90" t="n"/>
      <c r="M38" s="1" t="n"/>
      <c r="N38" s="35" t="inlineStr">
        <is>
          <t>ORTHO (B+B)</t>
        </is>
      </c>
      <c r="O38" s="51" t="n"/>
      <c r="P38" s="90" t="n"/>
      <c r="Q38" s="1" t="n"/>
      <c r="R38" s="31" t="n"/>
      <c r="S38" s="100" t="n"/>
      <c r="T38" s="90" t="n"/>
      <c r="U38" s="1" t="n"/>
      <c r="V38" s="35" t="inlineStr">
        <is>
          <t>ORTHO (B+B)</t>
        </is>
      </c>
      <c r="W38" s="51" t="n"/>
      <c r="X38" s="90" t="n"/>
      <c r="Y38" s="1" t="n"/>
      <c r="Z38" s="35" t="inlineStr">
        <is>
          <t>ORTHO (B+B)</t>
        </is>
      </c>
      <c r="AA38" s="51" t="n"/>
      <c r="AB38" s="90" t="n"/>
      <c r="AC38" s="1" t="n"/>
      <c r="AD38" s="1" t="n"/>
      <c r="AE38" s="35" t="inlineStr">
        <is>
          <t>ORTHO (B+B)</t>
        </is>
      </c>
      <c r="AF38" s="51" t="n"/>
      <c r="AG38" s="90" t="n"/>
      <c r="AH38" s="1" t="n"/>
      <c r="AI38" s="1" t="n"/>
      <c r="AJ38" s="31" t="n"/>
      <c r="AK38" s="100" t="n"/>
      <c r="AL38" s="90" t="n"/>
      <c r="AM38" s="1" t="n"/>
      <c r="AN38" s="1" t="n"/>
      <c r="AO38" s="35" t="inlineStr">
        <is>
          <t>ORTHO (B+B)</t>
        </is>
      </c>
      <c r="AP38" s="51" t="n"/>
      <c r="AQ38" s="90" t="n"/>
      <c r="AR38" s="1" t="n"/>
      <c r="AS38" s="1" t="n"/>
      <c r="AT38" s="35" t="inlineStr">
        <is>
          <t>ORTHO (B+B)</t>
        </is>
      </c>
      <c r="AU38" s="51" t="n"/>
      <c r="AV38" s="90" t="n"/>
      <c r="AW38" s="1" t="n"/>
      <c r="AX38" s="1" t="n"/>
      <c r="AY38" s="35" t="inlineStr">
        <is>
          <t>ORTHO (B+B)</t>
        </is>
      </c>
      <c r="AZ38" s="51" t="n"/>
      <c r="BA38" s="90" t="n"/>
    </row>
    <row r="39" ht="30.75" customHeight="1" s="220">
      <c r="A39" s="1" t="n"/>
      <c r="B39" s="96" t="inlineStr">
        <is>
          <t>CK SECRETARIAL / ACCOUNTS SERVICES</t>
        </is>
      </c>
      <c r="C39" s="97" t="n"/>
      <c r="D39" s="1" t="n"/>
      <c r="E39" s="1" t="n"/>
      <c r="F39" s="31" t="inlineStr">
        <is>
          <t>ABUTMENTS</t>
        </is>
      </c>
      <c r="G39" s="100" t="n"/>
      <c r="H39" s="98" t="n"/>
      <c r="I39" s="1" t="n"/>
      <c r="J39" s="35" t="inlineStr">
        <is>
          <t>ABUTMENTS</t>
        </is>
      </c>
      <c r="K39" s="51" t="n"/>
      <c r="L39" s="90" t="n"/>
      <c r="M39" s="1" t="n"/>
      <c r="N39" s="35" t="inlineStr">
        <is>
          <t>ABUTMENTS</t>
        </is>
      </c>
      <c r="O39" s="51" t="n"/>
      <c r="P39" s="90" t="n"/>
      <c r="Q39" s="1" t="n"/>
      <c r="R39" s="31" t="n"/>
      <c r="S39" s="100" t="n"/>
      <c r="T39" s="90" t="n"/>
      <c r="U39" s="1" t="n"/>
      <c r="V39" s="35" t="inlineStr">
        <is>
          <t>ABUTMENTS</t>
        </is>
      </c>
      <c r="W39" s="51" t="n"/>
      <c r="X39" s="90" t="n"/>
      <c r="Y39" s="1" t="n"/>
      <c r="Z39" s="35" t="inlineStr">
        <is>
          <t>ABUTMENTS</t>
        </is>
      </c>
      <c r="AA39" s="51" t="n"/>
      <c r="AB39" s="90" t="n"/>
      <c r="AC39" s="1" t="n"/>
      <c r="AD39" s="1" t="n"/>
      <c r="AE39" s="35" t="inlineStr">
        <is>
          <t>ABUTMENTS</t>
        </is>
      </c>
      <c r="AF39" s="51" t="n"/>
      <c r="AG39" s="90" t="n"/>
      <c r="AH39" s="1" t="n"/>
      <c r="AI39" s="1" t="n"/>
      <c r="AJ39" s="31" t="n"/>
      <c r="AK39" s="100" t="n"/>
      <c r="AL39" s="90" t="n"/>
      <c r="AM39" s="1" t="n"/>
      <c r="AN39" s="1" t="n"/>
      <c r="AO39" s="35" t="inlineStr">
        <is>
          <t>ABUTMENTS</t>
        </is>
      </c>
      <c r="AP39" s="51" t="n"/>
      <c r="AQ39" s="90" t="n"/>
      <c r="AR39" s="1" t="n"/>
      <c r="AS39" s="1" t="n"/>
      <c r="AT39" s="35" t="inlineStr">
        <is>
          <t>ABUTMENTS</t>
        </is>
      </c>
      <c r="AU39" s="51" t="n"/>
      <c r="AV39" s="90" t="n"/>
      <c r="AW39" s="1" t="n"/>
      <c r="AX39" s="1" t="n"/>
      <c r="AY39" s="35" t="inlineStr">
        <is>
          <t>ABUTMENTS</t>
        </is>
      </c>
      <c r="AZ39" s="51" t="n"/>
      <c r="BA39" s="90" t="n"/>
    </row>
    <row r="40" ht="30.75" customHeight="1" s="220">
      <c r="A40" s="1" t="n"/>
      <c r="B40" s="96" t="inlineStr">
        <is>
          <t>TOWN COUNCIL</t>
        </is>
      </c>
      <c r="C40" s="97" t="n">
        <v>98.09999999999999</v>
      </c>
      <c r="D40" s="1" t="n"/>
      <c r="E40" s="1" t="n"/>
      <c r="F40" s="31" t="inlineStr">
        <is>
          <t>IMPLANT</t>
        </is>
      </c>
      <c r="G40" s="99" t="n"/>
      <c r="H40" s="90" t="n"/>
      <c r="I40" s="1" t="n"/>
      <c r="J40" s="35" t="inlineStr">
        <is>
          <t>IMPLANT</t>
        </is>
      </c>
      <c r="K40" s="51" t="n"/>
      <c r="L40" s="90" t="n"/>
      <c r="M40" s="1" t="n"/>
      <c r="N40" s="35" t="inlineStr">
        <is>
          <t>IMPLANT</t>
        </is>
      </c>
      <c r="O40" s="51" t="n"/>
      <c r="P40" s="90" t="n"/>
      <c r="Q40" s="1" t="n"/>
      <c r="R40" s="31" t="n"/>
      <c r="S40" s="100" t="n"/>
      <c r="T40" s="90" t="n"/>
      <c r="U40" s="1" t="n"/>
      <c r="V40" s="35" t="inlineStr">
        <is>
          <t>IMPLANT</t>
        </is>
      </c>
      <c r="W40" s="51" t="n"/>
      <c r="X40" s="90" t="n"/>
      <c r="Y40" s="1" t="n"/>
      <c r="Z40" s="35" t="inlineStr">
        <is>
          <t>IMPLANT</t>
        </is>
      </c>
      <c r="AA40" s="51" t="n"/>
      <c r="AB40" s="90" t="n"/>
      <c r="AC40" s="1" t="n"/>
      <c r="AD40" s="1" t="n"/>
      <c r="AE40" s="35" t="inlineStr">
        <is>
          <t>IMPLANT</t>
        </is>
      </c>
      <c r="AF40" s="51" t="n"/>
      <c r="AG40" s="90" t="n"/>
      <c r="AH40" s="1" t="n"/>
      <c r="AI40" s="1" t="n"/>
      <c r="AJ40" s="31" t="n"/>
      <c r="AK40" s="100" t="n"/>
      <c r="AL40" s="90" t="n"/>
      <c r="AM40" s="1" t="n"/>
      <c r="AN40" s="1" t="n"/>
      <c r="AO40" s="35" t="inlineStr">
        <is>
          <t>IMPLANT</t>
        </is>
      </c>
      <c r="AP40" s="51" t="n"/>
      <c r="AQ40" s="90" t="n"/>
      <c r="AR40" s="1" t="n"/>
      <c r="AS40" s="1" t="n"/>
      <c r="AT40" s="35" t="inlineStr">
        <is>
          <t>IMPLANT</t>
        </is>
      </c>
      <c r="AU40" s="51" t="n"/>
      <c r="AV40" s="90" t="n"/>
      <c r="AW40" s="1" t="n"/>
      <c r="AX40" s="1" t="n"/>
      <c r="AY40" s="35" t="inlineStr">
        <is>
          <t>IMPLANT</t>
        </is>
      </c>
      <c r="AZ40" s="51" t="n"/>
      <c r="BA40" s="90" t="n"/>
    </row>
    <row r="41" ht="30.75" customHeight="1" s="220">
      <c r="A41" s="1" t="n"/>
      <c r="B41" s="96" t="inlineStr">
        <is>
          <t>SERVICE &amp; CONSERVANCY CHARGES</t>
        </is>
      </c>
      <c r="C41" s="97" t="n">
        <v>400</v>
      </c>
      <c r="D41" s="1" t="n"/>
      <c r="E41" s="1" t="n"/>
      <c r="F41" s="31" t="inlineStr">
        <is>
          <t>SKY LAB</t>
        </is>
      </c>
      <c r="G41" s="100" t="n"/>
      <c r="H41" s="90" t="n"/>
      <c r="I41" s="1" t="n"/>
      <c r="J41" s="35" t="inlineStr">
        <is>
          <t>SKY LAB</t>
        </is>
      </c>
      <c r="K41" s="51" t="n"/>
      <c r="L41" s="90" t="n"/>
      <c r="M41" s="1" t="n"/>
      <c r="N41" s="35" t="inlineStr">
        <is>
          <t>SKY LAB</t>
        </is>
      </c>
      <c r="O41" s="51" t="n"/>
      <c r="P41" s="90" t="n"/>
      <c r="Q41" s="1" t="n"/>
      <c r="R41" s="31" t="n"/>
      <c r="S41" s="100" t="n"/>
      <c r="T41" s="90" t="n"/>
      <c r="U41" s="1" t="n"/>
      <c r="V41" s="35" t="inlineStr">
        <is>
          <t>SKY LAB</t>
        </is>
      </c>
      <c r="W41" s="51" t="n"/>
      <c r="X41" s="90" t="n"/>
      <c r="Y41" s="1" t="n"/>
      <c r="Z41" s="35" t="inlineStr">
        <is>
          <t>SKY LAB</t>
        </is>
      </c>
      <c r="AA41" s="51" t="n"/>
      <c r="AB41" s="90" t="n"/>
      <c r="AC41" s="1" t="n"/>
      <c r="AD41" s="1" t="n"/>
      <c r="AE41" s="35" t="inlineStr">
        <is>
          <t>SKY LAB</t>
        </is>
      </c>
      <c r="AF41" s="51" t="n"/>
      <c r="AG41" s="90" t="n"/>
      <c r="AH41" s="1" t="n"/>
      <c r="AI41" s="1" t="n"/>
      <c r="AJ41" s="31" t="n"/>
      <c r="AK41" s="100" t="n"/>
      <c r="AL41" s="90" t="n"/>
      <c r="AM41" s="1" t="n"/>
      <c r="AN41" s="1" t="n"/>
      <c r="AO41" s="35" t="inlineStr">
        <is>
          <t>SKY LAB</t>
        </is>
      </c>
      <c r="AP41" s="51" t="n"/>
      <c r="AQ41" s="90" t="n"/>
      <c r="AR41" s="1" t="n"/>
      <c r="AS41" s="1" t="n"/>
      <c r="AT41" s="35" t="inlineStr">
        <is>
          <t>SKY LAB</t>
        </is>
      </c>
      <c r="AU41" s="51" t="n"/>
      <c r="AV41" s="90" t="n"/>
      <c r="AW41" s="1" t="n"/>
      <c r="AX41" s="1" t="n"/>
      <c r="AY41" s="35" t="inlineStr">
        <is>
          <t>SKY LAB</t>
        </is>
      </c>
      <c r="AZ41" s="51" t="n"/>
      <c r="BA41" s="90" t="n"/>
    </row>
    <row r="42" ht="30.75" customHeight="1" s="220">
      <c r="A42" s="1" t="n"/>
      <c r="B42" s="96" t="inlineStr">
        <is>
          <t>SP</t>
        </is>
      </c>
      <c r="C42" s="97" t="n"/>
      <c r="D42" s="1" t="n"/>
      <c r="E42" s="1" t="n"/>
      <c r="F42" s="31" t="inlineStr">
        <is>
          <t>DIGICADCAM</t>
        </is>
      </c>
      <c r="G42" s="100" t="n"/>
      <c r="H42" s="90" t="n"/>
      <c r="I42" s="1" t="n"/>
      <c r="J42" s="35" t="inlineStr">
        <is>
          <t>DIGICADCAM</t>
        </is>
      </c>
      <c r="K42" s="51" t="n"/>
      <c r="L42" s="90" t="n"/>
      <c r="M42" s="1" t="n"/>
      <c r="N42" s="35" t="inlineStr">
        <is>
          <t>DIGICADCAM</t>
        </is>
      </c>
      <c r="O42" s="51" t="n"/>
      <c r="P42" s="90" t="n"/>
      <c r="Q42" s="1" t="n"/>
      <c r="R42" s="31" t="n"/>
      <c r="S42" s="100" t="n"/>
      <c r="T42" s="90" t="n"/>
      <c r="U42" s="1" t="n"/>
      <c r="V42" s="35" t="inlineStr">
        <is>
          <t>DIGICADCAM</t>
        </is>
      </c>
      <c r="W42" s="51" t="n"/>
      <c r="X42" s="90" t="n"/>
      <c r="Y42" s="1" t="n"/>
      <c r="Z42" s="35" t="inlineStr">
        <is>
          <t>DIGICADCAM</t>
        </is>
      </c>
      <c r="AA42" s="51" t="n"/>
      <c r="AB42" s="90" t="n"/>
      <c r="AC42" s="1" t="n"/>
      <c r="AD42" s="1" t="n"/>
      <c r="AE42" s="35" t="inlineStr">
        <is>
          <t>DIGICADCAM</t>
        </is>
      </c>
      <c r="AF42" s="51" t="n"/>
      <c r="AG42" s="90" t="n"/>
      <c r="AH42" s="1" t="n"/>
      <c r="AI42" s="1" t="n"/>
      <c r="AJ42" s="31" t="n"/>
      <c r="AK42" s="100" t="n"/>
      <c r="AL42" s="90" t="n"/>
      <c r="AM42" s="1" t="n"/>
      <c r="AN42" s="1" t="n"/>
      <c r="AO42" s="35" t="inlineStr">
        <is>
          <t>DIGICADCAM</t>
        </is>
      </c>
      <c r="AP42" s="51" t="n"/>
      <c r="AQ42" s="90" t="n"/>
      <c r="AR42" s="1" t="n"/>
      <c r="AS42" s="1" t="n"/>
      <c r="AT42" s="35" t="inlineStr">
        <is>
          <t>DIGICADCAM</t>
        </is>
      </c>
      <c r="AU42" s="51" t="n"/>
      <c r="AV42" s="90" t="n"/>
      <c r="AW42" s="1" t="n"/>
      <c r="AX42" s="1" t="n"/>
      <c r="AY42" s="35" t="inlineStr">
        <is>
          <t>DIGICADCAM</t>
        </is>
      </c>
      <c r="AZ42" s="51" t="n"/>
      <c r="BA42" s="90" t="n"/>
    </row>
    <row r="43" ht="30.75" customHeight="1" s="220">
      <c r="A43" s="1" t="n"/>
      <c r="B43" s="96" t="inlineStr">
        <is>
          <t>SINGTEL</t>
        </is>
      </c>
      <c r="C43" s="97" t="n"/>
      <c r="D43" s="1" t="n"/>
      <c r="E43" s="1" t="n"/>
      <c r="F43" s="31" t="inlineStr">
        <is>
          <t>OTHER LAB</t>
        </is>
      </c>
      <c r="G43" s="100" t="n"/>
      <c r="H43" s="101" t="n"/>
      <c r="I43" s="1" t="n"/>
      <c r="J43" s="35" t="inlineStr">
        <is>
          <t>OTHER LAB</t>
        </is>
      </c>
      <c r="K43" s="51" t="n"/>
      <c r="L43" s="101" t="n"/>
      <c r="M43" s="1" t="n"/>
      <c r="N43" s="35" t="inlineStr">
        <is>
          <t>OTHER LAB</t>
        </is>
      </c>
      <c r="O43" s="51" t="n"/>
      <c r="P43" s="101" t="n"/>
      <c r="Q43" s="1" t="n"/>
      <c r="R43" s="31" t="n"/>
      <c r="S43" s="100" t="n"/>
      <c r="T43" s="90" t="n"/>
      <c r="U43" s="1" t="n"/>
      <c r="V43" s="35" t="inlineStr">
        <is>
          <t>OTHER LAB</t>
        </is>
      </c>
      <c r="W43" s="51" t="n"/>
      <c r="X43" s="90" t="n"/>
      <c r="Y43" s="1" t="n"/>
      <c r="Z43" s="35" t="inlineStr">
        <is>
          <t>OTHER LAB</t>
        </is>
      </c>
      <c r="AA43" s="51" t="n"/>
      <c r="AB43" s="90" t="n"/>
      <c r="AC43" s="1" t="n"/>
      <c r="AD43" s="1" t="n"/>
      <c r="AE43" s="35" t="inlineStr">
        <is>
          <t>OTHER LAB</t>
        </is>
      </c>
      <c r="AF43" s="51" t="n"/>
      <c r="AG43" s="90" t="n"/>
      <c r="AH43" s="1" t="n"/>
      <c r="AI43" s="1" t="n"/>
      <c r="AJ43" s="31" t="n"/>
      <c r="AK43" s="100" t="n"/>
      <c r="AL43" s="90" t="n"/>
      <c r="AM43" s="1" t="n"/>
      <c r="AN43" s="1" t="n"/>
      <c r="AO43" s="35" t="inlineStr">
        <is>
          <t>OTHER LAB</t>
        </is>
      </c>
      <c r="AP43" s="51" t="n"/>
      <c r="AQ43" s="90" t="n"/>
      <c r="AR43" s="1" t="n"/>
      <c r="AS43" s="1" t="n"/>
      <c r="AT43" s="35" t="inlineStr">
        <is>
          <t>OTHER LAB</t>
        </is>
      </c>
      <c r="AU43" s="51" t="n"/>
      <c r="AV43" s="90" t="n"/>
      <c r="AW43" s="1" t="n"/>
      <c r="AX43" s="1" t="n"/>
      <c r="AY43" s="35" t="inlineStr">
        <is>
          <t>OTHER LAB</t>
        </is>
      </c>
      <c r="AZ43" s="51" t="n"/>
      <c r="BA43" s="90" t="n"/>
    </row>
    <row r="44" ht="30.75" customHeight="1" s="220">
      <c r="A44" s="1" t="n"/>
      <c r="B44" s="96" t="inlineStr">
        <is>
          <t>PRODUCTS</t>
        </is>
      </c>
      <c r="C44" s="97">
        <f>G37+K37+O37+S59+W37+AA37+AF37+AK59+AP37+AU37+AZ37</f>
        <v/>
      </c>
      <c r="D44" s="1" t="n"/>
      <c r="E44" s="1" t="n"/>
      <c r="F44" s="31" t="inlineStr">
        <is>
          <t>INVISALIGN</t>
        </is>
      </c>
      <c r="G44" s="100" t="n"/>
      <c r="H44" s="101" t="n"/>
      <c r="I44" s="1" t="n"/>
      <c r="J44" s="35" t="inlineStr">
        <is>
          <t>INVISALIGN</t>
        </is>
      </c>
      <c r="K44" s="51" t="n"/>
      <c r="L44" s="101" t="n"/>
      <c r="M44" s="1" t="n"/>
      <c r="N44" s="35" t="inlineStr">
        <is>
          <t>INVISALIGN</t>
        </is>
      </c>
      <c r="O44" s="51" t="n"/>
      <c r="P44" s="90" t="n"/>
      <c r="Q44" s="1" t="n"/>
      <c r="R44" s="31" t="n"/>
      <c r="S44" s="100" t="n"/>
      <c r="T44" s="90" t="n"/>
      <c r="U44" s="1" t="n"/>
      <c r="V44" s="35" t="inlineStr">
        <is>
          <t>INVISALIGN</t>
        </is>
      </c>
      <c r="W44" s="51" t="n"/>
      <c r="X44" s="101" t="n"/>
      <c r="Y44" s="1" t="n"/>
      <c r="Z44" s="35" t="inlineStr">
        <is>
          <t>INVISALIGN</t>
        </is>
      </c>
      <c r="AA44" s="51" t="n"/>
      <c r="AB44" s="90" t="n"/>
      <c r="AC44" s="1" t="n"/>
      <c r="AD44" s="1" t="n"/>
      <c r="AE44" s="35" t="inlineStr">
        <is>
          <t>INVISALIGN</t>
        </is>
      </c>
      <c r="AF44" s="51" t="n"/>
      <c r="AG44" s="90" t="n"/>
      <c r="AH44" s="1" t="n"/>
      <c r="AI44" s="1" t="n"/>
      <c r="AJ44" s="31" t="n"/>
      <c r="AK44" s="100" t="n"/>
      <c r="AL44" s="90" t="n"/>
      <c r="AM44" s="1" t="n"/>
      <c r="AN44" s="1" t="n"/>
      <c r="AO44" s="35" t="inlineStr">
        <is>
          <t>INVISALIGN</t>
        </is>
      </c>
      <c r="AP44" s="51" t="n"/>
      <c r="AQ44" s="90" t="n"/>
      <c r="AR44" s="1" t="n"/>
      <c r="AS44" s="1" t="n"/>
      <c r="AT44" s="35" t="inlineStr">
        <is>
          <t>INVISALIGN</t>
        </is>
      </c>
      <c r="AU44" s="51" t="n"/>
      <c r="AV44" s="90" t="n"/>
      <c r="AW44" s="1" t="n"/>
      <c r="AX44" s="1" t="n"/>
      <c r="AY44" s="35" t="inlineStr">
        <is>
          <t>INVISALIGN</t>
        </is>
      </c>
      <c r="AZ44" s="51" t="n"/>
      <c r="BA44" s="90" t="n"/>
    </row>
    <row r="45" ht="30.75" customHeight="1" s="220">
      <c r="A45" s="1" t="n"/>
      <c r="B45" s="96" t="inlineStr">
        <is>
          <t>ADMIN STAFF &amp; OFFICE RENTAL</t>
        </is>
      </c>
      <c r="C45" s="97" t="n"/>
      <c r="D45" s="1" t="n"/>
      <c r="E45" s="1" t="n"/>
      <c r="F45" s="31" t="inlineStr">
        <is>
          <t>TRANSFER (+)</t>
        </is>
      </c>
      <c r="G45" s="100" t="n"/>
      <c r="H45" s="98" t="n"/>
      <c r="I45" s="1" t="n"/>
      <c r="J45" s="35" t="inlineStr">
        <is>
          <t>TRANSFER (+)</t>
        </is>
      </c>
      <c r="K45" s="51" t="n"/>
      <c r="L45" s="98" t="n"/>
      <c r="M45" s="1" t="n"/>
      <c r="N45" s="35" t="inlineStr">
        <is>
          <t>TRANSFER (+)</t>
        </is>
      </c>
      <c r="O45" s="51" t="n"/>
      <c r="P45" s="90" t="n"/>
      <c r="Q45" s="1" t="n"/>
      <c r="R45" s="31" t="n"/>
      <c r="S45" s="100" t="n"/>
      <c r="T45" s="90" t="n"/>
      <c r="U45" s="1" t="n"/>
      <c r="V45" s="35" t="inlineStr">
        <is>
          <t>TRANSFER (+)</t>
        </is>
      </c>
      <c r="W45" s="51" t="n"/>
      <c r="X45" s="102" t="n"/>
      <c r="Y45" s="1" t="n"/>
      <c r="Z45" s="35" t="inlineStr">
        <is>
          <t>TRANSFER (+)</t>
        </is>
      </c>
      <c r="AA45" s="51" t="n"/>
      <c r="AB45" s="98" t="n"/>
      <c r="AC45" s="1" t="n"/>
      <c r="AD45" s="1" t="n"/>
      <c r="AE45" s="35" t="inlineStr">
        <is>
          <t>TRANSFER (+)</t>
        </is>
      </c>
      <c r="AF45" s="51" t="n"/>
      <c r="AG45" s="98" t="n"/>
      <c r="AH45" s="1" t="n"/>
      <c r="AI45" s="1" t="n"/>
      <c r="AJ45" s="31" t="n"/>
      <c r="AK45" s="100" t="n"/>
      <c r="AL45" s="90" t="n"/>
      <c r="AM45" s="1" t="n"/>
      <c r="AN45" s="1" t="n"/>
      <c r="AO45" s="35" t="inlineStr">
        <is>
          <t>TRANSFER (+)</t>
        </is>
      </c>
      <c r="AP45" s="51" t="n"/>
      <c r="AQ45" s="98" t="n"/>
      <c r="AR45" s="1" t="n"/>
      <c r="AS45" s="1" t="n"/>
      <c r="AT45" s="35" t="inlineStr">
        <is>
          <t>TRANSFER (+)</t>
        </is>
      </c>
      <c r="AU45" s="51" t="n"/>
      <c r="AV45" s="98" t="n"/>
      <c r="AW45" s="1" t="n"/>
      <c r="AX45" s="1" t="n"/>
      <c r="AY45" s="35" t="inlineStr">
        <is>
          <t>TRANSFER (+)</t>
        </is>
      </c>
      <c r="AZ45" s="51" t="n"/>
      <c r="BA45" s="98" t="n"/>
    </row>
    <row r="46" ht="30.75" customHeight="1" s="220">
      <c r="A46" s="1" t="n"/>
      <c r="B46" s="96" t="inlineStr">
        <is>
          <t>SUPPLIERS</t>
        </is>
      </c>
      <c r="C46" s="97" t="n"/>
      <c r="D46" s="1" t="n"/>
      <c r="E46" s="1" t="n"/>
      <c r="F46" s="31" t="inlineStr">
        <is>
          <t>TRANSFER (-)</t>
        </is>
      </c>
      <c r="G46" s="100" t="n"/>
      <c r="H46" s="98" t="n"/>
      <c r="I46" s="1" t="n"/>
      <c r="J46" s="35" t="inlineStr">
        <is>
          <t>TRANSFER (-)</t>
        </is>
      </c>
      <c r="K46" s="51" t="n"/>
      <c r="L46" s="90" t="n"/>
      <c r="M46" s="1" t="n"/>
      <c r="N46" s="35" t="inlineStr">
        <is>
          <t>TRANSFER (-)</t>
        </is>
      </c>
      <c r="O46" s="51" t="n"/>
      <c r="P46" s="90" t="n"/>
      <c r="Q46" s="1" t="n"/>
      <c r="R46" s="31" t="n"/>
      <c r="S46" s="100" t="n"/>
      <c r="T46" s="90" t="n"/>
      <c r="U46" s="1" t="n"/>
      <c r="V46" s="35" t="inlineStr">
        <is>
          <t>TRANSFER (-)</t>
        </is>
      </c>
      <c r="W46" s="51" t="n"/>
      <c r="X46" s="103" t="n"/>
      <c r="Y46" s="1" t="n"/>
      <c r="Z46" s="35" t="inlineStr">
        <is>
          <t>TRANSFER (-)</t>
        </is>
      </c>
      <c r="AA46" s="51" t="n"/>
      <c r="AB46" s="102" t="n"/>
      <c r="AC46" s="1" t="n"/>
      <c r="AD46" s="1" t="n"/>
      <c r="AE46" s="35" t="inlineStr">
        <is>
          <t>TRANSFER (-)</t>
        </is>
      </c>
      <c r="AF46" s="51" t="n"/>
      <c r="AG46" s="102" t="n"/>
      <c r="AH46" s="1" t="n"/>
      <c r="AI46" s="1" t="n"/>
      <c r="AJ46" s="31" t="n"/>
      <c r="AK46" s="100" t="n"/>
      <c r="AL46" s="90" t="n"/>
      <c r="AM46" s="1" t="n"/>
      <c r="AN46" s="1" t="n"/>
      <c r="AO46" s="35" t="inlineStr">
        <is>
          <t>TRANSFER (-)</t>
        </is>
      </c>
      <c r="AP46" s="51" t="n"/>
      <c r="AQ46" s="102" t="n"/>
      <c r="AR46" s="1" t="n"/>
      <c r="AS46" s="1" t="n"/>
      <c r="AT46" s="35" t="inlineStr">
        <is>
          <t>TRANSFER (-)</t>
        </is>
      </c>
      <c r="AU46" s="51" t="n"/>
      <c r="AV46" s="102" t="n"/>
      <c r="AW46" s="1" t="n"/>
      <c r="AX46" s="1" t="n"/>
      <c r="AY46" s="35" t="inlineStr">
        <is>
          <t>TRANSFER (-)</t>
        </is>
      </c>
      <c r="AZ46" s="51" t="n"/>
      <c r="BA46" s="102" t="n"/>
    </row>
    <row r="47" ht="30.75" customHeight="1" s="220">
      <c r="A47" s="1" t="n"/>
      <c r="B47" s="104" t="inlineStr">
        <is>
          <t>VOUCHER</t>
        </is>
      </c>
      <c r="C47" s="97">
        <f>B12</f>
        <v/>
      </c>
      <c r="D47" s="1" t="n"/>
      <c r="E47" s="1" t="n"/>
      <c r="F47" s="52" t="inlineStr">
        <is>
          <t>REFUND/REFERRAL</t>
        </is>
      </c>
      <c r="G47" s="105" t="n"/>
      <c r="H47" s="90" t="n"/>
      <c r="I47" s="1" t="n"/>
      <c r="J47" s="35" t="inlineStr">
        <is>
          <t>REFUND/REFERRAL</t>
        </is>
      </c>
      <c r="K47" s="51" t="n"/>
      <c r="L47" s="90" t="n"/>
      <c r="M47" s="1" t="n"/>
      <c r="N47" s="35" t="inlineStr">
        <is>
          <t>REFUND/REFERRAL</t>
        </is>
      </c>
      <c r="O47" s="51" t="n"/>
      <c r="P47" s="98" t="n"/>
      <c r="Q47" s="1" t="n"/>
      <c r="R47" s="31" t="n"/>
      <c r="S47" s="100" t="n"/>
      <c r="T47" s="90" t="n"/>
      <c r="U47" s="1" t="n"/>
      <c r="V47" s="35" t="inlineStr">
        <is>
          <t>REFUND</t>
        </is>
      </c>
      <c r="W47" s="51" t="n"/>
      <c r="X47" s="90" t="n"/>
      <c r="Y47" s="1" t="n"/>
      <c r="Z47" s="35" t="inlineStr">
        <is>
          <t>REFUND</t>
        </is>
      </c>
      <c r="AA47" s="51" t="n"/>
      <c r="AB47" s="90" t="n"/>
      <c r="AC47" s="1" t="n"/>
      <c r="AD47" s="1" t="n"/>
      <c r="AE47" s="35" t="inlineStr">
        <is>
          <t>REFUND</t>
        </is>
      </c>
      <c r="AF47" s="51" t="n"/>
      <c r="AG47" s="90" t="n"/>
      <c r="AH47" s="1" t="n"/>
      <c r="AI47" s="1" t="n"/>
      <c r="AJ47" s="31" t="n"/>
      <c r="AK47" s="100" t="n"/>
      <c r="AL47" s="90" t="n"/>
      <c r="AM47" s="1" t="n"/>
      <c r="AN47" s="1" t="n"/>
      <c r="AO47" s="35" t="inlineStr">
        <is>
          <t>REFUND</t>
        </is>
      </c>
      <c r="AP47" s="51" t="n"/>
      <c r="AQ47" s="90" t="n"/>
      <c r="AR47" s="1" t="n"/>
      <c r="AS47" s="1" t="n"/>
      <c r="AT47" s="35" t="inlineStr">
        <is>
          <t>REFUND</t>
        </is>
      </c>
      <c r="AU47" s="51" t="n"/>
      <c r="AV47" s="90" t="n"/>
      <c r="AW47" s="1" t="n"/>
      <c r="AX47" s="1" t="n"/>
      <c r="AY47" s="35" t="inlineStr">
        <is>
          <t>REFUND</t>
        </is>
      </c>
      <c r="AZ47" s="51" t="n"/>
      <c r="BA47" s="90" t="n"/>
    </row>
    <row r="48" ht="30.75" customHeight="1" s="220">
      <c r="A48" s="1" t="n"/>
      <c r="B48" s="96" t="inlineStr">
        <is>
          <t>PETTY CASH</t>
        </is>
      </c>
      <c r="C48" s="97" t="n"/>
      <c r="D48" s="1" t="n"/>
      <c r="E48" s="1" t="n"/>
      <c r="F48" s="52" t="inlineStr">
        <is>
          <t>VOUCHER</t>
        </is>
      </c>
      <c r="G48" s="105">
        <f>F12</f>
        <v/>
      </c>
      <c r="H48" s="90" t="n"/>
      <c r="I48" s="1" t="n"/>
      <c r="J48" s="35" t="inlineStr">
        <is>
          <t>VOUCHER</t>
        </is>
      </c>
      <c r="K48" s="51" t="n"/>
      <c r="L48" s="90" t="n"/>
      <c r="M48" s="1" t="n"/>
      <c r="N48" s="35" t="inlineStr">
        <is>
          <t>VOUCHER</t>
        </is>
      </c>
      <c r="O48" s="51" t="n"/>
      <c r="P48" s="90" t="n"/>
      <c r="Q48" s="1" t="n"/>
      <c r="R48" s="31" t="n"/>
      <c r="S48" s="100" t="n"/>
      <c r="T48" s="90" t="n"/>
      <c r="U48" s="1" t="n"/>
      <c r="V48" s="35" t="inlineStr">
        <is>
          <t>VOUCHER</t>
        </is>
      </c>
      <c r="W48" s="51" t="n"/>
      <c r="X48" s="90" t="n"/>
      <c r="Y48" s="1" t="n"/>
      <c r="Z48" s="35" t="inlineStr">
        <is>
          <t>VOUCHER</t>
        </is>
      </c>
      <c r="AA48" s="51" t="n"/>
      <c r="AB48" s="90" t="n"/>
      <c r="AC48" s="1" t="n"/>
      <c r="AD48" s="1" t="n"/>
      <c r="AE48" s="35" t="inlineStr">
        <is>
          <t>SEDATION</t>
        </is>
      </c>
      <c r="AF48" s="51" t="n"/>
      <c r="AG48" s="90" t="n"/>
      <c r="AH48" s="1" t="n"/>
      <c r="AI48" s="1" t="n"/>
      <c r="AJ48" s="31" t="n"/>
      <c r="AK48" s="100" t="n"/>
      <c r="AL48" s="90" t="n"/>
      <c r="AM48" s="1" t="n"/>
      <c r="AN48" s="1" t="n"/>
      <c r="AO48" s="35" t="inlineStr">
        <is>
          <t>SEDATION</t>
        </is>
      </c>
      <c r="AP48" s="51" t="n"/>
      <c r="AQ48" s="90" t="n"/>
      <c r="AR48" s="1" t="n"/>
      <c r="AS48" s="1" t="n"/>
      <c r="AT48" s="35" t="inlineStr">
        <is>
          <t>SEDATION</t>
        </is>
      </c>
      <c r="AU48" s="51" t="n"/>
      <c r="AV48" s="90" t="n"/>
      <c r="AW48" s="1" t="n"/>
      <c r="AX48" s="1" t="n"/>
      <c r="AY48" s="35" t="inlineStr">
        <is>
          <t>SEDATION</t>
        </is>
      </c>
      <c r="AZ48" s="51" t="n"/>
      <c r="BA48" s="90" t="n"/>
    </row>
    <row r="49" ht="30.75" customHeight="1" s="220">
      <c r="A49" s="1" t="n"/>
      <c r="B49" s="96" t="inlineStr">
        <is>
          <t>STOCKS / CONSUMABLES FEES</t>
        </is>
      </c>
      <c r="C49" s="97" t="n"/>
      <c r="D49" s="1" t="n"/>
      <c r="E49" s="1" t="n"/>
      <c r="F49" s="31" t="inlineStr">
        <is>
          <t>RETAINERS/BT/SPLINT</t>
        </is>
      </c>
      <c r="G49" s="105" t="n"/>
      <c r="H49" s="90" t="n"/>
      <c r="I49" s="1" t="n"/>
      <c r="J49" s="35" t="inlineStr">
        <is>
          <t>RETAINERS/BT/SPLINT</t>
        </is>
      </c>
      <c r="K49" s="51" t="n"/>
      <c r="L49" s="90" t="n"/>
      <c r="M49" s="1" t="n"/>
      <c r="N49" s="35" t="inlineStr">
        <is>
          <t>RETAINERS/BT/SPLINT</t>
        </is>
      </c>
      <c r="O49" s="51" t="n"/>
      <c r="P49" s="90" t="n"/>
      <c r="Q49" s="1" t="n"/>
      <c r="R49" s="31" t="n"/>
      <c r="S49" s="100" t="n"/>
      <c r="T49" s="90" t="n"/>
      <c r="U49" s="1" t="n"/>
      <c r="V49" s="35" t="inlineStr">
        <is>
          <t>RETAINERS/BT/SPLINT</t>
        </is>
      </c>
      <c r="W49" s="51" t="n"/>
      <c r="X49" s="90" t="n"/>
      <c r="Y49" s="1" t="n"/>
      <c r="Z49" s="35" t="inlineStr">
        <is>
          <t>RETAINERS/BT/SPLINT</t>
        </is>
      </c>
      <c r="AA49" s="51" t="n"/>
      <c r="AB49" s="90" t="n"/>
      <c r="AC49" s="1" t="n"/>
      <c r="AD49" s="1" t="n"/>
      <c r="AE49" s="35" t="inlineStr">
        <is>
          <t>RETAINERS/BT/SPLINT</t>
        </is>
      </c>
      <c r="AF49" s="51" t="n"/>
      <c r="AG49" s="90" t="n"/>
      <c r="AH49" s="1" t="n"/>
      <c r="AI49" s="1" t="n"/>
      <c r="AJ49" s="31" t="n"/>
      <c r="AK49" s="100" t="n"/>
      <c r="AL49" s="90" t="n"/>
      <c r="AM49" s="1" t="n"/>
      <c r="AN49" s="1" t="n"/>
      <c r="AO49" s="35" t="inlineStr">
        <is>
          <t>RETAINERS/BT/SPLINT</t>
        </is>
      </c>
      <c r="AP49" s="51" t="n"/>
      <c r="AQ49" s="90" t="n"/>
      <c r="AR49" s="1" t="n"/>
      <c r="AS49" s="1" t="n"/>
      <c r="AT49" s="35" t="inlineStr">
        <is>
          <t>RETAINERS/BT/SPLINT</t>
        </is>
      </c>
      <c r="AU49" s="51" t="n"/>
      <c r="AV49" s="90" t="n"/>
      <c r="AW49" s="1" t="n"/>
      <c r="AX49" s="1" t="n"/>
      <c r="AY49" s="35" t="inlineStr">
        <is>
          <t>RETAINERS/BT/SPLINT</t>
        </is>
      </c>
      <c r="AZ49" s="51" t="n"/>
      <c r="BA49" s="90" t="n"/>
    </row>
    <row r="50" ht="30.75" customHeight="1" s="220">
      <c r="A50" s="1" t="n"/>
      <c r="B50" s="96" t="inlineStr">
        <is>
          <t xml:space="preserve">MARKETING FEE </t>
        </is>
      </c>
      <c r="C50" s="97" t="n"/>
      <c r="D50" s="1" t="n"/>
      <c r="E50" s="1" t="n"/>
      <c r="F50" s="31" t="inlineStr">
        <is>
          <t>INSTALLMENT</t>
        </is>
      </c>
      <c r="G50" s="105" t="n"/>
      <c r="H50" s="106" t="n"/>
      <c r="I50" s="1" t="n"/>
      <c r="J50" s="35" t="inlineStr">
        <is>
          <t>INSTALLMENT</t>
        </is>
      </c>
      <c r="K50" s="51" t="n"/>
      <c r="L50" s="106" t="n"/>
      <c r="M50" s="1" t="n"/>
      <c r="N50" s="35" t="inlineStr">
        <is>
          <t>INSTALLMENT</t>
        </is>
      </c>
      <c r="O50" s="51" t="n"/>
      <c r="P50" s="90" t="n"/>
      <c r="Q50" s="1" t="n"/>
      <c r="R50" s="31" t="n"/>
      <c r="S50" s="100" t="n"/>
      <c r="T50" s="90" t="n"/>
      <c r="U50" s="1" t="n"/>
      <c r="V50" s="35" t="inlineStr">
        <is>
          <t>INSTALLMENT</t>
        </is>
      </c>
      <c r="W50" s="51" t="n"/>
      <c r="X50" s="90" t="n"/>
      <c r="Y50" s="1" t="n"/>
      <c r="Z50" s="35" t="inlineStr">
        <is>
          <t>INSTALLMENT</t>
        </is>
      </c>
      <c r="AA50" s="51" t="n"/>
      <c r="AB50" s="90" t="n"/>
      <c r="AC50" s="1" t="n"/>
      <c r="AD50" s="1" t="n"/>
      <c r="AE50" s="35" t="inlineStr">
        <is>
          <t>INSTALLMENT</t>
        </is>
      </c>
      <c r="AF50" s="51" t="n"/>
      <c r="AG50" s="90" t="n"/>
      <c r="AH50" s="1" t="n"/>
      <c r="AI50" s="1" t="n"/>
      <c r="AJ50" s="31" t="n"/>
      <c r="AK50" s="100" t="n"/>
      <c r="AL50" s="90" t="n"/>
      <c r="AM50" s="1" t="n"/>
      <c r="AN50" s="1" t="n"/>
      <c r="AO50" s="35" t="inlineStr">
        <is>
          <t>INSTALLMENT</t>
        </is>
      </c>
      <c r="AP50" s="51" t="n"/>
      <c r="AQ50" s="90" t="n"/>
      <c r="AR50" s="1" t="n"/>
      <c r="AS50" s="1" t="n"/>
      <c r="AT50" s="35" t="inlineStr">
        <is>
          <t>INSTALLMENT</t>
        </is>
      </c>
      <c r="AU50" s="51" t="n"/>
      <c r="AV50" s="90" t="n"/>
      <c r="AW50" s="1" t="n"/>
      <c r="AX50" s="1" t="n"/>
      <c r="AY50" s="35" t="inlineStr">
        <is>
          <t>INSTALLMENT</t>
        </is>
      </c>
      <c r="AZ50" s="51" t="n"/>
      <c r="BA50" s="90" t="n"/>
    </row>
    <row r="51" ht="30.75" customHeight="1" s="220">
      <c r="A51" s="1" t="n"/>
      <c r="B51" s="96" t="inlineStr">
        <is>
          <t>INVISALIGN</t>
        </is>
      </c>
      <c r="C51" s="97">
        <f>G44+K44+O44+S66+W44+AA44+AF44+AK66+AP44+AU44</f>
        <v/>
      </c>
      <c r="D51" s="1" t="n"/>
      <c r="E51" s="1" t="n"/>
      <c r="F51" s="35" t="inlineStr">
        <is>
          <t>DEDUCTIONS</t>
        </is>
      </c>
      <c r="G51" s="51" t="n"/>
      <c r="H51" s="101" t="n"/>
      <c r="I51" s="1" t="n"/>
      <c r="J51" s="35" t="inlineStr">
        <is>
          <t>DEDUCTIONS</t>
        </is>
      </c>
      <c r="K51" s="51" t="n"/>
      <c r="L51" s="90" t="n"/>
      <c r="M51" s="1" t="n"/>
      <c r="N51" s="35" t="inlineStr">
        <is>
          <t>DEDUCTIONS</t>
        </is>
      </c>
      <c r="O51" s="51" t="n"/>
      <c r="P51" s="90" t="n"/>
      <c r="Q51" s="1" t="n"/>
      <c r="R51" s="31" t="n"/>
      <c r="S51" s="100" t="n"/>
      <c r="T51" s="90" t="n"/>
      <c r="U51" s="1" t="n"/>
      <c r="V51" s="35" t="inlineStr">
        <is>
          <t>DEDUCTIONS</t>
        </is>
      </c>
      <c r="W51" s="51" t="n"/>
      <c r="X51" s="106" t="n"/>
      <c r="Y51" s="1" t="n"/>
      <c r="Z51" s="35" t="inlineStr">
        <is>
          <t>DEDUCTIONS</t>
        </is>
      </c>
      <c r="AA51" s="51" t="n"/>
      <c r="AB51" s="102" t="n"/>
      <c r="AC51" s="1" t="n"/>
      <c r="AD51" s="1" t="n"/>
      <c r="AE51" s="35" t="inlineStr">
        <is>
          <t>DEDUCTIONS</t>
        </is>
      </c>
      <c r="AF51" s="51" t="n"/>
      <c r="AG51" s="102" t="n"/>
      <c r="AH51" s="1" t="n"/>
      <c r="AI51" s="1" t="n"/>
      <c r="AJ51" s="31" t="n"/>
      <c r="AK51" s="100" t="n"/>
      <c r="AL51" s="90" t="n"/>
      <c r="AM51" s="1" t="n"/>
      <c r="AN51" s="1" t="n"/>
      <c r="AO51" s="35" t="inlineStr">
        <is>
          <t>DEDUCTIONS</t>
        </is>
      </c>
      <c r="AP51" s="51" t="n"/>
      <c r="AQ51" s="102" t="n"/>
      <c r="AR51" s="1" t="n"/>
      <c r="AS51" s="1" t="n"/>
      <c r="AT51" s="35" t="inlineStr">
        <is>
          <t>DEDUCTIONS</t>
        </is>
      </c>
      <c r="AU51" s="51" t="n"/>
      <c r="AV51" s="102" t="n"/>
      <c r="AW51" s="1" t="n"/>
      <c r="AX51" s="1" t="n"/>
      <c r="AY51" s="35" t="inlineStr">
        <is>
          <t>DEDUCTIONS</t>
        </is>
      </c>
      <c r="AZ51" s="51" t="n"/>
      <c r="BA51" s="102" t="n"/>
    </row>
    <row r="52" ht="30.75" customHeight="1" s="220">
      <c r="A52" s="1" t="n"/>
      <c r="B52" s="96" t="inlineStr">
        <is>
          <t>IMPLANT</t>
        </is>
      </c>
      <c r="C52" s="97">
        <f>G40+O40+S62+W40+AA40+AF40+K40+AK62+AP40+AU40+AZ40</f>
        <v/>
      </c>
      <c r="D52" s="1" t="n"/>
      <c r="E52" s="1" t="n"/>
      <c r="F52" s="107" t="n"/>
      <c r="G52" s="108" t="n"/>
      <c r="H52" s="1" t="n"/>
      <c r="I52" s="1" t="n"/>
      <c r="J52" s="107" t="n"/>
      <c r="K52" s="108" t="n"/>
      <c r="L52" s="1" t="n"/>
      <c r="M52" s="1" t="n"/>
      <c r="N52" s="107" t="n"/>
      <c r="O52" s="108" t="n"/>
      <c r="P52" s="1" t="n"/>
      <c r="Q52" s="1" t="n"/>
      <c r="R52" s="31" t="n"/>
      <c r="S52" s="100" t="n"/>
      <c r="T52" s="90" t="n"/>
      <c r="U52" s="1" t="n"/>
      <c r="V52" s="107" t="n"/>
      <c r="W52" s="108" t="n"/>
      <c r="X52" s="1" t="n"/>
      <c r="Y52" s="1" t="n"/>
      <c r="Z52" s="107" t="n"/>
      <c r="AA52" s="108" t="n"/>
      <c r="AB52" s="1" t="n"/>
      <c r="AC52" s="1" t="n"/>
      <c r="AD52" s="1" t="n"/>
      <c r="AE52" s="107" t="n"/>
      <c r="AF52" s="108" t="n"/>
      <c r="AG52" s="1" t="n"/>
      <c r="AH52" s="1" t="n"/>
      <c r="AI52" s="1" t="n"/>
      <c r="AJ52" s="31" t="n"/>
      <c r="AK52" s="100" t="n"/>
      <c r="AL52" s="90" t="n"/>
      <c r="AM52" s="1" t="n"/>
      <c r="AN52" s="1" t="n"/>
      <c r="AO52" s="107" t="n"/>
      <c r="AP52" s="108" t="n"/>
      <c r="AQ52" s="1" t="n"/>
      <c r="AR52" s="1" t="n"/>
      <c r="AS52" s="1" t="n"/>
      <c r="AT52" s="107" t="n"/>
      <c r="AU52" s="108" t="n"/>
      <c r="AV52" s="1" t="n"/>
      <c r="AW52" s="1" t="n"/>
      <c r="AX52" s="1" t="n"/>
      <c r="AY52" s="107" t="n"/>
      <c r="AZ52" s="108" t="n"/>
      <c r="BA52" s="1" t="n"/>
    </row>
    <row r="53" ht="30.75" customHeight="1" s="220">
      <c r="A53" s="1" t="n"/>
      <c r="B53" s="96" t="inlineStr">
        <is>
          <t>SKYLAB</t>
        </is>
      </c>
      <c r="C53" s="97">
        <f>G41+O41+W41+S63+K41+AA41+AF41+AK63+AP41+AU41+AZ41</f>
        <v/>
      </c>
      <c r="D53" s="1" t="n"/>
      <c r="E53" s="1" t="n"/>
      <c r="F53" s="61" t="inlineStr">
        <is>
          <t>TOTAL</t>
        </is>
      </c>
      <c r="G53" s="109">
        <f>F31-G34-G35-G37-G36-G38-G39-G40-G41-G42-G43-G44+G45-G46-G47-G48-G49-G50-G51</f>
        <v/>
      </c>
      <c r="H53" s="90" t="n"/>
      <c r="I53" s="1" t="n"/>
      <c r="J53" s="61" t="inlineStr">
        <is>
          <t>TOTAL</t>
        </is>
      </c>
      <c r="K53" s="109">
        <f>J31-K34-K35-K36-K37-K38-K39-K40-K41-K42-K43-K44+K45-K46-K47-K48-K49-K50-K51</f>
        <v/>
      </c>
      <c r="L53" s="90" t="n"/>
      <c r="M53" s="1" t="n"/>
      <c r="N53" s="61" t="inlineStr">
        <is>
          <t>TOTAL</t>
        </is>
      </c>
      <c r="O53" s="109">
        <f>N31-O34-O35-O36-O37-O38-O39-O40-O41-O42-O43-O44+O45-O46-O47-O48-O49-O50-O51</f>
        <v/>
      </c>
      <c r="P53" s="90" t="n"/>
      <c r="Q53" s="1" t="n"/>
      <c r="R53" s="31" t="n"/>
      <c r="S53" s="100" t="n"/>
      <c r="T53" s="90" t="n"/>
      <c r="U53" s="1" t="n"/>
      <c r="V53" s="61" t="inlineStr">
        <is>
          <t>TOTAL</t>
        </is>
      </c>
      <c r="W53" s="109">
        <f>V31-W34-W35-W36-W37-W38-W39-W40-W41-W42-W43-W44+W45-W46-W47-W48-W49-W50-W51</f>
        <v/>
      </c>
      <c r="X53" s="90" t="n"/>
      <c r="Y53" s="1" t="n"/>
      <c r="Z53" s="180" t="inlineStr">
        <is>
          <t>TOTAL</t>
        </is>
      </c>
      <c r="AA53" s="181">
        <f>Z31-AA34-AA35-AA36-AA37-AA38-AA39-AA40-AA41-AA42-AA43-AA44+AA45-AA46-AA47-AA48-AA49-AA50-AA51</f>
        <v/>
      </c>
      <c r="AB53" s="182" t="n"/>
      <c r="AC53" s="1" t="n"/>
      <c r="AD53" s="1" t="n"/>
      <c r="AE53" s="61" t="inlineStr">
        <is>
          <t>TOTAL</t>
        </is>
      </c>
      <c r="AF53" s="109">
        <f>AE31-AF34-AF35-AF36-AF37-AF38-AF39-AF40-AF41-AF42-AF43-AF44+AF45-AF46-AF47-AF48-AF49-AF50-AF51</f>
        <v/>
      </c>
      <c r="AG53" s="90" t="n"/>
      <c r="AH53" s="1" t="n"/>
      <c r="AI53" s="1" t="n"/>
      <c r="AJ53" s="31" t="n"/>
      <c r="AK53" s="100" t="n"/>
      <c r="AL53" s="90" t="n"/>
      <c r="AM53" s="1" t="n"/>
      <c r="AN53" s="1" t="n"/>
      <c r="AO53" s="61" t="inlineStr">
        <is>
          <t>TOTAL</t>
        </is>
      </c>
      <c r="AP53" s="109">
        <f>AO31-AP34-AP35-AP36-AP37-AP38-AP39-AP40-AP41-AP42-AP43-AP44+AP45-AP46-AP47-AP48-AP49-AP50-AP51</f>
        <v/>
      </c>
      <c r="AQ53" s="90" t="n"/>
      <c r="AR53" s="1" t="n"/>
      <c r="AS53" s="1" t="n"/>
      <c r="AT53" s="61" t="inlineStr">
        <is>
          <t>TOTAL</t>
        </is>
      </c>
      <c r="AU53" s="109">
        <f>AT31-AU34-AU35-AU36-AU37-AU38-AU39-AU40-AU41-AU42-AU43-AU44+AU45-AU46-AU47-AU48-AU49-AU50-AU51</f>
        <v/>
      </c>
      <c r="AV53" s="90" t="n"/>
      <c r="AW53" s="1" t="n"/>
      <c r="AX53" s="1" t="n"/>
      <c r="AY53" s="61" t="inlineStr">
        <is>
          <t>TOTAL</t>
        </is>
      </c>
      <c r="AZ53" s="109">
        <f>AY31-AZ34-AZ35-AZ36-AZ37-AZ38-AZ39-AZ40-AZ41-AZ42-AZ43-AZ44+AZ45-AZ46-AZ47-AZ48-AZ49-AZ50-AZ51</f>
        <v/>
      </c>
      <c r="BA53" s="90" t="n"/>
    </row>
    <row r="54" ht="30.75" customHeight="1" s="220">
      <c r="A54" s="1" t="n"/>
      <c r="B54" s="96" t="inlineStr">
        <is>
          <t>DIGICADCAM</t>
        </is>
      </c>
      <c r="C54" s="97">
        <f>G42+O42+W42+AA42+AF42+S64+K42+AK64+AP42+AU42+AZ42</f>
        <v/>
      </c>
      <c r="D54" s="1" t="n"/>
      <c r="E54" s="1" t="n"/>
      <c r="F54" s="110" t="inlineStr">
        <is>
          <t>DOCTORS FEE BEFORE DEDUCTION</t>
        </is>
      </c>
      <c r="G54" s="111">
        <f>G53/2+G55</f>
        <v/>
      </c>
      <c r="H54" s="90" t="n"/>
      <c r="I54" s="1" t="n"/>
      <c r="J54" s="110" t="inlineStr">
        <is>
          <t>DOCTORS FEE BEFORE DEDUCTION</t>
        </is>
      </c>
      <c r="K54" s="111">
        <f>K53/2+K55</f>
        <v/>
      </c>
      <c r="L54" s="90" t="n"/>
      <c r="M54" s="1" t="n"/>
      <c r="N54" s="112" t="inlineStr">
        <is>
          <t>DOCTORS PAY</t>
        </is>
      </c>
      <c r="O54" s="111">
        <f>(O53*50%)+O55</f>
        <v/>
      </c>
      <c r="P54" s="90" t="n"/>
      <c r="Q54" s="1" t="n"/>
      <c r="R54" s="31" t="n"/>
      <c r="S54" s="100" t="n"/>
      <c r="T54" s="90" t="n"/>
      <c r="U54" s="1" t="n"/>
      <c r="V54" s="112" t="inlineStr">
        <is>
          <t>DOCTORS PAY</t>
        </is>
      </c>
      <c r="W54" s="111">
        <f>(W53*50%)+W55</f>
        <v/>
      </c>
      <c r="X54" s="90" t="n"/>
      <c r="Y54" s="1" t="n"/>
      <c r="Z54" s="112" t="inlineStr">
        <is>
          <t>DOCTORS PAY</t>
        </is>
      </c>
      <c r="AA54" s="111">
        <f>(AA53*40%)+AA55</f>
        <v/>
      </c>
      <c r="AB54" s="90" t="n"/>
      <c r="AC54" s="1" t="n"/>
      <c r="AD54" s="1" t="n"/>
      <c r="AE54" s="112" t="inlineStr">
        <is>
          <t>DOCTORS PAY</t>
        </is>
      </c>
      <c r="AF54" s="111">
        <f>(AF53*50%)+AF55</f>
        <v/>
      </c>
      <c r="AG54" s="90" t="n"/>
      <c r="AH54" s="1" t="n"/>
      <c r="AI54" s="1" t="n"/>
      <c r="AJ54" s="31" t="n"/>
      <c r="AK54" s="100" t="n"/>
      <c r="AL54" s="90" t="n"/>
      <c r="AM54" s="1" t="n"/>
      <c r="AN54" s="1" t="n"/>
      <c r="AO54" s="112" t="inlineStr">
        <is>
          <t>DOCTORS PAY</t>
        </is>
      </c>
      <c r="AP54" s="111">
        <f>(AP53*45%)+AP55</f>
        <v/>
      </c>
      <c r="AQ54" s="90" t="n"/>
      <c r="AR54" s="1" t="n"/>
      <c r="AS54" s="1" t="n"/>
      <c r="AT54" s="112" t="inlineStr">
        <is>
          <t>DOCTORS PAY</t>
        </is>
      </c>
      <c r="AU54" s="111">
        <f>(AU53*50%)+AU55</f>
        <v/>
      </c>
      <c r="AV54" s="90" t="n"/>
      <c r="AW54" s="1" t="n"/>
      <c r="AX54" s="1" t="n"/>
      <c r="AY54" s="112" t="inlineStr">
        <is>
          <t>DOCTORS PAY</t>
        </is>
      </c>
      <c r="AZ54" s="111">
        <f>(AZ53*45%)+AZ55</f>
        <v/>
      </c>
      <c r="BA54" s="90" t="n"/>
    </row>
    <row r="55" ht="30.75" customHeight="1" s="220">
      <c r="A55" s="1" t="n"/>
      <c r="B55" s="113" t="inlineStr">
        <is>
          <t xml:space="preserve">OTHER LAB </t>
        </is>
      </c>
      <c r="C55" s="97">
        <f>G43+O43+K43+S65+W43+AA43+AF43+AK65+AP43+AU43+AZ43</f>
        <v/>
      </c>
      <c r="D55" s="1" t="n"/>
      <c r="E55" s="1" t="n"/>
      <c r="F55" s="50" t="inlineStr">
        <is>
          <t>ADJUSTMENTS (+)</t>
        </is>
      </c>
      <c r="G55" s="36" t="n"/>
      <c r="H55" s="98" t="n"/>
      <c r="I55" s="1" t="n"/>
      <c r="J55" s="50" t="inlineStr">
        <is>
          <t>ADJUSTMENTS (+)</t>
        </is>
      </c>
      <c r="K55" s="36" t="n"/>
      <c r="L55" s="90" t="n"/>
      <c r="M55" s="1" t="n"/>
      <c r="N55" s="50" t="inlineStr">
        <is>
          <t>ADJUSTMENTS (+)</t>
        </is>
      </c>
      <c r="O55" s="36" t="n"/>
      <c r="P55" s="90" t="n"/>
      <c r="Q55" s="1" t="n"/>
      <c r="R55" s="31" t="n"/>
      <c r="S55" s="100" t="n"/>
      <c r="T55" s="90" t="n"/>
      <c r="U55" s="1" t="n"/>
      <c r="V55" s="50" t="inlineStr">
        <is>
          <t>ADJUSTMENTS (+)</t>
        </is>
      </c>
      <c r="W55" s="36" t="n"/>
      <c r="X55" s="114" t="n"/>
      <c r="Y55" s="1" t="n"/>
      <c r="Z55" s="50" t="inlineStr">
        <is>
          <t>ADJUSTMENTS (+)</t>
        </is>
      </c>
      <c r="AA55" s="36" t="n"/>
      <c r="AB55" s="90" t="n"/>
      <c r="AC55" s="1" t="n"/>
      <c r="AD55" s="1" t="n"/>
      <c r="AE55" s="50" t="inlineStr">
        <is>
          <t>ADJUSTMENTS (+)</t>
        </is>
      </c>
      <c r="AF55" s="36" t="n"/>
      <c r="AG55" s="98" t="n"/>
      <c r="AH55" s="1" t="n"/>
      <c r="AI55" s="1" t="n"/>
      <c r="AJ55" s="31" t="n"/>
      <c r="AK55" s="100" t="n"/>
      <c r="AL55" s="90" t="n"/>
      <c r="AM55" s="1" t="n"/>
      <c r="AN55" s="1" t="n"/>
      <c r="AO55" s="50" t="inlineStr">
        <is>
          <t>ADJUSTMENTS (+)</t>
        </is>
      </c>
      <c r="AP55" s="36" t="n"/>
      <c r="AQ55" s="98" t="n"/>
      <c r="AR55" s="1" t="n"/>
      <c r="AS55" s="1" t="n"/>
      <c r="AT55" s="50" t="inlineStr">
        <is>
          <t>ADJUSTMENTS (+)</t>
        </is>
      </c>
      <c r="AU55" s="36" t="n"/>
      <c r="AV55" s="98" t="n"/>
      <c r="AW55" s="1" t="n"/>
      <c r="AX55" s="1" t="n"/>
      <c r="AY55" s="50" t="inlineStr">
        <is>
          <t>ADJUSTMENTS (+)</t>
        </is>
      </c>
      <c r="AZ55" s="36" t="n"/>
      <c r="BA55" s="98" t="n"/>
    </row>
    <row r="56" ht="82.5" customHeight="1" s="220">
      <c r="A56" s="1" t="n"/>
      <c r="B56" s="96" t="inlineStr">
        <is>
          <t>ORTHO (B+B)</t>
        </is>
      </c>
      <c r="C56" s="97">
        <f>G38+K38+O38+S60+W38+AA38+AF38+AK60</f>
        <v/>
      </c>
      <c r="D56" s="1" t="n"/>
      <c r="E56" s="1" t="n"/>
      <c r="F56" s="50" t="inlineStr">
        <is>
          <t>ADJUSTMENTS (-)</t>
        </is>
      </c>
      <c r="G56" s="115">
        <f>G61+G65</f>
        <v/>
      </c>
      <c r="H56" s="114" t="inlineStr">
        <is>
          <t>ADDN MARKETING&amp; MEDISAVE ADMIN</t>
        </is>
      </c>
      <c r="I56" s="1" t="n"/>
      <c r="J56" s="50" t="inlineStr">
        <is>
          <t>ADJUSTMENTS (-)</t>
        </is>
      </c>
      <c r="K56" s="115">
        <f>K61+K65</f>
        <v/>
      </c>
      <c r="L56" s="114" t="inlineStr">
        <is>
          <t>ADDN MARKETING</t>
        </is>
      </c>
      <c r="M56" s="1" t="n"/>
      <c r="N56" s="50" t="inlineStr">
        <is>
          <t>ADJUSTMENTS (-)</t>
        </is>
      </c>
      <c r="O56" s="115">
        <f>O61+O65</f>
        <v/>
      </c>
      <c r="P56" s="114" t="inlineStr">
        <is>
          <t>ADDN MARKETING &amp; MEDISAVE ADMIN</t>
        </is>
      </c>
      <c r="Q56" s="1" t="n"/>
      <c r="R56" s="31" t="n"/>
      <c r="S56" s="100" t="n"/>
      <c r="T56" s="90" t="n"/>
      <c r="U56" s="1" t="n"/>
      <c r="V56" s="50" t="inlineStr">
        <is>
          <t>ADJUSTMENTS (-)</t>
        </is>
      </c>
      <c r="W56" s="116">
        <f>W61+W65</f>
        <v/>
      </c>
      <c r="X56" s="114" t="inlineStr">
        <is>
          <t>ADDN MKTRG &amp; MEDISAVE ADMIN</t>
        </is>
      </c>
      <c r="Y56" s="1" t="n"/>
      <c r="Z56" s="50" t="inlineStr">
        <is>
          <t>ADJUSTMENTS (-)</t>
        </is>
      </c>
      <c r="AA56" s="115">
        <f>AA61+AA65</f>
        <v/>
      </c>
      <c r="AB56" s="102" t="inlineStr">
        <is>
          <t>MARKETING FEE &amp; MEDISAVE ADMIN</t>
        </is>
      </c>
      <c r="AC56" s="1" t="n"/>
      <c r="AD56" s="1" t="n"/>
      <c r="AE56" s="50" t="inlineStr">
        <is>
          <t>ADJUSTMENTS (-)</t>
        </is>
      </c>
      <c r="AF56" s="116">
        <f>AF61+AF65</f>
        <v/>
      </c>
      <c r="AG56" s="102" t="inlineStr">
        <is>
          <t>MARKETING FEE &amp; MEDISAVE ADMIN</t>
        </is>
      </c>
      <c r="AH56" s="1" t="n"/>
      <c r="AI56" s="1" t="n"/>
      <c r="AJ56" s="31" t="n"/>
      <c r="AK56" s="100" t="n"/>
      <c r="AL56" s="90" t="n"/>
      <c r="AM56" s="1" t="n"/>
      <c r="AN56" s="1" t="n"/>
      <c r="AO56" s="50" t="inlineStr">
        <is>
          <t>ADJUSTMENTS (-)</t>
        </is>
      </c>
      <c r="AP56" s="116">
        <f>AP61+AP65</f>
        <v/>
      </c>
      <c r="AQ56" s="102" t="inlineStr">
        <is>
          <t>MARKETING FEE &amp; MEDISAVE ADMIN</t>
        </is>
      </c>
      <c r="AR56" s="1" t="n"/>
      <c r="AS56" s="1" t="n"/>
      <c r="AT56" s="50" t="inlineStr">
        <is>
          <t>ADJUSTMENTS (-)</t>
        </is>
      </c>
      <c r="AU56" s="116">
        <f>AU61+AU65</f>
        <v/>
      </c>
      <c r="AV56" s="102" t="inlineStr">
        <is>
          <t>MARKETING FEE &amp; MEDISAVE ADMIN</t>
        </is>
      </c>
      <c r="AW56" s="1" t="n"/>
      <c r="AX56" s="1" t="n"/>
      <c r="AY56" s="50" t="inlineStr">
        <is>
          <t>ADJUSTMENTS (-)</t>
        </is>
      </c>
      <c r="AZ56" s="116">
        <f>AZ61+AZ65</f>
        <v/>
      </c>
      <c r="BA56" s="102" t="inlineStr">
        <is>
          <t>MARKETING FEE &amp; MEDISAVE ADMIN</t>
        </is>
      </c>
    </row>
    <row r="57" ht="30.75" customHeight="1" s="220">
      <c r="A57" s="1" t="n"/>
      <c r="B57" s="96" t="inlineStr">
        <is>
          <t>ABUTMENT</t>
        </is>
      </c>
      <c r="C57" s="97">
        <f>O39+G39+K39+S61+AA39+W39+AF39+AK61</f>
        <v/>
      </c>
      <c r="D57" s="1" t="n"/>
      <c r="E57" s="1" t="n"/>
      <c r="F57" s="50" t="inlineStr">
        <is>
          <t>NET PAY</t>
        </is>
      </c>
      <c r="G57" s="111">
        <f>G54-G56</f>
        <v/>
      </c>
      <c r="H57" s="90" t="n"/>
      <c r="I57" s="1" t="n"/>
      <c r="J57" s="50" t="inlineStr">
        <is>
          <t>NET PAY</t>
        </is>
      </c>
      <c r="K57" s="111">
        <f>K54-K56</f>
        <v/>
      </c>
      <c r="L57" s="90" t="n"/>
      <c r="M57" s="1" t="n"/>
      <c r="N57" s="50" t="inlineStr">
        <is>
          <t>NET PAY</t>
        </is>
      </c>
      <c r="O57" s="111">
        <f>O54-O56</f>
        <v/>
      </c>
      <c r="P57" s="90" t="n"/>
      <c r="Q57" s="1" t="n"/>
      <c r="R57" s="31" t="n"/>
      <c r="S57" s="100" t="n"/>
      <c r="T57" s="90" t="n"/>
      <c r="U57" s="1" t="n"/>
      <c r="V57" s="50" t="inlineStr">
        <is>
          <t>NET PAY</t>
        </is>
      </c>
      <c r="W57" s="111">
        <f>W54-W56</f>
        <v/>
      </c>
      <c r="X57" s="90" t="n"/>
      <c r="Y57" s="1" t="n"/>
      <c r="Z57" s="50" t="inlineStr">
        <is>
          <t>NET PAY</t>
        </is>
      </c>
      <c r="AA57" s="111">
        <f>AA54-AA56</f>
        <v/>
      </c>
      <c r="AB57" s="90" t="n"/>
      <c r="AC57" s="1" t="n"/>
      <c r="AD57" s="1" t="n"/>
      <c r="AE57" s="50" t="inlineStr">
        <is>
          <t>NET PAY</t>
        </is>
      </c>
      <c r="AF57" s="111">
        <f>AF54-AF56</f>
        <v/>
      </c>
      <c r="AG57" s="90" t="n"/>
      <c r="AH57" s="1" t="n"/>
      <c r="AI57" s="1" t="n"/>
      <c r="AJ57" s="31" t="n"/>
      <c r="AK57" s="100" t="n"/>
      <c r="AL57" s="90" t="n"/>
      <c r="AM57" s="1" t="n"/>
      <c r="AN57" s="1" t="n"/>
      <c r="AO57" s="50" t="inlineStr">
        <is>
          <t>NET PAY</t>
        </is>
      </c>
      <c r="AP57" s="111">
        <f>AP54-AP56</f>
        <v/>
      </c>
      <c r="AQ57" s="90" t="n"/>
      <c r="AR57" s="1" t="n"/>
      <c r="AS57" s="1" t="n"/>
      <c r="AT57" s="50" t="inlineStr">
        <is>
          <t>NET PAY</t>
        </is>
      </c>
      <c r="AU57" s="111">
        <f>AU54-AU56</f>
        <v/>
      </c>
      <c r="AV57" s="90" t="n"/>
      <c r="AW57" s="1" t="n"/>
      <c r="AX57" s="1" t="n"/>
      <c r="AY57" s="50" t="inlineStr">
        <is>
          <t>NET PAY</t>
        </is>
      </c>
      <c r="AZ57" s="111">
        <f>AZ54-AZ56</f>
        <v/>
      </c>
      <c r="BA57" s="90" t="n"/>
    </row>
    <row r="58" ht="30.75" customHeight="1" s="220">
      <c r="A58" s="1" t="inlineStr">
        <is>
          <t> </t>
        </is>
      </c>
      <c r="B58" s="96" t="inlineStr">
        <is>
          <t>REFUND / REFERRAL</t>
        </is>
      </c>
      <c r="C58" s="97">
        <f>G47+K47+O47+S69+W47+AA47+AF47+AK69</f>
        <v/>
      </c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31" t="inlineStr">
        <is>
          <t>ICC-5</t>
        </is>
      </c>
      <c r="S58" s="100" t="n"/>
      <c r="T58" s="90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31" t="inlineStr">
        <is>
          <t>ICC-5</t>
        </is>
      </c>
      <c r="AK58" s="100" t="n"/>
      <c r="AL58" s="90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</row>
    <row r="59" ht="30.75" customHeight="1" s="220">
      <c r="A59" s="1" t="n"/>
      <c r="B59" s="96" t="inlineStr">
        <is>
          <t>DOCTORS PAY</t>
        </is>
      </c>
      <c r="C59" s="97">
        <f>G54+K54+O54+W54+AA54+AF54+AP54+AU54+AZ54</f>
        <v/>
      </c>
      <c r="D59" s="1" t="n"/>
      <c r="E59" s="1" t="n"/>
      <c r="F59" s="117" t="inlineStr">
        <is>
          <t>MEDISAVE ADMIN FEE CALCULATION:</t>
        </is>
      </c>
      <c r="G59" s="1" t="n"/>
      <c r="H59" s="1" t="n"/>
      <c r="I59" s="1" t="n"/>
      <c r="J59" s="117" t="inlineStr">
        <is>
          <t>MEDISAVE ADMIN FEE CALCULATION:</t>
        </is>
      </c>
      <c r="K59" s="1" t="n"/>
      <c r="L59" s="1" t="n"/>
      <c r="M59" s="1" t="n"/>
      <c r="N59" s="117" t="inlineStr">
        <is>
          <t>MEDISAVE ADMIN FEE CALCULATION:</t>
        </is>
      </c>
      <c r="O59" s="1" t="n"/>
      <c r="P59" s="1" t="n"/>
      <c r="Q59" s="1" t="n"/>
      <c r="R59" s="31" t="inlineStr">
        <is>
          <t>PRODUCTS</t>
        </is>
      </c>
      <c r="S59" s="100" t="n"/>
      <c r="T59" s="90" t="n"/>
      <c r="U59" s="1" t="n"/>
      <c r="V59" s="117" t="inlineStr">
        <is>
          <t>MEDISAVE ADMIN FEE CALCULATION:</t>
        </is>
      </c>
      <c r="W59" s="1" t="n"/>
      <c r="X59" s="1" t="n"/>
      <c r="Y59" s="1" t="n"/>
      <c r="Z59" s="117" t="inlineStr">
        <is>
          <t>MEDISAVE ADMIN FEE CALCULATION:</t>
        </is>
      </c>
      <c r="AA59" s="1" t="n"/>
      <c r="AB59" s="1" t="n"/>
      <c r="AC59" s="1" t="n"/>
      <c r="AD59" s="1" t="n"/>
      <c r="AE59" s="117" t="inlineStr">
        <is>
          <t>MEDISAVE ADMIN FEE CALCULATION:</t>
        </is>
      </c>
      <c r="AF59" s="1" t="n"/>
      <c r="AG59" s="1" t="n"/>
      <c r="AH59" s="1" t="n"/>
      <c r="AI59" s="1" t="n"/>
      <c r="AJ59" s="31" t="inlineStr">
        <is>
          <t>PRODUCTS</t>
        </is>
      </c>
      <c r="AK59" s="100" t="n"/>
      <c r="AL59" s="90" t="n"/>
      <c r="AM59" s="1" t="n"/>
      <c r="AN59" s="1" t="n"/>
      <c r="AO59" s="117" t="inlineStr">
        <is>
          <t>MEDISAVE ADMIN FEE CALCULATION:</t>
        </is>
      </c>
      <c r="AP59" s="1" t="n"/>
      <c r="AQ59" s="1" t="n"/>
      <c r="AR59" s="1" t="n"/>
      <c r="AS59" s="1" t="n"/>
      <c r="AT59" s="117" t="inlineStr">
        <is>
          <t>MEDISAVE ADMIN FEE CALCULATION:</t>
        </is>
      </c>
      <c r="AU59" s="1" t="n"/>
      <c r="AV59" s="1" t="n"/>
      <c r="AW59" s="1" t="n"/>
      <c r="AX59" s="1" t="n"/>
      <c r="AY59" s="117" t="inlineStr">
        <is>
          <t>MEDISAVE ADMIN FEE CALCULATION:</t>
        </is>
      </c>
      <c r="AZ59" s="1" t="n"/>
      <c r="BA59" s="1" t="n"/>
    </row>
    <row r="60" ht="30.75" customHeight="1" s="220">
      <c r="A60" s="1" t="n"/>
      <c r="B60" s="96" t="inlineStr">
        <is>
          <t>NURSE PAY (BASIC PAY)</t>
        </is>
      </c>
      <c r="C60" s="97" t="n"/>
      <c r="D60" s="1" t="n"/>
      <c r="E60" s="1" t="n"/>
      <c r="F60" s="118" t="inlineStr">
        <is>
          <t>Medisave Claim</t>
        </is>
      </c>
      <c r="G60" s="119" t="inlineStr">
        <is>
          <t>Admin Fee</t>
        </is>
      </c>
      <c r="H60" s="119" t="inlineStr">
        <is>
          <t>REMARKS</t>
        </is>
      </c>
      <c r="I60" s="1" t="n"/>
      <c r="J60" s="118" t="inlineStr">
        <is>
          <t>Medisave Claim</t>
        </is>
      </c>
      <c r="K60" s="119" t="inlineStr">
        <is>
          <t>Admin Fee</t>
        </is>
      </c>
      <c r="L60" s="119" t="inlineStr">
        <is>
          <t>REMARKS</t>
        </is>
      </c>
      <c r="M60" s="1" t="n"/>
      <c r="N60" s="118" t="inlineStr">
        <is>
          <t>Medisave Claim</t>
        </is>
      </c>
      <c r="O60" s="119" t="inlineStr">
        <is>
          <t>Admin Fee</t>
        </is>
      </c>
      <c r="P60" s="119" t="inlineStr">
        <is>
          <t>REMARKS</t>
        </is>
      </c>
      <c r="Q60" s="1" t="n"/>
      <c r="R60" s="31" t="inlineStr">
        <is>
          <t>ORTHO (B+B)</t>
        </is>
      </c>
      <c r="S60" s="100" t="n"/>
      <c r="T60" s="90" t="n"/>
      <c r="U60" s="1" t="n"/>
      <c r="V60" s="118" t="inlineStr">
        <is>
          <t>Medisave Claim</t>
        </is>
      </c>
      <c r="W60" s="119" t="inlineStr">
        <is>
          <t>Admin Fee</t>
        </is>
      </c>
      <c r="X60" s="119" t="inlineStr">
        <is>
          <t>REMARKS</t>
        </is>
      </c>
      <c r="Y60" s="1" t="n"/>
      <c r="Z60" s="118" t="inlineStr">
        <is>
          <t>Medisave Claim</t>
        </is>
      </c>
      <c r="AA60" s="119" t="inlineStr">
        <is>
          <t>Admin Fee</t>
        </is>
      </c>
      <c r="AB60" s="119" t="inlineStr">
        <is>
          <t>REMARKS</t>
        </is>
      </c>
      <c r="AC60" s="1" t="n"/>
      <c r="AD60" s="1" t="n"/>
      <c r="AE60" s="118" t="inlineStr">
        <is>
          <t>Medisave Claim</t>
        </is>
      </c>
      <c r="AF60" s="119" t="inlineStr">
        <is>
          <t>Admin Fee</t>
        </is>
      </c>
      <c r="AG60" s="119" t="inlineStr">
        <is>
          <t>REMARKS</t>
        </is>
      </c>
      <c r="AH60" s="1" t="n"/>
      <c r="AI60" s="1" t="n"/>
      <c r="AJ60" s="31" t="inlineStr">
        <is>
          <t>ORTHO (B+B)</t>
        </is>
      </c>
      <c r="AK60" s="100" t="n"/>
      <c r="AL60" s="90" t="n"/>
      <c r="AM60" s="1" t="n"/>
      <c r="AN60" s="1" t="n"/>
      <c r="AO60" s="118" t="inlineStr">
        <is>
          <t>Medisave Claim</t>
        </is>
      </c>
      <c r="AP60" s="119" t="inlineStr">
        <is>
          <t>Admin Fee</t>
        </is>
      </c>
      <c r="AQ60" s="119" t="inlineStr">
        <is>
          <t>REMARKS</t>
        </is>
      </c>
      <c r="AR60" s="1" t="n"/>
      <c r="AS60" s="1" t="n"/>
      <c r="AT60" s="118" t="inlineStr">
        <is>
          <t>Medisave Claim</t>
        </is>
      </c>
      <c r="AU60" s="119" t="inlineStr">
        <is>
          <t>Admin Fee</t>
        </is>
      </c>
      <c r="AV60" s="119" t="inlineStr">
        <is>
          <t>REMARKS</t>
        </is>
      </c>
      <c r="AW60" s="1" t="n"/>
      <c r="AX60" s="1" t="n"/>
      <c r="AY60" s="118" t="inlineStr">
        <is>
          <t>Medisave Claim</t>
        </is>
      </c>
      <c r="AZ60" s="119" t="inlineStr">
        <is>
          <t>Admin Fee</t>
        </is>
      </c>
      <c r="BA60" s="119" t="inlineStr">
        <is>
          <t>REMARKS</t>
        </is>
      </c>
    </row>
    <row r="61" ht="30.75" customHeight="1" s="220">
      <c r="A61" s="1" t="n"/>
      <c r="B61" s="96" t="inlineStr">
        <is>
          <t>NURSE PAY (INCENTIVE)</t>
        </is>
      </c>
      <c r="C61" s="97" t="n"/>
      <c r="D61" s="1" t="n"/>
      <c r="E61" s="1" t="n"/>
      <c r="F61" s="120" t="n"/>
      <c r="G61" s="121">
        <f>F61*20</f>
        <v/>
      </c>
      <c r="H61" s="121" t="n"/>
      <c r="I61" s="1" t="n"/>
      <c r="J61" s="120" t="n"/>
      <c r="K61" s="121">
        <f>J61*20</f>
        <v/>
      </c>
      <c r="L61" s="121" t="n"/>
      <c r="M61" s="1" t="n"/>
      <c r="N61" s="120" t="n"/>
      <c r="O61" s="121">
        <f>N61*20</f>
        <v/>
      </c>
      <c r="P61" s="121" t="n"/>
      <c r="Q61" s="1" t="n"/>
      <c r="R61" s="31" t="inlineStr">
        <is>
          <t>ABUTMENTS</t>
        </is>
      </c>
      <c r="S61" s="100" t="n"/>
      <c r="T61" s="90" t="n"/>
      <c r="U61" s="1" t="n"/>
      <c r="V61" s="120" t="n"/>
      <c r="W61" s="121">
        <f>V61*20</f>
        <v/>
      </c>
      <c r="X61" s="121" t="n"/>
      <c r="Y61" s="1" t="n"/>
      <c r="Z61" s="120" t="n"/>
      <c r="AA61" s="121">
        <f>Z61*20</f>
        <v/>
      </c>
      <c r="AB61" s="121" t="n"/>
      <c r="AC61" s="1" t="n"/>
      <c r="AD61" s="1" t="n"/>
      <c r="AE61" s="120" t="n"/>
      <c r="AF61" s="121">
        <f>AE61*20</f>
        <v/>
      </c>
      <c r="AG61" s="121" t="n"/>
      <c r="AH61" s="1" t="n"/>
      <c r="AI61" s="1" t="n"/>
      <c r="AJ61" s="31" t="inlineStr">
        <is>
          <t>ABUTMENTS</t>
        </is>
      </c>
      <c r="AK61" s="100" t="n"/>
      <c r="AL61" s="90" t="n"/>
      <c r="AM61" s="1" t="n"/>
      <c r="AN61" s="1" t="n"/>
      <c r="AO61" s="120" t="n"/>
      <c r="AP61" s="121">
        <f>AO61*20</f>
        <v/>
      </c>
      <c r="AQ61" s="121" t="n"/>
      <c r="AR61" s="1" t="n"/>
      <c r="AS61" s="1" t="n"/>
      <c r="AT61" s="120" t="n"/>
      <c r="AU61" s="121">
        <f>AT61*20</f>
        <v/>
      </c>
      <c r="AV61" s="121" t="n"/>
      <c r="AW61" s="1" t="n"/>
      <c r="AX61" s="1" t="n"/>
      <c r="AY61" s="120" t="n"/>
      <c r="AZ61" s="121">
        <f>AY61*20</f>
        <v/>
      </c>
      <c r="BA61" s="121" t="n"/>
    </row>
    <row r="62" ht="30.75" customHeight="1" s="220">
      <c r="A62" s="1" t="n"/>
      <c r="B62" s="96" t="inlineStr">
        <is>
          <t>NURSE TRANSFER FEE</t>
        </is>
      </c>
      <c r="C62" s="97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31" t="inlineStr">
        <is>
          <t>IMPLANT</t>
        </is>
      </c>
      <c r="S62" s="100" t="n"/>
      <c r="T62" s="90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31" t="inlineStr">
        <is>
          <t>IMPLANT</t>
        </is>
      </c>
      <c r="AK62" s="100" t="n"/>
      <c r="AL62" s="90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</row>
    <row r="63" ht="30.75" customHeight="1" s="220">
      <c r="A63" s="1" t="inlineStr">
        <is>
          <t> </t>
        </is>
      </c>
      <c r="B63" s="96" t="inlineStr">
        <is>
          <t>TANK CULTURE</t>
        </is>
      </c>
      <c r="C63" s="97" t="n">
        <v>163.5</v>
      </c>
      <c r="D63" s="1" t="n"/>
      <c r="E63" s="1" t="n"/>
      <c r="F63" s="122" t="inlineStr">
        <is>
          <t>ADDITIONAL MARKETING:</t>
        </is>
      </c>
      <c r="G63" s="1" t="n"/>
      <c r="H63" s="1" t="n"/>
      <c r="I63" s="1" t="n"/>
      <c r="J63" s="122" t="inlineStr">
        <is>
          <t>ADDITIONAL MARKETING:</t>
        </is>
      </c>
      <c r="K63" s="1" t="n"/>
      <c r="L63" s="1" t="n"/>
      <c r="M63" s="1" t="n"/>
      <c r="N63" s="122" t="inlineStr">
        <is>
          <t>ADDITIONAL MARKETING:</t>
        </is>
      </c>
      <c r="O63" s="1" t="n"/>
      <c r="P63" s="1" t="n"/>
      <c r="Q63" s="1" t="n"/>
      <c r="R63" s="31" t="inlineStr">
        <is>
          <t>SKY LAB</t>
        </is>
      </c>
      <c r="S63" s="100" t="n"/>
      <c r="T63" s="90" t="n"/>
      <c r="U63" s="1" t="n"/>
      <c r="V63" s="122" t="inlineStr">
        <is>
          <t>ADDITIONAL MARKETING:</t>
        </is>
      </c>
      <c r="W63" s="1" t="n"/>
      <c r="X63" s="1" t="n"/>
      <c r="Y63" s="1" t="n"/>
      <c r="Z63" s="122" t="inlineStr">
        <is>
          <t>ADDITIONAL MARKETING:</t>
        </is>
      </c>
      <c r="AA63" s="1" t="n"/>
      <c r="AB63" s="1" t="n"/>
      <c r="AC63" s="1" t="n"/>
      <c r="AD63" s="1" t="n"/>
      <c r="AE63" s="122" t="inlineStr">
        <is>
          <t>ADDITIONAL MARKETING:</t>
        </is>
      </c>
      <c r="AF63" s="1" t="n"/>
      <c r="AG63" s="1" t="n"/>
      <c r="AH63" s="1" t="n"/>
      <c r="AI63" s="1" t="n"/>
      <c r="AJ63" s="31" t="inlineStr">
        <is>
          <t>SKY LAB</t>
        </is>
      </c>
      <c r="AK63" s="100" t="n"/>
      <c r="AL63" s="90" t="n"/>
      <c r="AM63" s="1" t="n"/>
      <c r="AN63" s="1" t="n"/>
      <c r="AO63" s="122" t="inlineStr">
        <is>
          <t>ADDITIONAL MARKETING:</t>
        </is>
      </c>
      <c r="AP63" s="1" t="n"/>
      <c r="AQ63" s="1" t="n"/>
      <c r="AR63" s="1" t="n"/>
      <c r="AS63" s="1" t="n"/>
      <c r="AT63" s="122" t="inlineStr">
        <is>
          <t>ADDITIONAL MARKETING:</t>
        </is>
      </c>
      <c r="AU63" s="1" t="n"/>
      <c r="AV63" s="1" t="n"/>
      <c r="AW63" s="1" t="n"/>
      <c r="AX63" s="1" t="n"/>
      <c r="AY63" s="122" t="inlineStr">
        <is>
          <t>ADDITIONAL MARKETING:</t>
        </is>
      </c>
      <c r="AZ63" s="1" t="n"/>
      <c r="BA63" s="1" t="n"/>
    </row>
    <row r="64" ht="30.75" customHeight="1" s="220">
      <c r="A64" s="1" t="inlineStr">
        <is>
          <t> </t>
        </is>
      </c>
      <c r="B64" s="96" t="inlineStr">
        <is>
          <t>SHARP BIN</t>
        </is>
      </c>
      <c r="C64" s="97" t="n"/>
      <c r="D64" s="1" t="n"/>
      <c r="E64" s="1" t="n"/>
      <c r="F64" s="123" t="inlineStr">
        <is>
          <t xml:space="preserve">MONTH </t>
        </is>
      </c>
      <c r="G64" s="124" t="inlineStr">
        <is>
          <t>AMOUNT</t>
        </is>
      </c>
      <c r="H64" s="124" t="inlineStr">
        <is>
          <t>REMARKS</t>
        </is>
      </c>
      <c r="I64" s="1" t="n"/>
      <c r="J64" s="123" t="inlineStr">
        <is>
          <t xml:space="preserve">MONTH </t>
        </is>
      </c>
      <c r="K64" s="124" t="inlineStr">
        <is>
          <t>AMOUNT</t>
        </is>
      </c>
      <c r="L64" s="124" t="inlineStr">
        <is>
          <t>REMARKS</t>
        </is>
      </c>
      <c r="M64" s="1" t="n"/>
      <c r="N64" s="123" t="inlineStr">
        <is>
          <t xml:space="preserve">MONTH </t>
        </is>
      </c>
      <c r="O64" s="124" t="inlineStr">
        <is>
          <t>AMOUNT</t>
        </is>
      </c>
      <c r="P64" s="124" t="inlineStr">
        <is>
          <t>REMARKS</t>
        </is>
      </c>
      <c r="Q64" s="1" t="n"/>
      <c r="R64" s="31" t="inlineStr">
        <is>
          <t>DIGICADCAM</t>
        </is>
      </c>
      <c r="S64" s="100" t="n"/>
      <c r="T64" s="90" t="n"/>
      <c r="U64" s="1" t="n"/>
      <c r="V64" s="123" t="inlineStr">
        <is>
          <t xml:space="preserve">MONTH </t>
        </is>
      </c>
      <c r="W64" s="124" t="inlineStr">
        <is>
          <t>AMOUNT</t>
        </is>
      </c>
      <c r="X64" s="124" t="inlineStr">
        <is>
          <t>REMARKS</t>
        </is>
      </c>
      <c r="Y64" s="1" t="n"/>
      <c r="Z64" s="123" t="inlineStr">
        <is>
          <t xml:space="preserve">MONTH </t>
        </is>
      </c>
      <c r="AA64" s="124" t="inlineStr">
        <is>
          <t>AMOUNT</t>
        </is>
      </c>
      <c r="AB64" s="124" t="inlineStr">
        <is>
          <t>REMARKS</t>
        </is>
      </c>
      <c r="AC64" s="1" t="n"/>
      <c r="AD64" s="1" t="n"/>
      <c r="AE64" s="123" t="inlineStr">
        <is>
          <t xml:space="preserve">MONTH </t>
        </is>
      </c>
      <c r="AF64" s="124" t="inlineStr">
        <is>
          <t>AMOUNT</t>
        </is>
      </c>
      <c r="AG64" s="124" t="inlineStr">
        <is>
          <t>REMARKS</t>
        </is>
      </c>
      <c r="AH64" s="1" t="n"/>
      <c r="AI64" s="1" t="n"/>
      <c r="AJ64" s="31" t="inlineStr">
        <is>
          <t>DIGICADCAM</t>
        </is>
      </c>
      <c r="AK64" s="100" t="n"/>
      <c r="AL64" s="90" t="n"/>
      <c r="AM64" s="1" t="n"/>
      <c r="AN64" s="1" t="n"/>
      <c r="AO64" s="123" t="inlineStr">
        <is>
          <t xml:space="preserve">MONTH </t>
        </is>
      </c>
      <c r="AP64" s="124" t="inlineStr">
        <is>
          <t>AMOUNT</t>
        </is>
      </c>
      <c r="AQ64" s="124" t="inlineStr">
        <is>
          <t>REMARKS</t>
        </is>
      </c>
      <c r="AR64" s="1" t="n"/>
      <c r="AS64" s="1" t="n"/>
      <c r="AT64" s="123" t="inlineStr">
        <is>
          <t xml:space="preserve">MONTH </t>
        </is>
      </c>
      <c r="AU64" s="124" t="inlineStr">
        <is>
          <t>AMOUNT</t>
        </is>
      </c>
      <c r="AV64" s="124" t="inlineStr">
        <is>
          <t>REMARKS</t>
        </is>
      </c>
      <c r="AW64" s="1" t="n"/>
      <c r="AX64" s="1" t="n"/>
      <c r="AY64" s="123" t="inlineStr">
        <is>
          <t xml:space="preserve">MONTH </t>
        </is>
      </c>
      <c r="AZ64" s="124" t="inlineStr">
        <is>
          <t>AMOUNT</t>
        </is>
      </c>
      <c r="BA64" s="124" t="inlineStr">
        <is>
          <t>REMARKS</t>
        </is>
      </c>
    </row>
    <row r="65" ht="41.25" customHeight="1" s="220">
      <c r="A65" s="1" t="n"/>
      <c r="B65" s="96" t="inlineStr">
        <is>
          <t>COURIER</t>
        </is>
      </c>
      <c r="C65" s="97" t="n">
        <v>129.44</v>
      </c>
      <c r="D65" s="1" t="n"/>
      <c r="E65" s="1" t="n"/>
      <c r="F65" s="125">
        <f>B3</f>
        <v/>
      </c>
      <c r="G65" s="128" t="n"/>
      <c r="H65" s="127" t="n"/>
      <c r="I65" s="1" t="n"/>
      <c r="J65" s="125">
        <f>F65</f>
        <v/>
      </c>
      <c r="K65" s="128" t="n">
        <v>120</v>
      </c>
      <c r="L65" s="127" t="n"/>
      <c r="M65" s="1" t="n"/>
      <c r="N65" s="125">
        <f>F65</f>
        <v/>
      </c>
      <c r="O65" s="128" t="n">
        <v>300</v>
      </c>
      <c r="P65" s="127" t="n"/>
      <c r="Q65" s="1" t="n"/>
      <c r="R65" s="31" t="inlineStr">
        <is>
          <t>OTHER LAB</t>
        </is>
      </c>
      <c r="S65" s="100" t="n"/>
      <c r="T65" s="90" t="n"/>
      <c r="U65" s="1" t="n"/>
      <c r="V65" s="125">
        <f>V3</f>
        <v/>
      </c>
      <c r="W65" s="128" t="n">
        <v>75</v>
      </c>
      <c r="X65" s="127" t="n"/>
      <c r="Y65" s="1" t="n"/>
      <c r="Z65" s="125">
        <f>V65</f>
        <v/>
      </c>
      <c r="AA65" s="128" t="n"/>
      <c r="AB65" s="127" t="n"/>
      <c r="AC65" s="1" t="n"/>
      <c r="AD65" s="1" t="n"/>
      <c r="AE65" s="125">
        <f>AE3</f>
        <v/>
      </c>
      <c r="AF65" s="128" t="n">
        <v>120</v>
      </c>
      <c r="AG65" s="127" t="n"/>
      <c r="AH65" s="1" t="n"/>
      <c r="AI65" s="1" t="n"/>
      <c r="AJ65" s="31" t="inlineStr">
        <is>
          <t>OTHER LAB</t>
        </is>
      </c>
      <c r="AK65" s="100" t="n"/>
      <c r="AL65" s="90" t="n"/>
      <c r="AM65" s="1" t="n"/>
      <c r="AN65" s="1" t="n"/>
      <c r="AO65" s="125">
        <f>AO3</f>
        <v/>
      </c>
      <c r="AP65" s="128" t="n">
        <v>120</v>
      </c>
      <c r="AQ65" s="127" t="n"/>
      <c r="AR65" s="1" t="n"/>
      <c r="AS65" s="1" t="n"/>
      <c r="AT65" s="125">
        <f>AT3</f>
        <v/>
      </c>
      <c r="AU65" s="128" t="n">
        <v>120</v>
      </c>
      <c r="AV65" s="127" t="n"/>
      <c r="AW65" s="1" t="n"/>
      <c r="AX65" s="1" t="n"/>
      <c r="AY65" s="125">
        <f>AY3</f>
        <v/>
      </c>
      <c r="AZ65" s="128" t="n">
        <v>60</v>
      </c>
      <c r="BA65" s="127" t="n"/>
    </row>
    <row r="66" ht="36" customHeight="1" s="220">
      <c r="A66" s="1" t="n"/>
      <c r="B66" s="96" t="inlineStr">
        <is>
          <t>REPAIR &amp; MAINTENANCE</t>
        </is>
      </c>
      <c r="C66" s="97" t="n"/>
      <c r="D66" s="2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31" t="inlineStr">
        <is>
          <t>INVISALIGN</t>
        </is>
      </c>
      <c r="S66" s="100" t="n"/>
      <c r="T66" s="90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31" t="inlineStr">
        <is>
          <t>INVISALIGN</t>
        </is>
      </c>
      <c r="AK66" s="100" t="n"/>
      <c r="AL66" s="90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</row>
    <row r="67" ht="33" customHeight="1" s="220">
      <c r="A67" s="1" t="n"/>
      <c r="B67" s="131" t="inlineStr">
        <is>
          <t>MOM LEVY</t>
        </is>
      </c>
      <c r="C67" s="130">
        <f>300+800+400</f>
        <v/>
      </c>
      <c r="D67" s="1" t="n"/>
      <c r="E67" s="1" t="n"/>
      <c r="F67" s="122" t="inlineStr">
        <is>
          <t>OTHERS: (CPF,PERSONAL REFUND, COURSEFEE)</t>
        </is>
      </c>
      <c r="G67" s="1" t="n"/>
      <c r="H67" s="1" t="n"/>
      <c r="I67" s="1" t="n"/>
      <c r="J67" s="122" t="inlineStr">
        <is>
          <t>OTHERS: (CPF,PERSONAL REFUND, COURSEFEE)</t>
        </is>
      </c>
      <c r="K67" s="1" t="n"/>
      <c r="L67" s="1" t="n"/>
      <c r="M67" s="1" t="n"/>
      <c r="N67" s="122" t="inlineStr">
        <is>
          <t>OTHERS: (CPF,PERSONAL REFUND, COURSEFEE)</t>
        </is>
      </c>
      <c r="O67" s="1" t="n"/>
      <c r="P67" s="1" t="n"/>
      <c r="Q67" s="1" t="n"/>
      <c r="R67" s="31" t="inlineStr">
        <is>
          <t>TRANSFER (+)</t>
        </is>
      </c>
      <c r="S67" s="100" t="n"/>
      <c r="T67" s="90" t="n"/>
      <c r="U67" s="1" t="n"/>
      <c r="V67" s="122" t="inlineStr">
        <is>
          <t>OTHERS: (CPF,PERSONAL REFUND, COURSEFEE)</t>
        </is>
      </c>
      <c r="W67" s="1" t="n"/>
      <c r="X67" s="1" t="n"/>
      <c r="Y67" s="1" t="n"/>
      <c r="Z67" s="122" t="inlineStr">
        <is>
          <t>OTHERS: (CPF,PERSONAL REFUND, COURSEFEE)</t>
        </is>
      </c>
      <c r="AA67" s="1" t="n"/>
      <c r="AB67" s="1" t="n"/>
      <c r="AC67" s="1" t="n"/>
      <c r="AD67" s="1" t="n"/>
      <c r="AE67" s="122" t="inlineStr">
        <is>
          <t>OTHERS: (CPF,PERSONAL REFUND, COURSEFEE)</t>
        </is>
      </c>
      <c r="AF67" s="1" t="n"/>
      <c r="AG67" s="1" t="n"/>
      <c r="AH67" s="1" t="n"/>
      <c r="AI67" s="1" t="n"/>
      <c r="AJ67" s="31" t="inlineStr">
        <is>
          <t>TRANSFER (+)</t>
        </is>
      </c>
      <c r="AK67" s="100" t="n"/>
      <c r="AL67" s="98" t="n"/>
      <c r="AM67" s="1" t="n"/>
      <c r="AN67" s="1" t="n"/>
      <c r="AO67" s="122" t="inlineStr">
        <is>
          <t>OTHERS: (CPF,PERSONAL REFUND, COURSEFEE)</t>
        </is>
      </c>
      <c r="AP67" s="1" t="n"/>
      <c r="AQ67" s="1" t="n"/>
      <c r="AR67" s="1" t="n"/>
      <c r="AS67" s="1" t="n"/>
      <c r="AT67" s="122" t="inlineStr">
        <is>
          <t>OTHERS: (CPF,PERSONAL REFUND, COURSEFEE)</t>
        </is>
      </c>
      <c r="AU67" s="1" t="n"/>
      <c r="AV67" s="1" t="n"/>
      <c r="AW67" s="1" t="n"/>
      <c r="AX67" s="1" t="n"/>
      <c r="AY67" s="122" t="inlineStr">
        <is>
          <t>OTHERS: (CPF,PERSONAL REFUND, COURSEFEE)</t>
        </is>
      </c>
      <c r="AZ67" s="1" t="n"/>
      <c r="BA67" s="1" t="n"/>
    </row>
    <row r="68" ht="33.75" customHeight="1" s="220">
      <c r="A68" s="1" t="n"/>
      <c r="B68" s="90" t="n"/>
      <c r="C68" s="90" t="n"/>
      <c r="D68" s="1" t="n"/>
      <c r="E68" s="1" t="n"/>
      <c r="F68" s="122" t="n"/>
      <c r="G68" s="1" t="n"/>
      <c r="H68" s="1" t="n"/>
      <c r="I68" s="1" t="n"/>
      <c r="J68" s="122" t="n"/>
      <c r="K68" s="1" t="n"/>
      <c r="L68" s="1" t="n"/>
      <c r="M68" s="1" t="n"/>
      <c r="N68" s="122" t="n"/>
      <c r="O68" s="1" t="n"/>
      <c r="P68" s="1" t="n"/>
      <c r="Q68" s="1" t="n"/>
      <c r="R68" s="31" t="inlineStr">
        <is>
          <t>TRANSFER (-)</t>
        </is>
      </c>
      <c r="S68" s="100" t="n"/>
      <c r="T68" s="90" t="n"/>
      <c r="U68" s="1" t="n"/>
      <c r="V68" s="122" t="n"/>
      <c r="W68" s="1" t="n"/>
      <c r="X68" s="1" t="n"/>
      <c r="Y68" s="1" t="n"/>
      <c r="Z68" s="122" t="n"/>
      <c r="AA68" s="1" t="n"/>
      <c r="AB68" s="1" t="n"/>
      <c r="AC68" s="1" t="n"/>
      <c r="AD68" s="1" t="n"/>
      <c r="AE68" s="122" t="n"/>
      <c r="AF68" s="1" t="n"/>
      <c r="AG68" s="1" t="n"/>
      <c r="AH68" s="1" t="n"/>
      <c r="AI68" s="1" t="n"/>
      <c r="AJ68" s="31" t="inlineStr">
        <is>
          <t>TRANSFER (-)</t>
        </is>
      </c>
      <c r="AK68" s="100" t="n"/>
      <c r="AL68" s="102" t="n"/>
      <c r="AM68" s="1" t="n"/>
      <c r="AN68" s="1" t="n"/>
      <c r="AO68" s="122" t="n"/>
      <c r="AP68" s="1" t="n"/>
      <c r="AQ68" s="1" t="n"/>
      <c r="AR68" s="1" t="n"/>
      <c r="AS68" s="1" t="n"/>
      <c r="AT68" s="122" t="n"/>
      <c r="AU68" s="1" t="n"/>
      <c r="AV68" s="1" t="n"/>
      <c r="AW68" s="1" t="n"/>
      <c r="AX68" s="1" t="n"/>
      <c r="AY68" s="122" t="n"/>
      <c r="AZ68" s="1" t="n"/>
      <c r="BA68" s="1" t="n"/>
    </row>
    <row r="69" ht="45" customHeight="1" s="220">
      <c r="A69" s="1" t="n"/>
      <c r="B69" s="90" t="n"/>
      <c r="C69" s="90" t="n"/>
      <c r="D69" s="1" t="n"/>
      <c r="E69" s="1" t="n"/>
      <c r="F69" s="134" t="inlineStr">
        <is>
          <t>DETAILS</t>
        </is>
      </c>
      <c r="G69" s="134" t="inlineStr">
        <is>
          <t>AMOUNT</t>
        </is>
      </c>
      <c r="H69" s="127" t="n"/>
      <c r="I69" s="1" t="n"/>
      <c r="J69" s="134" t="inlineStr">
        <is>
          <t>DETAILS</t>
        </is>
      </c>
      <c r="K69" s="134" t="inlineStr">
        <is>
          <t>AMOUNT</t>
        </is>
      </c>
      <c r="L69" s="127" t="n"/>
      <c r="M69" s="1" t="n"/>
      <c r="N69" s="134" t="inlineStr">
        <is>
          <t>DETAILS</t>
        </is>
      </c>
      <c r="O69" s="134" t="inlineStr">
        <is>
          <t>AMOUNT</t>
        </is>
      </c>
      <c r="P69" s="127" t="n"/>
      <c r="Q69" s="1" t="n"/>
      <c r="R69" s="52" t="inlineStr">
        <is>
          <t>REFUND</t>
        </is>
      </c>
      <c r="S69" s="105" t="n"/>
      <c r="T69" s="90" t="n"/>
      <c r="U69" s="1" t="n"/>
      <c r="V69" s="134" t="inlineStr">
        <is>
          <t>DETAILS</t>
        </is>
      </c>
      <c r="W69" s="134" t="inlineStr">
        <is>
          <t>AMOUNT</t>
        </is>
      </c>
      <c r="X69" s="127" t="n"/>
      <c r="Y69" s="1" t="n"/>
      <c r="Z69" s="134" t="inlineStr">
        <is>
          <t>DETAILS</t>
        </is>
      </c>
      <c r="AA69" s="134" t="inlineStr">
        <is>
          <t>AMOUNT</t>
        </is>
      </c>
      <c r="AB69" s="127" t="n"/>
      <c r="AC69" s="1" t="n"/>
      <c r="AD69" s="1" t="n"/>
      <c r="AE69" s="134" t="inlineStr">
        <is>
          <t>DETAILS</t>
        </is>
      </c>
      <c r="AF69" s="134" t="inlineStr">
        <is>
          <t>AMOUNT</t>
        </is>
      </c>
      <c r="AG69" s="127" t="n"/>
      <c r="AH69" s="1" t="n"/>
      <c r="AI69" s="1" t="n"/>
      <c r="AJ69" s="52" t="inlineStr">
        <is>
          <t>REFUND</t>
        </is>
      </c>
      <c r="AK69" s="105" t="n"/>
      <c r="AL69" s="90" t="n"/>
      <c r="AM69" s="1" t="n"/>
      <c r="AN69" s="1" t="n"/>
      <c r="AO69" s="134" t="inlineStr">
        <is>
          <t>DETAILS</t>
        </is>
      </c>
      <c r="AP69" s="134" t="inlineStr">
        <is>
          <t>AMOUNT</t>
        </is>
      </c>
      <c r="AQ69" s="127" t="n"/>
      <c r="AR69" s="1" t="n"/>
      <c r="AS69" s="1" t="n"/>
      <c r="AT69" s="134" t="inlineStr">
        <is>
          <t>DETAILS</t>
        </is>
      </c>
      <c r="AU69" s="134" t="inlineStr">
        <is>
          <t>AMOUNT</t>
        </is>
      </c>
      <c r="AV69" s="127" t="n"/>
      <c r="AW69" s="1" t="n"/>
      <c r="AX69" s="1" t="n"/>
      <c r="AY69" s="134" t="inlineStr">
        <is>
          <t>DETAILS</t>
        </is>
      </c>
      <c r="AZ69" s="134" t="inlineStr">
        <is>
          <t>AMOUNT</t>
        </is>
      </c>
      <c r="BA69" s="127" t="n"/>
    </row>
    <row r="70" ht="27.75" customHeight="1" s="220">
      <c r="A70" s="1" t="n"/>
      <c r="B70" s="90" t="n"/>
      <c r="C70" s="90" t="n"/>
      <c r="D70" s="1" t="n"/>
      <c r="E70" s="1" t="n"/>
      <c r="F70" s="134" t="inlineStr">
        <is>
          <t>CPF CONT SALARY</t>
        </is>
      </c>
      <c r="G70" s="134" t="n"/>
      <c r="H70" s="127" t="n"/>
      <c r="I70" s="135" t="n"/>
      <c r="J70" s="134" t="n"/>
      <c r="K70" s="134" t="n"/>
      <c r="L70" s="127" t="n"/>
      <c r="M70" s="135" t="n"/>
      <c r="N70" s="134" t="n"/>
      <c r="O70" s="134" t="n"/>
      <c r="P70" s="127" t="n"/>
      <c r="Q70" s="135" t="n"/>
      <c r="R70" s="52" t="inlineStr">
        <is>
          <t>VOUCHER</t>
        </is>
      </c>
      <c r="S70" s="105" t="n"/>
      <c r="T70" s="90" t="n"/>
      <c r="U70" s="135" t="n"/>
      <c r="V70" s="134" t="n"/>
      <c r="W70" s="134" t="n"/>
      <c r="X70" s="127" t="n"/>
      <c r="Y70" s="136" t="n"/>
      <c r="Z70" s="134" t="n"/>
      <c r="AA70" s="134" t="n"/>
      <c r="AB70" s="127" t="n"/>
      <c r="AC70" s="136" t="n"/>
      <c r="AD70" s="135" t="n"/>
      <c r="AE70" s="134" t="n"/>
      <c r="AF70" s="134" t="n"/>
      <c r="AG70" s="127" t="n"/>
      <c r="AH70" s="1" t="n"/>
      <c r="AI70" s="135" t="n"/>
      <c r="AJ70" s="52" t="inlineStr">
        <is>
          <t>SEDATION</t>
        </is>
      </c>
      <c r="AK70" s="105" t="n"/>
      <c r="AL70" s="90" t="n"/>
      <c r="AM70" s="1" t="n"/>
      <c r="AN70" s="135" t="n"/>
      <c r="AO70" s="134" t="n"/>
      <c r="AP70" s="134" t="n"/>
      <c r="AQ70" s="127" t="n"/>
      <c r="AR70" s="1" t="n"/>
      <c r="AS70" s="135" t="n"/>
      <c r="AT70" s="134" t="n"/>
      <c r="AU70" s="134" t="n"/>
      <c r="AV70" s="127" t="n"/>
      <c r="AW70" s="1" t="n"/>
      <c r="AX70" s="135" t="n"/>
      <c r="AY70" s="134" t="inlineStr">
        <is>
          <t>CPF SAL</t>
        </is>
      </c>
      <c r="AZ70" s="134" t="n">
        <v>1872</v>
      </c>
      <c r="BA70" s="127" t="n"/>
    </row>
    <row r="71" ht="27.75" customHeight="1" s="220">
      <c r="A71" s="137" t="n"/>
      <c r="B71" s="137" t="n"/>
      <c r="C71" s="137" t="n"/>
      <c r="D71" s="137" t="n"/>
      <c r="E71" s="137" t="n"/>
      <c r="F71" s="134" t="n"/>
      <c r="G71" s="134" t="n"/>
      <c r="H71" s="127" t="n"/>
      <c r="I71" s="138" t="n"/>
      <c r="J71" s="134" t="n"/>
      <c r="K71" s="134" t="n"/>
      <c r="L71" s="127" t="n"/>
      <c r="M71" s="138" t="n"/>
      <c r="N71" s="134" t="n"/>
      <c r="O71" s="134" t="n"/>
      <c r="P71" s="127" t="n"/>
      <c r="Q71" s="138" t="n"/>
      <c r="R71" s="31" t="inlineStr">
        <is>
          <t>RETAINERS/BT/SPLINT</t>
        </is>
      </c>
      <c r="S71" s="105" t="n"/>
      <c r="T71" s="90" t="n"/>
      <c r="U71" s="138" t="n"/>
      <c r="V71" s="134" t="n"/>
      <c r="W71" s="134" t="n"/>
      <c r="X71" s="127" t="n"/>
      <c r="Y71" s="138" t="n"/>
      <c r="Z71" s="134" t="n"/>
      <c r="AA71" s="134" t="n"/>
      <c r="AB71" s="127" t="n"/>
      <c r="AC71" s="137" t="n"/>
      <c r="AD71" s="138" t="n"/>
      <c r="AE71" s="134" t="n"/>
      <c r="AF71" s="134" t="n"/>
      <c r="AG71" s="127" t="n"/>
      <c r="AH71" s="137" t="n"/>
      <c r="AI71" s="138" t="n"/>
      <c r="AJ71" s="31" t="inlineStr">
        <is>
          <t>RETAINERS/BT/SPLINT</t>
        </is>
      </c>
      <c r="AK71" s="105" t="n"/>
      <c r="AL71" s="90" t="n"/>
      <c r="AM71" s="137" t="n"/>
      <c r="AN71" s="138" t="n"/>
      <c r="AO71" s="134" t="n"/>
      <c r="AP71" s="134" t="n"/>
      <c r="AQ71" s="127" t="n"/>
      <c r="AR71" s="137" t="n"/>
      <c r="AS71" s="138" t="n"/>
      <c r="AT71" s="134" t="n"/>
      <c r="AU71" s="134" t="n"/>
      <c r="AV71" s="127" t="n"/>
      <c r="AW71" s="137" t="n"/>
      <c r="AX71" s="138" t="n"/>
      <c r="AY71" s="134" t="inlineStr">
        <is>
          <t>FROM DEC 2025 NEGATIVE AMT</t>
        </is>
      </c>
      <c r="AZ71" s="134" t="n">
        <v>1099.93</v>
      </c>
      <c r="BA71" s="127" t="n"/>
    </row>
    <row r="72" ht="46.5" customHeight="1" s="220">
      <c r="A72" s="1" t="n"/>
      <c r="B72" s="139" t="inlineStr">
        <is>
          <t>TOTAL</t>
        </is>
      </c>
      <c r="C72" s="140">
        <f>B31-C34-C35-C58-C36-C37-C42-C43-C38-C46-C39-C45-C48-C49-C51-C50-C55-C54-C53-C59-C60-C61-C62-C47-C63-C40-C64-C41-C67-C66-C65-C90-C91-C92-C93-C94-C95-C68-C69-C70</f>
        <v/>
      </c>
      <c r="D72" s="137" t="n"/>
      <c r="E72" s="1" t="n"/>
      <c r="F72" s="134" t="n"/>
      <c r="G72" s="134" t="n"/>
      <c r="H72" s="127" t="n"/>
      <c r="I72" s="1" t="n"/>
      <c r="J72" s="134" t="n"/>
      <c r="K72" s="134" t="n"/>
      <c r="L72" s="127" t="n"/>
      <c r="M72" s="1" t="n"/>
      <c r="N72" s="134" t="n"/>
      <c r="O72" s="134" t="n"/>
      <c r="P72" s="127" t="n"/>
      <c r="Q72" s="1" t="n"/>
      <c r="R72" s="31" t="inlineStr">
        <is>
          <t>INSTALLMENT</t>
        </is>
      </c>
      <c r="S72" s="105" t="n"/>
      <c r="T72" s="90" t="n"/>
      <c r="U72" s="1" t="n"/>
      <c r="V72" s="134" t="n"/>
      <c r="W72" s="127" t="n"/>
      <c r="X72" s="127" t="n"/>
      <c r="Y72" s="1" t="n"/>
      <c r="Z72" s="134" t="n"/>
      <c r="AA72" s="134" t="n"/>
      <c r="AB72" s="127" t="n"/>
      <c r="AC72" s="1" t="n"/>
      <c r="AD72" s="1" t="n"/>
      <c r="AE72" s="134" t="n"/>
      <c r="AF72" s="134" t="n"/>
      <c r="AG72" s="127" t="n"/>
      <c r="AH72" s="1" t="n"/>
      <c r="AI72" s="1" t="n"/>
      <c r="AJ72" s="31" t="inlineStr">
        <is>
          <t>INSTALLMENT</t>
        </is>
      </c>
      <c r="AK72" s="105" t="n"/>
      <c r="AL72" s="90" t="n"/>
      <c r="AM72" s="1" t="n"/>
      <c r="AN72" s="1" t="n"/>
      <c r="AO72" s="134" t="n"/>
      <c r="AP72" s="134" t="n"/>
      <c r="AQ72" s="127" t="n"/>
      <c r="AR72" s="1" t="n"/>
      <c r="AS72" s="1" t="n"/>
      <c r="AT72" s="134" t="n"/>
      <c r="AU72" s="134" t="n"/>
      <c r="AV72" s="127" t="n"/>
      <c r="AW72" s="1" t="n"/>
      <c r="AX72" s="1" t="n"/>
      <c r="AY72" s="134" t="n"/>
      <c r="AZ72" s="134" t="n"/>
      <c r="BA72" s="127" t="n"/>
    </row>
    <row r="73" ht="31.5" customHeight="1" s="220">
      <c r="A73" s="1" t="n"/>
      <c r="B73" s="141" t="inlineStr">
        <is>
          <t>FOR INCENTIVE %</t>
        </is>
      </c>
      <c r="C73" s="142">
        <f>B31-C34-C35-C58-C42-C43-C46-C45-C48-C44-C49-C50-C47-C63-C40-C64-C41-C65-C93-C95-C94-C66-C92-C90-C68-C69-C70</f>
        <v/>
      </c>
      <c r="D73" s="143" t="n"/>
      <c r="E73" s="1" t="n"/>
      <c r="F73" s="134" t="n"/>
      <c r="G73" s="134" t="n"/>
      <c r="H73" s="127" t="n"/>
      <c r="I73" s="1" t="n"/>
      <c r="J73" s="134" t="n"/>
      <c r="K73" s="134" t="n"/>
      <c r="L73" s="127" t="n"/>
      <c r="M73" s="1" t="n"/>
      <c r="N73" s="134" t="n"/>
      <c r="O73" s="134" t="n"/>
      <c r="P73" s="127" t="n"/>
      <c r="Q73" s="1" t="n"/>
      <c r="R73" s="144" t="inlineStr">
        <is>
          <t>DEDUCTIONS</t>
        </is>
      </c>
      <c r="S73" s="145" t="n"/>
      <c r="T73" s="90" t="n"/>
      <c r="U73" s="1" t="n"/>
      <c r="V73" s="134" t="n"/>
      <c r="W73" s="134" t="n"/>
      <c r="X73" s="127" t="n"/>
      <c r="Y73" s="1" t="n"/>
      <c r="Z73" s="134" t="n"/>
      <c r="AA73" s="134" t="n"/>
      <c r="AB73" s="127" t="n"/>
      <c r="AC73" s="1" t="n"/>
      <c r="AD73" s="1" t="n"/>
      <c r="AE73" s="134" t="n"/>
      <c r="AF73" s="134" t="n"/>
      <c r="AG73" s="127" t="n"/>
      <c r="AH73" s="1" t="n"/>
      <c r="AI73" s="1" t="n"/>
      <c r="AJ73" s="144" t="inlineStr">
        <is>
          <t>DEDUCTIONS</t>
        </is>
      </c>
      <c r="AK73" s="145" t="n"/>
      <c r="AL73" s="102" t="n"/>
      <c r="AM73" s="1" t="n"/>
      <c r="AN73" s="1" t="n"/>
      <c r="AO73" s="134" t="n"/>
      <c r="AP73" s="134" t="n"/>
      <c r="AQ73" s="127" t="n"/>
      <c r="AR73" s="1" t="n"/>
      <c r="AS73" s="1" t="n"/>
      <c r="AT73" s="134" t="n"/>
      <c r="AU73" s="134" t="n"/>
      <c r="AV73" s="127" t="n"/>
      <c r="AW73" s="1" t="n"/>
      <c r="AX73" s="1" t="n"/>
      <c r="AY73" s="134" t="n"/>
      <c r="AZ73" s="134" t="n"/>
      <c r="BA73" s="127" t="n"/>
    </row>
    <row r="74" ht="31.5" customHeight="1" s="220">
      <c r="A74" s="1" t="n"/>
      <c r="B74" s="146" t="inlineStr">
        <is>
          <t>PERCENT</t>
        </is>
      </c>
      <c r="C74" s="147">
        <f>VLOOKUP(C73,'% RATES INCENTIVES'!C:D,2,TRUE)</f>
        <v/>
      </c>
      <c r="D74" s="1" t="n"/>
      <c r="E74" s="1" t="n"/>
      <c r="F74" s="134" t="n"/>
      <c r="G74" s="134" t="n"/>
      <c r="H74" s="127" t="n"/>
      <c r="I74" s="1" t="n"/>
      <c r="J74" s="134" t="n"/>
      <c r="K74" s="134" t="n"/>
      <c r="L74" s="127" t="n"/>
      <c r="M74" s="1" t="n"/>
      <c r="N74" s="134" t="n"/>
      <c r="O74" s="134" t="n"/>
      <c r="P74" s="127" t="n"/>
      <c r="Q74" s="1" t="n"/>
      <c r="R74" s="148" t="n"/>
      <c r="S74" s="148" t="n"/>
      <c r="T74" s="1" t="n"/>
      <c r="U74" s="1" t="n"/>
      <c r="V74" s="134" t="n"/>
      <c r="W74" s="134" t="n"/>
      <c r="X74" s="127" t="n"/>
      <c r="Y74" s="1" t="n"/>
      <c r="Z74" s="134" t="n"/>
      <c r="AA74" s="134" t="n"/>
      <c r="AB74" s="127" t="n"/>
      <c r="AC74" s="1" t="n"/>
      <c r="AD74" s="1" t="n"/>
      <c r="AE74" s="134" t="n"/>
      <c r="AF74" s="134" t="n"/>
      <c r="AG74" s="127" t="n"/>
      <c r="AH74" s="1" t="n"/>
      <c r="AI74" s="1" t="n"/>
      <c r="AJ74" s="148" t="n"/>
      <c r="AK74" s="148" t="n"/>
      <c r="AL74" s="1" t="n"/>
      <c r="AM74" s="1" t="n"/>
      <c r="AN74" s="1" t="n"/>
      <c r="AO74" s="134" t="n"/>
      <c r="AP74" s="134" t="n"/>
      <c r="AQ74" s="127" t="n"/>
      <c r="AR74" s="1" t="n"/>
      <c r="AS74" s="1" t="n"/>
      <c r="AT74" s="134" t="n"/>
      <c r="AU74" s="134" t="n"/>
      <c r="AV74" s="127" t="n"/>
      <c r="AW74" s="1" t="n"/>
      <c r="AX74" s="1" t="n"/>
      <c r="AY74" s="134" t="n"/>
      <c r="AZ74" s="134" t="n"/>
      <c r="BA74" s="127" t="n"/>
    </row>
    <row r="75" ht="34.5" customHeight="1" s="220">
      <c r="A75" s="1" t="inlineStr">
        <is>
          <t>INCOME LESS GST</t>
        </is>
      </c>
      <c r="B75" s="149">
        <f>B31-C35</f>
        <v/>
      </c>
      <c r="C75" s="150">
        <f>C72/B75*100</f>
        <v/>
      </c>
      <c r="D75" s="151" t="inlineStr">
        <is>
          <t>%</t>
        </is>
      </c>
      <c r="E75" s="1" t="n"/>
      <c r="F75" s="134" t="n"/>
      <c r="G75" s="134" t="n"/>
      <c r="H75" s="127" t="n"/>
      <c r="I75" s="1" t="n"/>
      <c r="J75" s="134" t="n"/>
      <c r="K75" s="134" t="n"/>
      <c r="L75" s="127" t="n"/>
      <c r="M75" s="1" t="n"/>
      <c r="N75" s="134" t="n"/>
      <c r="O75" s="134" t="n"/>
      <c r="P75" s="127" t="n"/>
      <c r="Q75" s="1" t="n"/>
      <c r="R75" s="61" t="inlineStr">
        <is>
          <t>TOTAL</t>
        </is>
      </c>
      <c r="S75" s="109">
        <f>#REF!-S34-S35-S59-S58-S60-S61-S62-S63-S64-S65-S66+S67-S68-S69-S70-S71-S72-S73</f>
        <v/>
      </c>
      <c r="T75" s="90" t="n"/>
      <c r="U75" s="1" t="n"/>
      <c r="V75" s="134" t="n"/>
      <c r="W75" s="134" t="n"/>
      <c r="X75" s="127" t="n"/>
      <c r="Y75" s="1" t="n"/>
      <c r="Z75" s="134" t="n"/>
      <c r="AA75" s="134" t="n"/>
      <c r="AB75" s="127" t="n"/>
      <c r="AC75" s="1" t="n"/>
      <c r="AD75" s="1" t="n"/>
      <c r="AE75" s="134" t="n"/>
      <c r="AF75" s="134" t="n"/>
      <c r="AG75" s="127" t="n"/>
      <c r="AH75" s="1" t="n"/>
      <c r="AI75" s="1" t="n"/>
      <c r="AJ75" s="61" t="inlineStr">
        <is>
          <t>TOTAL</t>
        </is>
      </c>
      <c r="AK75" s="109">
        <f>#REF!-AK34-AK35-AK58-AK59-AK60-AK61-AK62-AK63-AK64-AK65-AK66+AK67-AK68-AK69-AK70-AK71-AK72-AK73</f>
        <v/>
      </c>
      <c r="AL75" s="90" t="n"/>
      <c r="AM75" s="1" t="n"/>
      <c r="AN75" s="1" t="n"/>
      <c r="AO75" s="134" t="n"/>
      <c r="AP75" s="134" t="n"/>
      <c r="AQ75" s="127" t="n"/>
      <c r="AR75" s="1" t="n"/>
      <c r="AS75" s="1" t="n"/>
      <c r="AT75" s="134" t="n"/>
      <c r="AU75" s="134" t="n"/>
      <c r="AV75" s="127" t="n"/>
      <c r="AW75" s="1" t="n"/>
      <c r="AX75" s="1" t="n"/>
      <c r="AY75" s="134" t="n"/>
      <c r="AZ75" s="134" t="n"/>
      <c r="BA75" s="127" t="n"/>
    </row>
    <row r="76" ht="33.75" customHeight="1" s="220">
      <c r="A76" s="1" t="n"/>
      <c r="B76" s="152" t="inlineStr">
        <is>
          <t> </t>
        </is>
      </c>
      <c r="C76" s="153" t="n"/>
      <c r="D76" s="1" t="n"/>
      <c r="E76" s="1" t="n"/>
      <c r="F76" s="154" t="n"/>
      <c r="G76" s="154" t="n"/>
      <c r="H76" s="155" t="n"/>
      <c r="I76" s="1" t="n"/>
      <c r="J76" s="154" t="n"/>
      <c r="K76" s="154" t="n"/>
      <c r="L76" s="155" t="n"/>
      <c r="M76" s="1" t="n"/>
      <c r="N76" s="154" t="n"/>
      <c r="O76" s="154" t="n"/>
      <c r="P76" s="155" t="n"/>
      <c r="Q76" s="1" t="n"/>
      <c r="R76" s="112" t="inlineStr">
        <is>
          <t>DOCTORS PAY</t>
        </is>
      </c>
      <c r="S76" s="111">
        <f>(S75*50%)+S77</f>
        <v/>
      </c>
      <c r="T76" s="90" t="n"/>
      <c r="U76" s="1" t="n"/>
      <c r="V76" s="154" t="n"/>
      <c r="W76" s="154" t="n"/>
      <c r="X76" s="155" t="n"/>
      <c r="Y76" s="1" t="n"/>
      <c r="Z76" s="154" t="n"/>
      <c r="AA76" s="154" t="n"/>
      <c r="AB76" s="155" t="n"/>
      <c r="AC76" s="1" t="n"/>
      <c r="AD76" s="1" t="n"/>
      <c r="AE76" s="154" t="n"/>
      <c r="AF76" s="154" t="n"/>
      <c r="AG76" s="155" t="n"/>
      <c r="AH76" s="1" t="n"/>
      <c r="AI76" s="1" t="n"/>
      <c r="AJ76" s="112" t="inlineStr">
        <is>
          <t>DOCTORS PAY</t>
        </is>
      </c>
      <c r="AK76" s="111">
        <f>(AK75*50%)+AK77</f>
        <v/>
      </c>
      <c r="AL76" s="90" t="n"/>
      <c r="AM76" s="1" t="n"/>
      <c r="AN76" s="1" t="n"/>
      <c r="AO76" s="154" t="n"/>
      <c r="AP76" s="154" t="n"/>
      <c r="AQ76" s="155" t="n"/>
      <c r="AR76" s="1" t="n"/>
      <c r="AS76" s="1" t="n"/>
      <c r="AT76" s="154" t="n"/>
      <c r="AU76" s="154" t="n"/>
      <c r="AV76" s="155" t="n"/>
      <c r="AW76" s="1" t="n"/>
      <c r="AX76" s="1" t="n"/>
      <c r="AY76" s="154" t="n"/>
      <c r="AZ76" s="154" t="n"/>
      <c r="BA76" s="155" t="n"/>
    </row>
    <row r="77" ht="36.75" customHeight="1" s="220">
      <c r="A77" s="1" t="n"/>
      <c r="B77" s="156" t="inlineStr">
        <is>
          <t>MEDISAVE ADMIN</t>
        </is>
      </c>
      <c r="C77" s="157">
        <f>G61+K61+O61+S83+W61+AA61+AF61+AK83+AP61+AU61+AZ61</f>
        <v/>
      </c>
      <c r="D77" s="158">
        <f>C77/20</f>
        <v/>
      </c>
      <c r="E77" s="1" t="n"/>
      <c r="F77" s="159" t="inlineStr">
        <is>
          <t>TOTAL PAYMENT</t>
        </is>
      </c>
      <c r="G77" s="160">
        <f>G57-G70-G74-G75-G71-G72-G73</f>
        <v/>
      </c>
      <c r="H77" s="1" t="n"/>
      <c r="I77" s="1" t="n"/>
      <c r="J77" s="159" t="inlineStr">
        <is>
          <t>TOTAL PAYMENT</t>
        </is>
      </c>
      <c r="K77" s="160">
        <f>K57-K70-K74-K75-K71-K72-K73</f>
        <v/>
      </c>
      <c r="L77" s="1" t="n"/>
      <c r="M77" s="1" t="n"/>
      <c r="N77" s="159" t="inlineStr">
        <is>
          <t>TOTAL PAYMENT</t>
        </is>
      </c>
      <c r="O77" s="160">
        <f>O57-O70-O74-O75-O71-O72-O73</f>
        <v/>
      </c>
      <c r="P77" s="1" t="inlineStr">
        <is>
          <t>  </t>
        </is>
      </c>
      <c r="Q77" s="1" t="n"/>
      <c r="R77" s="50" t="inlineStr">
        <is>
          <t>ADJUSTMENTS (+)</t>
        </is>
      </c>
      <c r="S77" s="36" t="n"/>
      <c r="T77" s="90" t="n"/>
      <c r="U77" s="1" t="n"/>
      <c r="V77" s="159" t="inlineStr">
        <is>
          <t>TOTAL PAYMENT</t>
        </is>
      </c>
      <c r="W77" s="160">
        <f>W57-W70-W74-W75-W71-W72-W73</f>
        <v/>
      </c>
      <c r="X77" s="1" t="n"/>
      <c r="Y77" s="1" t="n"/>
      <c r="Z77" s="159" t="inlineStr">
        <is>
          <t>TOTAL PAYMENT</t>
        </is>
      </c>
      <c r="AA77" s="160">
        <f>AA57-AA70-AA74-AA75-AA71-AA72-AA73</f>
        <v/>
      </c>
      <c r="AB77" s="1" t="n"/>
      <c r="AC77" s="1" t="n"/>
      <c r="AD77" s="1" t="n"/>
      <c r="AE77" s="159" t="inlineStr">
        <is>
          <t>TOTAL PAYMENT</t>
        </is>
      </c>
      <c r="AF77" s="160">
        <f>AF57-AF70-AF74-AF75-AF71-AF72-AF73</f>
        <v/>
      </c>
      <c r="AG77" s="1" t="n"/>
      <c r="AH77" s="1" t="n"/>
      <c r="AI77" s="1" t="n"/>
      <c r="AJ77" s="50" t="inlineStr">
        <is>
          <t>ADJUSTMENTS (+)</t>
        </is>
      </c>
      <c r="AK77" s="36" t="n"/>
      <c r="AL77" s="98" t="n"/>
      <c r="AM77" s="1" t="n"/>
      <c r="AN77" s="1" t="n"/>
      <c r="AO77" s="159" t="inlineStr">
        <is>
          <t>TOTAL PAYMENT</t>
        </is>
      </c>
      <c r="AP77" s="160">
        <f>AP57-AP70-AP74-AP75-AP71-AP72-AP73</f>
        <v/>
      </c>
      <c r="AQ77" s="1" t="n"/>
      <c r="AR77" s="1" t="n"/>
      <c r="AS77" s="1" t="n"/>
      <c r="AT77" s="159" t="inlineStr">
        <is>
          <t>TOTAL PAYMENT</t>
        </is>
      </c>
      <c r="AU77" s="160">
        <f>AU57-AU70-AU74-AU75-AU71-AU72-AU73</f>
        <v/>
      </c>
      <c r="AV77" s="1" t="n"/>
      <c r="AW77" s="1" t="n"/>
      <c r="AX77" s="1" t="n"/>
      <c r="AY77" s="159" t="inlineStr">
        <is>
          <t>TOTAL PAYMENT</t>
        </is>
      </c>
      <c r="AZ77" s="160">
        <f>AZ57-AZ70-AZ74-AZ75-AZ71-AZ72-AZ73</f>
        <v/>
      </c>
      <c r="BA77" s="1" t="n"/>
    </row>
    <row r="78" ht="39" customHeight="1" s="220">
      <c r="A78" s="1" t="n"/>
      <c r="B78" s="156" t="inlineStr">
        <is>
          <t>ADDITIONAL MARKETING</t>
        </is>
      </c>
      <c r="C78" s="157">
        <f>G65+K65+O65+S87+W65+AA65+AF65+AP65+AU65</f>
        <v/>
      </c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50" t="inlineStr">
        <is>
          <t>ADJUSTMENTS (-)</t>
        </is>
      </c>
      <c r="S78" s="115">
        <f>S83+S87</f>
        <v/>
      </c>
      <c r="T78" s="98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50" t="inlineStr">
        <is>
          <t>ADJUSTMENTS (-)</t>
        </is>
      </c>
      <c r="AK78" s="116">
        <f>AK83+AK87</f>
        <v/>
      </c>
      <c r="AL78" s="102" t="inlineStr">
        <is>
          <t>MARKETING FEE &amp; MEDISAVE ADMIN</t>
        </is>
      </c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</row>
    <row r="79" ht="27.75" customHeight="1" s="220">
      <c r="A79" s="1" t="n"/>
      <c r="B79" s="161" t="inlineStr">
        <is>
          <t>DOCTORS PERSONAL DEDUCTION</t>
        </is>
      </c>
      <c r="C79" s="157">
        <f>G70+G74+G75+K70+K74+K75+O70+O74+O75+S92+S96+S97+W70+W74+W75+AA70+AA74+AA75+AF70+AF74+AF75+G71+G72+G73+K71+K72+K73+O71+O72+O73+S93+S94+S95+W71+W72+W73+AA71+AA72+AA73+AF71+AF72+AF73+AP70+AP71+AP72+AP73+AP74+AP75+AU70+AU71+AU72+AU73+AU74+AU75+AZ70+AZ71+AZ72+AZ73+AZ74+AZ75</f>
        <v/>
      </c>
      <c r="D79" s="137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50" t="inlineStr">
        <is>
          <t>NET PAY</t>
        </is>
      </c>
      <c r="S79" s="111">
        <f>S76-S78</f>
        <v/>
      </c>
      <c r="T79" s="90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50" t="inlineStr">
        <is>
          <t>NET PAY</t>
        </is>
      </c>
      <c r="AK79" s="111">
        <f>AK76-AK78</f>
        <v/>
      </c>
      <c r="AL79" s="90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</row>
    <row r="80" ht="28.5" customHeight="1" s="220">
      <c r="A80" s="1" t="n"/>
      <c r="B80" s="156" t="inlineStr">
        <is>
          <t>TOTAL</t>
        </is>
      </c>
      <c r="C80" s="162">
        <f>SUM(C77:C79)</f>
        <v/>
      </c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63" t="n"/>
      <c r="Z80" s="1" t="n"/>
      <c r="AA80" s="1" t="n"/>
      <c r="AB80" s="1" t="n"/>
      <c r="AC80" s="1" t="n"/>
      <c r="AD80" s="163" t="n"/>
      <c r="AE80" s="1" t="n"/>
      <c r="AF80" s="1" t="n"/>
      <c r="AG80" s="1" t="n"/>
      <c r="AH80" s="1" t="n"/>
      <c r="AI80" s="163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</row>
    <row r="81" ht="28.5" customHeight="1" s="220">
      <c r="A81" s="1" t="n"/>
      <c r="B81" s="164" t="inlineStr">
        <is>
          <t>TOTAL ICC-5</t>
        </is>
      </c>
      <c r="C81" s="164">
        <f>G36+K36+O36+S58+AA36+W36+AF36+AP36+AU36+AZ36</f>
        <v/>
      </c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17" t="inlineStr">
        <is>
          <t>MEDISAVE ADMIN FEE CALCULATION:</t>
        </is>
      </c>
      <c r="S81" s="1" t="n"/>
      <c r="T81" s="1" t="n"/>
      <c r="U81" s="1" t="n"/>
      <c r="V81" s="1" t="n"/>
      <c r="W81" s="1" t="n"/>
      <c r="X81" s="1" t="n"/>
      <c r="Y81" s="163" t="n"/>
      <c r="Z81" s="1" t="n"/>
      <c r="AA81" s="1" t="n"/>
      <c r="AB81" s="1" t="n"/>
      <c r="AC81" s="1" t="n"/>
      <c r="AD81" s="163" t="n"/>
      <c r="AE81" s="1" t="n"/>
      <c r="AF81" s="1" t="n"/>
      <c r="AG81" s="1" t="n"/>
      <c r="AH81" s="1" t="n"/>
      <c r="AI81" s="163" t="n"/>
      <c r="AJ81" s="117" t="inlineStr">
        <is>
          <t>MEDISAVE ADMIN FEE CALCULATION:</t>
        </is>
      </c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</row>
    <row r="82" ht="49.5" customHeight="1" s="22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63" t="n"/>
      <c r="N82" s="1" t="n"/>
      <c r="O82" s="1" t="n"/>
      <c r="P82" s="1" t="n"/>
      <c r="Q82" s="1" t="n"/>
      <c r="R82" s="118" t="inlineStr">
        <is>
          <t>Medisave Claim</t>
        </is>
      </c>
      <c r="S82" s="119" t="inlineStr">
        <is>
          <t>Admin Fee</t>
        </is>
      </c>
      <c r="T82" s="119" t="inlineStr">
        <is>
          <t>REMARKS</t>
        </is>
      </c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18" t="inlineStr">
        <is>
          <t>Medisave Claim</t>
        </is>
      </c>
      <c r="AK82" s="119" t="inlineStr">
        <is>
          <t>Admin Fee</t>
        </is>
      </c>
      <c r="AL82" s="119" t="inlineStr">
        <is>
          <t>REMARKS</t>
        </is>
      </c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</row>
    <row r="83" ht="26.25" customHeight="1" s="220">
      <c r="A83" s="1" t="n"/>
      <c r="B83" s="165" t="inlineStr">
        <is>
          <t>NURSES FEE-REVENUE</t>
        </is>
      </c>
      <c r="C83" s="166">
        <f>(C60+C61+C62)/B31</f>
        <v/>
      </c>
      <c r="D83" s="137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20" t="n"/>
      <c r="S83" s="121">
        <f>R83*20</f>
        <v/>
      </c>
      <c r="T83" s="12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20" t="n"/>
      <c r="AK83" s="121">
        <f>AJ83*20</f>
        <v/>
      </c>
      <c r="AL83" s="12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</row>
    <row r="84" ht="21" customHeight="1" s="220">
      <c r="A84" s="1" t="n"/>
      <c r="B84" s="165" t="inlineStr">
        <is>
          <t>CONSUMABLE EXCL OFFICE RENT - REVENUE</t>
        </is>
      </c>
      <c r="C84" s="166">
        <f>(C49+C46+C48)/B31</f>
        <v/>
      </c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</row>
    <row r="85" ht="21" customHeight="1" s="220">
      <c r="A85" s="1" t="n"/>
      <c r="B85" s="165" t="inlineStr">
        <is>
          <t>OFFICE RENT &amp; ADMIN STAFF - REVENUE</t>
        </is>
      </c>
      <c r="C85" s="166">
        <f>(C45/B31)</f>
        <v/>
      </c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22" t="inlineStr">
        <is>
          <t>ADDITIONAL MARKETING:</t>
        </is>
      </c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22" t="inlineStr">
        <is>
          <t>ADDITIONAL MARKETING:</t>
        </is>
      </c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</row>
    <row r="86" ht="21" customHeight="1" s="220">
      <c r="A86" s="1" t="n"/>
      <c r="B86" s="167" t="inlineStr">
        <is>
          <t>MARKETING - REVENUE</t>
        </is>
      </c>
      <c r="C86" s="166">
        <f>C50/B31</f>
        <v/>
      </c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23" t="inlineStr">
        <is>
          <t xml:space="preserve">MONTH </t>
        </is>
      </c>
      <c r="S86" s="124" t="inlineStr">
        <is>
          <t>AMOUNT</t>
        </is>
      </c>
      <c r="T86" s="124" t="inlineStr">
        <is>
          <t>REMARKS</t>
        </is>
      </c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23" t="inlineStr">
        <is>
          <t xml:space="preserve">MONTH </t>
        </is>
      </c>
      <c r="AK86" s="124" t="inlineStr">
        <is>
          <t>AMOUNT</t>
        </is>
      </c>
      <c r="AL86" s="124" t="inlineStr">
        <is>
          <t>REMARKS</t>
        </is>
      </c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</row>
    <row r="87" ht="18.75" customHeight="1" s="220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25">
        <f>R3</f>
        <v/>
      </c>
      <c r="S87" s="128" t="n"/>
      <c r="T87" s="127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25">
        <f>AJ3</f>
        <v/>
      </c>
      <c r="AK87" s="128" t="n"/>
      <c r="AL87" s="127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</row>
    <row r="88" ht="30.75" customHeight="1" s="220">
      <c r="A88" s="1" t="n"/>
      <c r="B88" s="183" t="inlineStr">
        <is>
          <t>FOR INCENTIVE % KORENE</t>
        </is>
      </c>
      <c r="C88" s="184">
        <f>VLOOKUP(C73,'% RATES INCENTIVES CLEMENTI'!C:D,2,TRUE)</f>
        <v/>
      </c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</row>
    <row r="89" ht="16.5" customHeight="1" s="220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22" t="inlineStr">
        <is>
          <t>OTHERS: (CPF,PERSONAL REFUND, COURSEFEE)</t>
        </is>
      </c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22" t="inlineStr">
        <is>
          <t>OTHERS: (CPF,PERSONAL REFUND, COURSEFEE)</t>
        </is>
      </c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</row>
    <row r="90" ht="30.75" customHeight="1" s="220">
      <c r="A90" s="1" t="n"/>
      <c r="B90" s="168" t="n"/>
      <c r="C90" s="169" t="n"/>
      <c r="D90" s="1" t="inlineStr">
        <is>
          <t> </t>
        </is>
      </c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22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22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</row>
    <row r="91" ht="30.75" customHeight="1" s="220">
      <c r="A91" s="1" t="n"/>
      <c r="B91" s="168" t="n"/>
      <c r="C91" s="169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34" t="inlineStr">
        <is>
          <t>DETAILS</t>
        </is>
      </c>
      <c r="S91" s="134" t="inlineStr">
        <is>
          <t>AMOUNT</t>
        </is>
      </c>
      <c r="T91" s="127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34" t="inlineStr">
        <is>
          <t>DETAILS</t>
        </is>
      </c>
      <c r="AK91" s="134" t="inlineStr">
        <is>
          <t>AMOUNT</t>
        </is>
      </c>
      <c r="AL91" s="127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</row>
    <row r="92" ht="30.75" customHeight="1" s="220">
      <c r="A92" s="1" t="n"/>
      <c r="B92" s="168" t="n"/>
      <c r="C92" s="169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34" t="n"/>
      <c r="S92" s="134" t="n"/>
      <c r="T92" s="127" t="n"/>
      <c r="U92" s="1" t="n"/>
      <c r="V92" s="1" t="n"/>
      <c r="W92" s="1" t="n"/>
      <c r="X92" s="1" t="n"/>
      <c r="Y92" s="136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inlineStr">
        <is>
          <t>feb 2191</t>
        </is>
      </c>
      <c r="AI92" s="1" t="n"/>
      <c r="AJ92" s="134" t="n"/>
      <c r="AK92" s="134" t="n"/>
      <c r="AL92" s="127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</row>
    <row r="93" ht="30.75" customHeight="1" s="220">
      <c r="A93" s="1" t="n"/>
      <c r="B93" s="168" t="n"/>
      <c r="C93" s="169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34" t="n"/>
      <c r="S93" s="134" t="n"/>
      <c r="T93" s="127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34" t="n"/>
      <c r="AK93" s="134" t="n"/>
      <c r="AL93" s="127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</row>
    <row r="94" ht="30.75" customHeight="1" s="220">
      <c r="A94" s="1" t="n"/>
      <c r="B94" s="117" t="n"/>
      <c r="C94" s="169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34" t="n"/>
      <c r="S94" s="134" t="n"/>
      <c r="T94" s="127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34" t="n"/>
      <c r="AK94" s="134" t="n"/>
      <c r="AL94" s="127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</row>
    <row r="95" ht="30.75" customHeight="1" s="220">
      <c r="A95" s="1" t="n"/>
      <c r="B95" s="117" t="n"/>
      <c r="C95" s="169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34" t="n"/>
      <c r="S95" s="134" t="n"/>
      <c r="T95" s="127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34" t="n"/>
      <c r="AK95" s="134" t="n"/>
      <c r="AL95" s="127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</row>
    <row r="96" ht="18.75" customHeight="1" s="220">
      <c r="A96" s="137" t="n"/>
      <c r="B96" s="137" t="n"/>
      <c r="C96" s="137" t="n"/>
      <c r="D96" s="137" t="n"/>
      <c r="E96" s="137" t="n"/>
      <c r="F96" s="137" t="n"/>
      <c r="G96" s="137" t="n"/>
      <c r="H96" s="137" t="n"/>
      <c r="I96" s="137" t="n"/>
      <c r="J96" s="137" t="n"/>
      <c r="K96" s="137" t="n"/>
      <c r="L96" s="137" t="n"/>
      <c r="M96" s="1" t="n"/>
      <c r="N96" s="137" t="n"/>
      <c r="O96" s="137" t="n"/>
      <c r="P96" s="137" t="n"/>
      <c r="Q96" s="137" t="n"/>
      <c r="R96" s="134" t="n"/>
      <c r="S96" s="134" t="n"/>
      <c r="T96" s="127" t="n"/>
      <c r="U96" s="137" t="n"/>
      <c r="V96" s="137" t="n"/>
      <c r="W96" s="137" t="n"/>
      <c r="X96" s="137" t="n"/>
      <c r="Y96" s="137" t="n"/>
      <c r="Z96" s="137" t="n"/>
      <c r="AA96" s="137" t="n"/>
      <c r="AB96" s="137" t="n"/>
      <c r="AC96" s="137" t="n"/>
      <c r="AD96" s="137" t="n"/>
      <c r="AE96" s="137" t="n"/>
      <c r="AF96" s="137" t="n"/>
      <c r="AG96" s="137" t="n"/>
      <c r="AH96" s="137" t="n"/>
      <c r="AI96" s="137" t="n"/>
      <c r="AJ96" s="134" t="n"/>
      <c r="AK96" s="134" t="n"/>
      <c r="AL96" s="127" t="n"/>
      <c r="AM96" s="137" t="n"/>
      <c r="AN96" s="137" t="n"/>
      <c r="AO96" s="137" t="n"/>
      <c r="AP96" s="137" t="n"/>
      <c r="AQ96" s="137" t="n"/>
      <c r="AR96" s="137" t="n"/>
      <c r="AS96" s="137" t="n"/>
      <c r="AT96" s="137" t="n"/>
      <c r="AU96" s="137" t="n"/>
      <c r="AV96" s="137" t="n"/>
      <c r="AW96" s="137" t="n"/>
      <c r="AX96" s="137" t="n"/>
      <c r="AY96" s="137" t="n"/>
      <c r="AZ96" s="137" t="n"/>
      <c r="BA96" s="137" t="n"/>
    </row>
    <row r="97" ht="41.25" customHeight="1" s="220">
      <c r="A97" s="1" t="n"/>
      <c r="B97" s="1" t="n"/>
      <c r="C97" s="2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37" t="n"/>
      <c r="N97" s="1" t="n"/>
      <c r="O97" s="1" t="n"/>
      <c r="P97" s="1" t="n"/>
      <c r="Q97" s="1" t="n"/>
      <c r="R97" s="134" t="n"/>
      <c r="S97" s="134" t="n"/>
      <c r="T97" s="127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34" t="n"/>
      <c r="AK97" s="134" t="n"/>
      <c r="AL97" s="127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</row>
    <row r="98" ht="18.75" customHeight="1" s="220">
      <c r="A98" s="1" t="n"/>
      <c r="B98" s="1" t="n"/>
      <c r="C98" s="2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54" t="n"/>
      <c r="S98" s="154" t="n"/>
      <c r="T98" s="155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54" t="n"/>
      <c r="AK98" s="154" t="n"/>
      <c r="AL98" s="155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</row>
    <row r="99" ht="30.75" customHeight="1" s="220">
      <c r="A99" s="1" t="n"/>
      <c r="B99" s="1" t="n"/>
      <c r="C99" s="2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59" t="inlineStr">
        <is>
          <t>TOTAL CHEQUE AMOUNT</t>
        </is>
      </c>
      <c r="S99" s="160">
        <f>S79-S92-S96-S97-S93-S94-S95</f>
        <v/>
      </c>
      <c r="T99" s="2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59" t="inlineStr">
        <is>
          <t>TOTAL CHEQUE AMOUNT</t>
        </is>
      </c>
      <c r="AK99" s="160">
        <f>AK79-AK92-AK96-AK97-AK93-AK94-AK95</f>
        <v/>
      </c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</row>
    <row r="100" ht="16.5" customHeight="1" s="220">
      <c r="A100" s="1" t="n"/>
      <c r="B100" s="1" t="n"/>
      <c r="C100" s="2" t="n"/>
      <c r="D100" s="1" t="n"/>
      <c r="E100" s="1" t="n"/>
      <c r="F100" s="137" t="n"/>
      <c r="G100" s="137" t="n"/>
      <c r="H100" s="137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</row>
    <row r="101" ht="16.5" customHeight="1" s="220">
      <c r="A101" s="1" t="n"/>
      <c r="B101" s="1" t="n"/>
      <c r="C101" s="2" t="n"/>
      <c r="D101" s="1" t="n"/>
      <c r="E101" s="2" t="n"/>
      <c r="F101" s="1" t="n"/>
      <c r="G101" s="1" t="n"/>
      <c r="H101" s="137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</row>
    <row r="102" ht="16.5" customHeight="1" s="220">
      <c r="A102" s="1" t="n"/>
      <c r="B102" s="1" t="n"/>
      <c r="C102" s="2" t="n"/>
      <c r="D102" s="1" t="n"/>
      <c r="E102" s="1" t="n"/>
      <c r="F102" s="1" t="n"/>
      <c r="G102" s="1" t="n"/>
      <c r="H102" s="137" t="n"/>
      <c r="I102" s="1" t="n"/>
      <c r="J102" s="1" t="n"/>
      <c r="K102" s="1" t="n"/>
      <c r="L102" s="137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</row>
    <row r="103" ht="16.5" customHeight="1" s="220">
      <c r="A103" s="137" t="n"/>
      <c r="B103" s="1" t="n"/>
      <c r="C103" s="2" t="n"/>
      <c r="D103" s="1" t="n"/>
      <c r="E103" s="137" t="n"/>
      <c r="F103" s="1" t="n"/>
      <c r="G103" s="1" t="n"/>
      <c r="H103" s="137" t="n"/>
      <c r="I103" s="1" t="n"/>
      <c r="J103" s="137" t="n"/>
      <c r="K103" s="137" t="n"/>
      <c r="L103" s="137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</row>
    <row r="104" ht="16.5" customHeight="1" s="220">
      <c r="A104" s="1" t="n"/>
      <c r="B104" s="1" t="n"/>
      <c r="C104" s="2" t="n"/>
      <c r="D104" s="1" t="n"/>
      <c r="E104" s="1" t="n"/>
      <c r="F104" s="1" t="n"/>
      <c r="G104" s="1" t="n"/>
      <c r="H104" s="137" t="n"/>
      <c r="I104" s="1" t="n"/>
      <c r="J104" s="1" t="n"/>
      <c r="K104" s="1" t="n"/>
      <c r="L104" s="137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</row>
    <row r="105" ht="16.5" customHeight="1" s="220">
      <c r="A105" s="1" t="n"/>
      <c r="B105" s="1" t="n"/>
      <c r="C105" s="2" t="n"/>
      <c r="D105" s="1" t="n"/>
      <c r="E105" s="1" t="n"/>
      <c r="F105" s="137" t="n"/>
      <c r="G105" s="137" t="n"/>
      <c r="H105" s="137" t="n"/>
      <c r="I105" s="1" t="n"/>
      <c r="J105" s="1" t="n"/>
      <c r="K105" s="1" t="n"/>
      <c r="L105" s="137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</row>
    <row r="106" ht="16.5" customHeight="1" s="220">
      <c r="A106" s="1" t="n"/>
      <c r="B106" s="1" t="n"/>
      <c r="C106" s="2" t="n"/>
      <c r="D106" s="1" t="n"/>
      <c r="E106" s="1" t="n"/>
      <c r="F106" s="1" t="n"/>
      <c r="G106" s="1" t="n"/>
      <c r="H106" s="137" t="n"/>
      <c r="I106" s="1" t="n"/>
      <c r="J106" s="1" t="n"/>
      <c r="K106" s="1" t="n"/>
      <c r="L106" s="137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</row>
    <row r="107" ht="16.5" customHeight="1" s="220">
      <c r="A107" s="137" t="n"/>
      <c r="B107" s="1" t="n"/>
      <c r="C107" s="2" t="n"/>
      <c r="D107" s="1" t="n"/>
      <c r="E107" s="137" t="n"/>
      <c r="F107" s="1" t="n"/>
      <c r="G107" s="1" t="n"/>
      <c r="H107" s="137" t="n"/>
      <c r="I107" s="1" t="n"/>
      <c r="J107" s="137" t="n"/>
      <c r="K107" s="137" t="n"/>
      <c r="L107" s="137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</row>
    <row r="108" ht="16.5" customHeight="1" s="220">
      <c r="A108" s="1" t="n"/>
      <c r="B108" s="1" t="n"/>
      <c r="C108" s="2" t="n"/>
      <c r="D108" s="1" t="n"/>
      <c r="E108" s="1" t="n"/>
      <c r="F108" s="137" t="n"/>
      <c r="G108" s="137" t="n"/>
      <c r="H108" s="137" t="n"/>
      <c r="I108" s="1" t="n"/>
      <c r="J108" s="1" t="n"/>
      <c r="K108" s="1" t="n"/>
      <c r="L108" s="137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</row>
    <row r="109" ht="16.5" customHeight="1" s="220">
      <c r="A109" s="1" t="n"/>
      <c r="B109" s="1" t="n"/>
      <c r="C109" s="2" t="n"/>
      <c r="D109" s="1" t="n"/>
      <c r="E109" s="137" t="n"/>
      <c r="F109" s="1" t="n"/>
      <c r="G109" s="1" t="n"/>
      <c r="H109" s="137" t="n"/>
      <c r="I109" s="1" t="n"/>
      <c r="J109" s="1" t="n"/>
      <c r="K109" s="1" t="n"/>
      <c r="L109" s="137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</row>
    <row r="110" ht="16.5" customHeight="1" s="220">
      <c r="A110" s="1" t="n"/>
      <c r="B110" s="1" t="n"/>
      <c r="C110" s="2" t="n"/>
      <c r="D110" s="1" t="n"/>
      <c r="E110" s="1" t="n"/>
      <c r="F110" s="1" t="n"/>
      <c r="G110" s="1" t="n"/>
      <c r="H110" s="137" t="n"/>
      <c r="I110" s="1" t="n"/>
      <c r="J110" s="1" t="n"/>
      <c r="K110" s="1" t="n"/>
      <c r="L110" s="137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</row>
    <row r="111" ht="16.5" customHeight="1" s="220">
      <c r="A111" s="137" t="n"/>
      <c r="B111" s="1" t="n"/>
      <c r="C111" s="2" t="n"/>
      <c r="D111" s="1" t="n"/>
      <c r="E111" s="1" t="n"/>
      <c r="F111" s="1" t="n"/>
      <c r="G111" s="1" t="n"/>
      <c r="H111" s="137" t="n"/>
      <c r="I111" s="1" t="n"/>
      <c r="J111" s="1" t="n"/>
      <c r="K111" s="1" t="n"/>
      <c r="L111" s="137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</row>
    <row r="112" ht="16.5" customHeight="1" s="220">
      <c r="A112" s="1" t="n"/>
      <c r="B112" s="1" t="n"/>
      <c r="C112" s="1" t="n"/>
      <c r="D112" s="1" t="n"/>
      <c r="E112" s="1" t="n"/>
      <c r="F112" s="137" t="n"/>
      <c r="G112" s="137" t="n"/>
      <c r="H112" s="137" t="n"/>
      <c r="I112" s="1" t="n"/>
      <c r="J112" s="137" t="n"/>
      <c r="K112" s="137" t="n"/>
      <c r="L112" s="137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</row>
    <row r="113" ht="16.5" customHeight="1" s="220">
      <c r="A113" s="1" t="n"/>
      <c r="B113" s="1" t="n"/>
      <c r="C113" s="137" t="n"/>
      <c r="D113" s="137" t="n"/>
      <c r="E113" s="137" t="n"/>
      <c r="F113" s="1" t="n"/>
      <c r="G113" s="1" t="n"/>
      <c r="H113" s="137" t="n"/>
      <c r="I113" s="1" t="n"/>
      <c r="J113" s="1" t="n"/>
      <c r="K113" s="1" t="n"/>
      <c r="L113" s="137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</row>
    <row r="114" ht="16.5" customHeight="1" s="220">
      <c r="A114" s="1" t="n"/>
      <c r="B114" s="1" t="n"/>
      <c r="C114" s="1" t="n"/>
      <c r="D114" s="1" t="n"/>
      <c r="E114" s="1" t="n"/>
      <c r="F114" s="1" t="n"/>
      <c r="G114" s="1" t="n"/>
      <c r="H114" s="137" t="n"/>
      <c r="I114" s="1" t="n"/>
      <c r="J114" s="1" t="n"/>
      <c r="K114" s="1" t="n"/>
      <c r="L114" s="137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</row>
    <row r="115" ht="16.5" customHeight="1" s="220">
      <c r="A115" s="137" t="n"/>
      <c r="B115" s="137" t="n"/>
      <c r="C115" s="137" t="n"/>
      <c r="D115" s="1" t="n"/>
      <c r="E115" s="1" t="n"/>
      <c r="F115" s="1" t="n"/>
      <c r="G115" s="1" t="n"/>
      <c r="H115" s="137" t="n"/>
      <c r="I115" s="1" t="n"/>
      <c r="J115" s="1" t="n"/>
      <c r="K115" s="1" t="n"/>
      <c r="L115" s="137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</row>
    <row r="116" ht="16.5" customHeight="1" s="220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</row>
    <row r="117" ht="16.5" customHeight="1" s="220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</row>
    <row r="118" ht="16.5" customHeight="1" s="220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</row>
    <row r="119" ht="16.5" customHeight="1" s="220">
      <c r="A119" s="137" t="n"/>
      <c r="B119" s="137" t="n"/>
      <c r="C119" s="137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</row>
    <row r="120" ht="16.5" customHeight="1" s="2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</row>
    <row r="121" ht="16.5" customHeight="1" s="220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</row>
    <row r="122" ht="16.5" customHeight="1" s="220">
      <c r="A122" s="137" t="n"/>
      <c r="B122" s="137" t="n"/>
      <c r="C122" s="137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</row>
    <row r="123" ht="16.5" customHeight="1" s="220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</row>
    <row r="124" ht="16.5" customHeight="1" s="220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</row>
    <row r="125" ht="16.5" customHeight="1" s="220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</row>
    <row r="126" ht="16.5" customHeight="1" s="220">
      <c r="A126" s="137" t="n"/>
      <c r="B126" s="137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</row>
    <row r="127" ht="16.5" customHeight="1" s="220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</row>
    <row r="128" ht="16.5" customHeight="1" s="220">
      <c r="A128" s="1" t="n"/>
      <c r="B128" s="1" t="n"/>
      <c r="C128" s="137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</row>
    <row r="129" ht="16.5" customHeight="1" s="220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</row>
    <row r="130" ht="16.5" customHeight="1" s="220">
      <c r="A130" s="137" t="n"/>
      <c r="B130" s="137" t="n"/>
      <c r="C130" s="137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</row>
    <row r="131" ht="16.5" customHeight="1" s="220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</row>
    <row r="132" ht="16.5" customHeight="1" s="220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</row>
    <row r="133" ht="16.5" customHeight="1" s="220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</row>
    <row r="134" ht="16.5" customHeight="1" s="220">
      <c r="A134" s="1" t="n"/>
      <c r="B134" s="1" t="n"/>
      <c r="C134" s="2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</row>
    <row r="135" ht="16.5" customHeight="1" s="220">
      <c r="A135" s="1" t="n"/>
      <c r="B135" s="1" t="n"/>
      <c r="C135" s="2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</row>
    <row r="136" ht="16.5" customHeight="1" s="220">
      <c r="A136" s="1" t="n"/>
      <c r="B136" s="1" t="n"/>
      <c r="C136" s="2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</row>
    <row r="137" ht="16.5" customHeight="1" s="220">
      <c r="A137" s="1" t="n"/>
      <c r="B137" s="1" t="n"/>
      <c r="C137" s="2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</row>
    <row r="138" ht="16.5" customHeight="1" s="220">
      <c r="A138" s="1" t="n"/>
      <c r="B138" s="1" t="n"/>
      <c r="C138" s="2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</row>
    <row r="139" ht="16.5" customHeight="1" s="220">
      <c r="A139" s="1" t="n"/>
      <c r="B139" s="1" t="n"/>
      <c r="C139" s="2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</row>
    <row r="140" ht="16.5" customHeight="1" s="220">
      <c r="A140" s="1" t="n"/>
      <c r="B140" s="1" t="n"/>
      <c r="C140" s="2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</row>
    <row r="141" ht="16.5" customHeight="1" s="220">
      <c r="A141" s="1" t="n"/>
      <c r="B141" s="1" t="n"/>
      <c r="C141" s="2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</row>
    <row r="142" ht="16.5" customHeight="1" s="220">
      <c r="A142" s="1" t="n"/>
      <c r="B142" s="1" t="n"/>
      <c r="C142" s="2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</row>
    <row r="143" ht="16.5" customHeight="1" s="220">
      <c r="A143" s="1" t="n"/>
      <c r="B143" s="1" t="n"/>
      <c r="C143" s="2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</row>
    <row r="144" ht="16.5" customHeight="1" s="220">
      <c r="A144" s="1" t="n"/>
      <c r="B144" s="1" t="n"/>
      <c r="C144" s="2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</row>
    <row r="145" ht="16.5" customHeight="1" s="220">
      <c r="A145" s="1" t="n"/>
      <c r="B145" s="1" t="n"/>
      <c r="C145" s="2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</row>
    <row r="146" ht="16.5" customHeight="1" s="220">
      <c r="A146" s="1" t="n"/>
      <c r="B146" s="1" t="n"/>
      <c r="C146" s="2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</row>
    <row r="147" ht="16.5" customHeight="1" s="220">
      <c r="A147" s="1" t="n"/>
      <c r="B147" s="1" t="n"/>
      <c r="C147" s="2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</row>
    <row r="148" ht="16.5" customHeight="1" s="220">
      <c r="A148" s="1" t="n"/>
      <c r="B148" s="1" t="n"/>
      <c r="C148" s="2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</row>
    <row r="149" ht="16.5" customHeight="1" s="220">
      <c r="A149" s="1" t="n"/>
      <c r="B149" s="1" t="n"/>
      <c r="C149" s="2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</row>
    <row r="150" ht="16.5" customHeight="1" s="220">
      <c r="A150" s="1" t="n"/>
      <c r="B150" s="1" t="n"/>
      <c r="C150" s="2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</row>
    <row r="151" ht="16.5" customHeight="1" s="220">
      <c r="A151" s="1" t="n"/>
      <c r="B151" s="1" t="n"/>
      <c r="C151" s="2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</row>
    <row r="152" ht="16.5" customHeight="1" s="220">
      <c r="A152" s="1" t="n"/>
      <c r="B152" s="1" t="n"/>
      <c r="C152" s="2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</row>
    <row r="153" ht="16.5" customHeight="1" s="220">
      <c r="A153" s="1" t="n"/>
      <c r="B153" s="1" t="n"/>
      <c r="C153" s="2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</row>
    <row r="154" ht="16.5" customHeight="1" s="220">
      <c r="A154" s="1" t="n"/>
      <c r="B154" s="1" t="n"/>
      <c r="C154" s="2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</row>
    <row r="155" ht="16.5" customHeight="1" s="220">
      <c r="A155" s="1" t="n"/>
      <c r="B155" s="1" t="n"/>
      <c r="C155" s="2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</row>
    <row r="156" ht="16.5" customHeight="1" s="220">
      <c r="A156" s="1" t="n"/>
      <c r="B156" s="1" t="n"/>
      <c r="C156" s="2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</row>
    <row r="157" ht="16.5" customHeight="1" s="220">
      <c r="A157" s="1" t="n"/>
      <c r="B157" s="1" t="n"/>
      <c r="C157" s="2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</row>
    <row r="158" ht="16.5" customHeight="1" s="220">
      <c r="A158" s="1" t="n"/>
      <c r="B158" s="1" t="n"/>
      <c r="C158" s="2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  <c r="BA158" s="1" t="n"/>
    </row>
    <row r="159" ht="16.5" customHeight="1" s="220">
      <c r="A159" s="1" t="n"/>
      <c r="B159" s="1" t="n"/>
      <c r="C159" s="2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</row>
    <row r="160" ht="16.5" customHeight="1" s="220">
      <c r="A160" s="1" t="n"/>
      <c r="B160" s="1" t="n"/>
      <c r="C160" s="2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</row>
    <row r="161" ht="16.5" customHeight="1" s="220">
      <c r="A161" s="1" t="n"/>
      <c r="B161" s="1" t="n"/>
      <c r="C161" s="2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</row>
    <row r="162" ht="16.5" customHeight="1" s="220">
      <c r="A162" s="1" t="n"/>
      <c r="B162" s="1" t="n"/>
      <c r="C162" s="2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</row>
    <row r="163" ht="16.5" customHeight="1" s="220">
      <c r="A163" s="1" t="n"/>
      <c r="B163" s="1" t="n"/>
      <c r="C163" s="2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</row>
    <row r="164" ht="16.5" customHeight="1" s="220">
      <c r="A164" s="1" t="n"/>
      <c r="B164" s="1" t="n"/>
      <c r="C164" s="2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</row>
    <row r="165" ht="16.5" customHeight="1" s="220">
      <c r="A165" s="1" t="n"/>
      <c r="B165" s="1" t="n"/>
      <c r="C165" s="2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</row>
    <row r="166" ht="16.5" customHeight="1" s="220">
      <c r="A166" s="1" t="n"/>
      <c r="B166" s="1" t="n"/>
      <c r="C166" s="2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</row>
    <row r="167" ht="16.5" customHeight="1" s="220">
      <c r="A167" s="1" t="n"/>
      <c r="B167" s="1" t="n"/>
      <c r="C167" s="2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</row>
    <row r="168" ht="16.5" customHeight="1" s="220">
      <c r="A168" s="1" t="n"/>
      <c r="B168" s="1" t="n"/>
      <c r="C168" s="2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1" t="n"/>
    </row>
    <row r="169" ht="16.5" customHeight="1" s="220">
      <c r="A169" s="1" t="n"/>
      <c r="B169" s="1" t="n"/>
      <c r="C169" s="2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</row>
    <row r="170" ht="16.5" customHeight="1" s="220">
      <c r="A170" s="1" t="n"/>
      <c r="B170" s="1" t="n"/>
      <c r="C170" s="2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</row>
    <row r="171" ht="16.5" customHeight="1" s="220">
      <c r="A171" s="1" t="n"/>
      <c r="B171" s="1" t="n"/>
      <c r="C171" s="2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1" t="n"/>
    </row>
    <row r="172" ht="16.5" customHeight="1" s="220">
      <c r="A172" s="1" t="n"/>
      <c r="B172" s="1" t="n"/>
      <c r="C172" s="2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</row>
    <row r="173" ht="16.5" customHeight="1" s="220">
      <c r="A173" s="1" t="n"/>
      <c r="B173" s="1" t="n"/>
      <c r="C173" s="2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</row>
    <row r="174" ht="16.5" customHeight="1" s="220">
      <c r="A174" s="1" t="n"/>
      <c r="B174" s="1" t="n"/>
      <c r="C174" s="2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</row>
    <row r="175" ht="16.5" customHeight="1" s="220">
      <c r="A175" s="1" t="n"/>
      <c r="B175" s="1" t="n"/>
      <c r="C175" s="2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</row>
    <row r="176" ht="16.5" customHeight="1" s="220">
      <c r="A176" s="1" t="n"/>
      <c r="B176" s="1" t="n"/>
      <c r="C176" s="2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</row>
    <row r="177" ht="16.5" customHeight="1" s="220">
      <c r="A177" s="1" t="n"/>
      <c r="B177" s="1" t="n"/>
      <c r="C177" s="2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</row>
    <row r="178" ht="16.5" customHeight="1" s="220">
      <c r="A178" s="1" t="n"/>
      <c r="B178" s="1" t="n"/>
      <c r="C178" s="2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</row>
    <row r="179" ht="16.5" customHeight="1" s="220">
      <c r="A179" s="1" t="n"/>
      <c r="B179" s="1" t="n"/>
      <c r="C179" s="2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</row>
    <row r="180" ht="16.5" customHeight="1" s="220">
      <c r="A180" s="1" t="n"/>
      <c r="B180" s="1" t="n"/>
      <c r="C180" s="2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</row>
    <row r="181" ht="16.5" customHeight="1" s="220">
      <c r="A181" s="1" t="n"/>
      <c r="B181" s="1" t="n"/>
      <c r="C181" s="2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</row>
    <row r="182" ht="16.5" customHeight="1" s="220">
      <c r="A182" s="1" t="n"/>
      <c r="B182" s="1" t="n"/>
      <c r="C182" s="2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</row>
    <row r="183" ht="16.5" customHeight="1" s="220">
      <c r="A183" s="1" t="n"/>
      <c r="B183" s="1" t="n"/>
      <c r="C183" s="2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</row>
    <row r="184" ht="16.5" customHeight="1" s="220">
      <c r="A184" s="1" t="n"/>
      <c r="B184" s="1" t="n"/>
      <c r="C184" s="2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</row>
    <row r="185" ht="16.5" customHeight="1" s="220">
      <c r="A185" s="1" t="n"/>
      <c r="B185" s="1" t="n"/>
      <c r="C185" s="2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</row>
    <row r="186" ht="16.5" customHeight="1" s="220">
      <c r="A186" s="1" t="n"/>
      <c r="B186" s="1" t="n"/>
      <c r="C186" s="2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</row>
    <row r="187" ht="16.5" customHeight="1" s="220">
      <c r="A187" s="1" t="n"/>
      <c r="B187" s="1" t="n"/>
      <c r="C187" s="2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</row>
    <row r="188" ht="16.5" customHeight="1" s="220">
      <c r="A188" s="1" t="n"/>
      <c r="B188" s="1" t="n"/>
      <c r="C188" s="2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</row>
    <row r="189" ht="16.5" customHeight="1" s="220">
      <c r="A189" s="1" t="n"/>
      <c r="B189" s="1" t="n"/>
      <c r="C189" s="2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</row>
    <row r="190" ht="16.5" customHeight="1" s="220">
      <c r="A190" s="1" t="n"/>
      <c r="B190" s="1" t="n"/>
      <c r="C190" s="2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</row>
    <row r="191" ht="16.5" customHeight="1" s="220">
      <c r="A191" s="1" t="n"/>
      <c r="B191" s="1" t="n"/>
      <c r="C191" s="2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</row>
    <row r="192" ht="16.5" customHeight="1" s="220">
      <c r="A192" s="1" t="n"/>
      <c r="B192" s="1" t="n"/>
      <c r="C192" s="2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</row>
    <row r="193" ht="16.5" customHeight="1" s="220">
      <c r="A193" s="1" t="n"/>
      <c r="B193" s="1" t="n"/>
      <c r="C193" s="2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</row>
    <row r="194" ht="16.5" customHeight="1" s="220">
      <c r="A194" s="1" t="n"/>
      <c r="B194" s="1" t="n"/>
      <c r="C194" s="2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1" t="n"/>
    </row>
    <row r="195" ht="16.5" customHeight="1" s="220">
      <c r="A195" s="1" t="n"/>
      <c r="B195" s="1" t="n"/>
      <c r="C195" s="2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</row>
    <row r="196" ht="16.5" customHeight="1" s="220">
      <c r="A196" s="1" t="n"/>
      <c r="B196" s="1" t="n"/>
      <c r="C196" s="2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</row>
    <row r="197" ht="16.5" customHeight="1" s="220">
      <c r="A197" s="1" t="n"/>
      <c r="B197" s="1" t="n"/>
      <c r="C197" s="2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</row>
    <row r="198" ht="16.5" customHeight="1" s="220">
      <c r="A198" s="1" t="n"/>
      <c r="B198" s="1" t="n"/>
      <c r="C198" s="2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</row>
    <row r="199" ht="16.5" customHeight="1" s="220">
      <c r="A199" s="1" t="n"/>
      <c r="B199" s="1" t="n"/>
      <c r="C199" s="2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</row>
    <row r="200" ht="16.5" customHeight="1" s="220">
      <c r="A200" s="1" t="n"/>
      <c r="B200" s="1" t="n"/>
      <c r="C200" s="2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</row>
    <row r="201" ht="16.5" customHeight="1" s="220">
      <c r="A201" s="1" t="n"/>
      <c r="B201" s="1" t="n"/>
      <c r="C201" s="2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  <c r="BA201" s="1" t="n"/>
    </row>
    <row r="202" ht="16.5" customHeight="1" s="220">
      <c r="A202" s="1" t="n"/>
      <c r="B202" s="1" t="n"/>
      <c r="C202" s="2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  <c r="BA202" s="1" t="n"/>
    </row>
    <row r="203" ht="16.5" customHeight="1" s="220">
      <c r="A203" s="1" t="n"/>
      <c r="B203" s="1" t="n"/>
      <c r="C203" s="2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  <c r="BA203" s="1" t="n"/>
    </row>
    <row r="204" ht="16.5" customHeight="1" s="220">
      <c r="A204" s="1" t="n"/>
      <c r="B204" s="1" t="n"/>
      <c r="C204" s="2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  <c r="BA204" s="1" t="n"/>
    </row>
    <row r="205" ht="16.5" customHeight="1" s="220">
      <c r="A205" s="1" t="n"/>
      <c r="B205" s="1" t="n"/>
      <c r="C205" s="2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  <c r="BA205" s="1" t="n"/>
    </row>
    <row r="206" ht="16.5" customHeight="1" s="220">
      <c r="A206" s="1" t="n"/>
      <c r="B206" s="1" t="n"/>
      <c r="C206" s="2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  <c r="BA206" s="1" t="n"/>
    </row>
    <row r="207" ht="16.5" customHeight="1" s="220">
      <c r="A207" s="1" t="n"/>
      <c r="B207" s="1" t="n"/>
      <c r="C207" s="2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  <c r="BA207" s="1" t="n"/>
    </row>
    <row r="208" ht="16.5" customHeight="1" s="220">
      <c r="A208" s="1" t="n"/>
      <c r="B208" s="1" t="n"/>
      <c r="C208" s="2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  <c r="BA208" s="1" t="n"/>
    </row>
    <row r="209" ht="16.5" customHeight="1" s="220">
      <c r="A209" s="1" t="n"/>
      <c r="B209" s="1" t="n"/>
      <c r="C209" s="2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  <c r="BA209" s="1" t="n"/>
    </row>
    <row r="210" ht="16.5" customHeight="1" s="220">
      <c r="A210" s="1" t="n"/>
      <c r="B210" s="1" t="n"/>
      <c r="C210" s="2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  <c r="BA210" s="1" t="n"/>
    </row>
    <row r="211" ht="16.5" customHeight="1" s="220">
      <c r="A211" s="1" t="n"/>
      <c r="B211" s="1" t="n"/>
      <c r="C211" s="2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  <c r="BA211" s="1" t="n"/>
    </row>
    <row r="212" ht="16.5" customHeight="1" s="220">
      <c r="A212" s="1" t="n"/>
      <c r="B212" s="1" t="n"/>
      <c r="C212" s="2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  <c r="BA212" s="1" t="n"/>
    </row>
    <row r="213" ht="16.5" customHeight="1" s="220">
      <c r="A213" s="1" t="n"/>
      <c r="B213" s="1" t="n"/>
      <c r="C213" s="2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  <c r="BA213" s="1" t="n"/>
    </row>
    <row r="214" ht="16.5" customHeight="1" s="220">
      <c r="A214" s="1" t="n"/>
      <c r="B214" s="1" t="n"/>
      <c r="C214" s="2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  <c r="BA214" s="1" t="n"/>
    </row>
    <row r="215" ht="16.5" customHeight="1" s="220">
      <c r="A215" s="1" t="n"/>
      <c r="B215" s="1" t="n"/>
      <c r="C215" s="2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  <c r="BA215" s="1" t="n"/>
    </row>
    <row r="216" ht="16.5" customHeight="1" s="220">
      <c r="A216" s="1" t="n"/>
      <c r="B216" s="1" t="n"/>
      <c r="C216" s="2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  <c r="BA216" s="1" t="n"/>
    </row>
    <row r="217" ht="16.5" customHeight="1" s="220">
      <c r="A217" s="1" t="n"/>
      <c r="B217" s="1" t="n"/>
      <c r="C217" s="2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  <c r="BA217" s="1" t="n"/>
    </row>
    <row r="218" ht="16.5" customHeight="1" s="220">
      <c r="A218" s="1" t="n"/>
      <c r="B218" s="1" t="n"/>
      <c r="C218" s="2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  <c r="BA218" s="1" t="n"/>
    </row>
    <row r="219" ht="16.5" customHeight="1" s="220">
      <c r="A219" s="1" t="n"/>
      <c r="B219" s="1" t="n"/>
      <c r="C219" s="2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  <c r="BA219" s="1" t="n"/>
    </row>
    <row r="220" ht="16.5" customHeight="1" s="220">
      <c r="A220" s="1" t="n"/>
      <c r="B220" s="1" t="n"/>
      <c r="C220" s="2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  <c r="BA220" s="1" t="n"/>
    </row>
    <row r="221" ht="16.5" customHeight="1" s="220">
      <c r="A221" s="1" t="n"/>
      <c r="B221" s="1" t="n"/>
      <c r="C221" s="2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  <c r="BA221" s="1" t="n"/>
    </row>
    <row r="222" ht="16.5" customHeight="1" s="220">
      <c r="A222" s="1" t="n"/>
      <c r="B222" s="1" t="n"/>
      <c r="C222" s="2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  <c r="BA222" s="1" t="n"/>
    </row>
    <row r="223" ht="16.5" customHeight="1" s="220">
      <c r="A223" s="1" t="n"/>
      <c r="B223" s="1" t="n"/>
      <c r="C223" s="2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  <c r="BA223" s="1" t="n"/>
    </row>
    <row r="224" ht="16.5" customHeight="1" s="220">
      <c r="A224" s="1" t="n"/>
      <c r="B224" s="1" t="n"/>
      <c r="C224" s="2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  <c r="BA224" s="1" t="n"/>
    </row>
    <row r="225" ht="16.5" customHeight="1" s="220">
      <c r="A225" s="1" t="n"/>
      <c r="B225" s="1" t="n"/>
      <c r="C225" s="2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  <c r="BA225" s="1" t="n"/>
    </row>
    <row r="226" ht="16.5" customHeight="1" s="220">
      <c r="A226" s="1" t="n"/>
      <c r="B226" s="1" t="n"/>
      <c r="C226" s="2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  <c r="AZ226" s="1" t="n"/>
      <c r="BA226" s="1" t="n"/>
    </row>
    <row r="227" ht="16.5" customHeight="1" s="220">
      <c r="A227" s="1" t="n"/>
      <c r="B227" s="1" t="n"/>
      <c r="C227" s="2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  <c r="BA227" s="1" t="n"/>
    </row>
    <row r="228" ht="16.5" customHeight="1" s="220">
      <c r="A228" s="1" t="n"/>
      <c r="B228" s="1" t="n"/>
      <c r="C228" s="2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  <c r="AZ228" s="1" t="n"/>
      <c r="BA228" s="1" t="n"/>
    </row>
    <row r="229" ht="16.5" customHeight="1" s="220">
      <c r="A229" s="1" t="n"/>
      <c r="B229" s="1" t="n"/>
      <c r="C229" s="2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  <c r="BA229" s="1" t="n"/>
    </row>
    <row r="230" ht="16.5" customHeight="1" s="220">
      <c r="A230" s="1" t="n"/>
      <c r="B230" s="1" t="n"/>
      <c r="C230" s="2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  <c r="AZ230" s="1" t="n"/>
      <c r="BA230" s="1" t="n"/>
    </row>
    <row r="231" ht="16.5" customHeight="1" s="220">
      <c r="A231" s="1" t="n"/>
      <c r="B231" s="1" t="n"/>
      <c r="C231" s="2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  <c r="BA231" s="1" t="n"/>
    </row>
    <row r="232" ht="16.5" customHeight="1" s="220">
      <c r="A232" s="1" t="n"/>
      <c r="B232" s="1" t="n"/>
      <c r="C232" s="2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  <c r="AZ232" s="1" t="n"/>
      <c r="BA232" s="1" t="n"/>
    </row>
    <row r="233" ht="16.5" customHeight="1" s="220">
      <c r="A233" s="1" t="n"/>
      <c r="B233" s="1" t="n"/>
      <c r="C233" s="2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  <c r="BA233" s="1" t="n"/>
    </row>
    <row r="234" ht="16.5" customHeight="1" s="220">
      <c r="A234" s="1" t="n"/>
      <c r="B234" s="1" t="n"/>
      <c r="C234" s="2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  <c r="AY234" s="1" t="n"/>
      <c r="AZ234" s="1" t="n"/>
      <c r="BA234" s="1" t="n"/>
    </row>
    <row r="235" ht="16.5" customHeight="1" s="220">
      <c r="A235" s="1" t="n"/>
      <c r="B235" s="1" t="n"/>
      <c r="C235" s="2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  <c r="AZ235" s="1" t="n"/>
      <c r="BA235" s="1" t="n"/>
    </row>
    <row r="236" ht="16.5" customHeight="1" s="220">
      <c r="A236" s="1" t="n"/>
      <c r="B236" s="1" t="n"/>
      <c r="C236" s="2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  <c r="AY236" s="1" t="n"/>
      <c r="AZ236" s="1" t="n"/>
      <c r="BA236" s="1" t="n"/>
    </row>
    <row r="237" ht="16.5" customHeight="1" s="220">
      <c r="A237" s="1" t="n"/>
      <c r="B237" s="1" t="n"/>
      <c r="C237" s="2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  <c r="BA237" s="1" t="n"/>
    </row>
    <row r="238" ht="16.5" customHeight="1" s="220">
      <c r="A238" s="1" t="n"/>
      <c r="B238" s="1" t="n"/>
      <c r="C238" s="2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  <c r="AZ238" s="1" t="n"/>
      <c r="BA238" s="1" t="n"/>
    </row>
    <row r="239" ht="16.5" customHeight="1" s="220">
      <c r="A239" s="1" t="n"/>
      <c r="B239" s="1" t="n"/>
      <c r="C239" s="2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  <c r="AZ239" s="1" t="n"/>
      <c r="BA239" s="1" t="n"/>
    </row>
    <row r="240" ht="16.5" customHeight="1" s="220">
      <c r="A240" s="1" t="n"/>
      <c r="B240" s="1" t="n"/>
      <c r="C240" s="2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</row>
    <row r="241" ht="16.5" customHeight="1" s="220">
      <c r="A241" s="1" t="n"/>
      <c r="B241" s="1" t="n"/>
      <c r="C241" s="2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  <c r="AZ241" s="1" t="n"/>
      <c r="BA241" s="1" t="n"/>
    </row>
    <row r="242" ht="16.5" customHeight="1" s="220">
      <c r="A242" s="1" t="n"/>
      <c r="B242" s="1" t="n"/>
      <c r="C242" s="2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  <c r="BA242" s="1" t="n"/>
    </row>
    <row r="243" ht="16.5" customHeight="1" s="220">
      <c r="A243" s="1" t="n"/>
      <c r="B243" s="1" t="n"/>
      <c r="C243" s="2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  <c r="AZ243" s="1" t="n"/>
      <c r="BA243" s="1" t="n"/>
    </row>
    <row r="244" ht="16.5" customHeight="1" s="220">
      <c r="A244" s="1" t="n"/>
      <c r="B244" s="1" t="n"/>
      <c r="C244" s="2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  <c r="AY244" s="1" t="n"/>
      <c r="AZ244" s="1" t="n"/>
      <c r="BA244" s="1" t="n"/>
    </row>
    <row r="245" ht="16.5" customHeight="1" s="220">
      <c r="A245" s="1" t="n"/>
      <c r="B245" s="1" t="n"/>
      <c r="C245" s="2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  <c r="AZ245" s="1" t="n"/>
      <c r="BA245" s="1" t="n"/>
    </row>
    <row r="246" ht="16.5" customHeight="1" s="220">
      <c r="A246" s="1" t="n"/>
      <c r="B246" s="1" t="n"/>
      <c r="C246" s="2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  <c r="AX246" s="1" t="n"/>
      <c r="AY246" s="1" t="n"/>
      <c r="AZ246" s="1" t="n"/>
      <c r="BA246" s="1" t="n"/>
    </row>
    <row r="247" ht="16.5" customHeight="1" s="220">
      <c r="A247" s="1" t="n"/>
      <c r="B247" s="1" t="n"/>
      <c r="C247" s="2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  <c r="AY247" s="1" t="n"/>
      <c r="AZ247" s="1" t="n"/>
      <c r="BA247" s="1" t="n"/>
    </row>
    <row r="248" ht="16.5" customHeight="1" s="220">
      <c r="A248" s="1" t="n"/>
      <c r="B248" s="1" t="n"/>
      <c r="C248" s="2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  <c r="AX248" s="1" t="n"/>
      <c r="AY248" s="1" t="n"/>
      <c r="AZ248" s="1" t="n"/>
      <c r="BA248" s="1" t="n"/>
    </row>
    <row r="249" ht="16.5" customHeight="1" s="220">
      <c r="A249" s="1" t="n"/>
      <c r="B249" s="1" t="n"/>
      <c r="C249" s="2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  <c r="AY249" s="1" t="n"/>
      <c r="AZ249" s="1" t="n"/>
      <c r="BA249" s="1" t="n"/>
    </row>
    <row r="250" ht="16.5" customHeight="1" s="220">
      <c r="A250" s="1" t="n"/>
      <c r="B250" s="1" t="n"/>
      <c r="C250" s="2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  <c r="AY250" s="1" t="n"/>
      <c r="AZ250" s="1" t="n"/>
      <c r="BA250" s="1" t="n"/>
    </row>
    <row r="251" ht="16.5" customHeight="1" s="220">
      <c r="A251" s="1" t="n"/>
      <c r="B251" s="1" t="n"/>
      <c r="C251" s="2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  <c r="AZ251" s="1" t="n"/>
      <c r="BA251" s="1" t="n"/>
    </row>
    <row r="252" ht="16.5" customHeight="1" s="220">
      <c r="A252" s="1" t="n"/>
      <c r="B252" s="1" t="n"/>
      <c r="C252" s="2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  <c r="AY252" s="1" t="n"/>
      <c r="AZ252" s="1" t="n"/>
      <c r="BA252" s="1" t="n"/>
    </row>
    <row r="253" ht="16.5" customHeight="1" s="220">
      <c r="A253" s="1" t="n"/>
      <c r="B253" s="1" t="n"/>
      <c r="C253" s="2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  <c r="AZ253" s="1" t="n"/>
      <c r="BA253" s="1" t="n"/>
    </row>
    <row r="254" ht="16.5" customHeight="1" s="220">
      <c r="A254" s="1" t="n"/>
      <c r="B254" s="1" t="n"/>
      <c r="C254" s="2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  <c r="AX254" s="1" t="n"/>
      <c r="AY254" s="1" t="n"/>
      <c r="AZ254" s="1" t="n"/>
      <c r="BA254" s="1" t="n"/>
    </row>
    <row r="255" ht="16.5" customHeight="1" s="220">
      <c r="A255" s="1" t="n"/>
      <c r="B255" s="1" t="n"/>
      <c r="C255" s="2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  <c r="AZ255" s="1" t="n"/>
      <c r="BA255" s="1" t="n"/>
    </row>
    <row r="256" ht="16.5" customHeight="1" s="220">
      <c r="A256" s="1" t="n"/>
      <c r="B256" s="1" t="n"/>
      <c r="C256" s="2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  <c r="AY256" s="1" t="n"/>
      <c r="AZ256" s="1" t="n"/>
      <c r="BA256" s="1" t="n"/>
    </row>
    <row r="257" ht="16.5" customHeight="1" s="220">
      <c r="A257" s="1" t="n"/>
      <c r="B257" s="1" t="n"/>
      <c r="C257" s="2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  <c r="BA257" s="1" t="n"/>
    </row>
    <row r="258" ht="16.5" customHeight="1" s="220">
      <c r="A258" s="1" t="n"/>
      <c r="B258" s="1" t="n"/>
      <c r="C258" s="2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  <c r="AY258" s="1" t="n"/>
      <c r="AZ258" s="1" t="n"/>
      <c r="BA258" s="1" t="n"/>
    </row>
    <row r="259" ht="16.5" customHeight="1" s="220">
      <c r="A259" s="1" t="n"/>
      <c r="B259" s="1" t="n"/>
      <c r="C259" s="2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  <c r="BA259" s="1" t="n"/>
    </row>
    <row r="260" ht="16.5" customHeight="1" s="220">
      <c r="A260" s="1" t="n"/>
      <c r="B260" s="1" t="n"/>
      <c r="C260" s="2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  <c r="AX260" s="1" t="n"/>
      <c r="AY260" s="1" t="n"/>
      <c r="AZ260" s="1" t="n"/>
      <c r="BA260" s="1" t="n"/>
    </row>
    <row r="261" ht="16.5" customHeight="1" s="220">
      <c r="A261" s="1" t="n"/>
      <c r="B261" s="1" t="n"/>
      <c r="C261" s="2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  <c r="AZ261" s="1" t="n"/>
      <c r="BA261" s="1" t="n"/>
    </row>
    <row r="262" ht="16.5" customHeight="1" s="220">
      <c r="A262" s="1" t="n"/>
      <c r="B262" s="1" t="n"/>
      <c r="C262" s="2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  <c r="AX262" s="1" t="n"/>
      <c r="AY262" s="1" t="n"/>
      <c r="AZ262" s="1" t="n"/>
      <c r="BA262" s="1" t="n"/>
    </row>
    <row r="263" ht="16.5" customHeight="1" s="220">
      <c r="A263" s="1" t="n"/>
      <c r="B263" s="1" t="n"/>
      <c r="C263" s="2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  <c r="AZ263" s="1" t="n"/>
      <c r="BA263" s="1" t="n"/>
    </row>
    <row r="264" ht="16.5" customHeight="1" s="220">
      <c r="A264" s="1" t="n"/>
      <c r="B264" s="1" t="n"/>
      <c r="C264" s="2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  <c r="AX264" s="1" t="n"/>
      <c r="AY264" s="1" t="n"/>
      <c r="AZ264" s="1" t="n"/>
      <c r="BA264" s="1" t="n"/>
    </row>
    <row r="265" ht="16.5" customHeight="1" s="220">
      <c r="A265" s="1" t="n"/>
      <c r="B265" s="1" t="n"/>
      <c r="C265" s="2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  <c r="BA265" s="1" t="n"/>
    </row>
    <row r="266" ht="16.5" customHeight="1" s="220">
      <c r="A266" s="1" t="n"/>
      <c r="B266" s="1" t="n"/>
      <c r="C266" s="2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  <c r="AX266" s="1" t="n"/>
      <c r="AY266" s="1" t="n"/>
      <c r="AZ266" s="1" t="n"/>
      <c r="BA266" s="1" t="n"/>
    </row>
    <row r="267" ht="16.5" customHeight="1" s="220">
      <c r="A267" s="1" t="n"/>
      <c r="B267" s="1" t="n"/>
      <c r="C267" s="2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  <c r="BA267" s="1" t="n"/>
    </row>
    <row r="268" ht="16.5" customHeight="1" s="220">
      <c r="A268" s="1" t="n"/>
      <c r="B268" s="1" t="n"/>
      <c r="C268" s="2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  <c r="AZ268" s="1" t="n"/>
      <c r="BA268" s="1" t="n"/>
    </row>
    <row r="269" ht="16.5" customHeight="1" s="220">
      <c r="A269" s="1" t="n"/>
      <c r="B269" s="1" t="n"/>
      <c r="C269" s="2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  <c r="AZ269" s="1" t="n"/>
      <c r="BA269" s="1" t="n"/>
    </row>
    <row r="270" ht="16.5" customHeight="1" s="220">
      <c r="A270" s="1" t="n"/>
      <c r="B270" s="1" t="n"/>
      <c r="C270" s="2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  <c r="BA270" s="1" t="n"/>
    </row>
    <row r="271" ht="16.5" customHeight="1" s="220">
      <c r="A271" s="1" t="n"/>
      <c r="B271" s="1" t="n"/>
      <c r="C271" s="2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  <c r="AZ271" s="1" t="n"/>
      <c r="BA271" s="1" t="n"/>
    </row>
    <row r="272" ht="16.5" customHeight="1" s="220">
      <c r="A272" s="1" t="n"/>
      <c r="B272" s="1" t="n"/>
      <c r="C272" s="2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  <c r="AY272" s="1" t="n"/>
      <c r="AZ272" s="1" t="n"/>
      <c r="BA272" s="1" t="n"/>
    </row>
    <row r="273" ht="16.5" customHeight="1" s="220">
      <c r="A273" s="1" t="n"/>
      <c r="B273" s="1" t="n"/>
      <c r="C273" s="2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  <c r="AZ273" s="1" t="n"/>
      <c r="BA273" s="1" t="n"/>
    </row>
    <row r="274" ht="16.5" customHeight="1" s="220">
      <c r="A274" s="1" t="n"/>
      <c r="B274" s="1" t="n"/>
      <c r="C274" s="2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  <c r="AX274" s="1" t="n"/>
      <c r="AY274" s="1" t="n"/>
      <c r="AZ274" s="1" t="n"/>
      <c r="BA274" s="1" t="n"/>
    </row>
    <row r="275" ht="16.5" customHeight="1" s="220">
      <c r="A275" s="1" t="n"/>
      <c r="B275" s="1" t="n"/>
      <c r="C275" s="2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  <c r="AY275" s="1" t="n"/>
      <c r="AZ275" s="1" t="n"/>
      <c r="BA275" s="1" t="n"/>
    </row>
    <row r="276" ht="16.5" customHeight="1" s="220">
      <c r="A276" s="1" t="n"/>
      <c r="B276" s="1" t="n"/>
      <c r="C276" s="2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  <c r="BA276" s="1" t="n"/>
    </row>
    <row r="277" ht="16.5" customHeight="1" s="220">
      <c r="A277" s="1" t="n"/>
      <c r="B277" s="1" t="n"/>
      <c r="C277" s="2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  <c r="AX277" s="1" t="n"/>
      <c r="AY277" s="1" t="n"/>
      <c r="AZ277" s="1" t="n"/>
      <c r="BA277" s="1" t="n"/>
    </row>
    <row r="278" ht="16.5" customHeight="1" s="220">
      <c r="A278" s="1" t="n"/>
      <c r="B278" s="1" t="n"/>
      <c r="C278" s="2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  <c r="AZ278" s="1" t="n"/>
      <c r="BA278" s="1" t="n"/>
    </row>
    <row r="279" ht="16.5" customHeight="1" s="220">
      <c r="A279" s="1" t="n"/>
      <c r="B279" s="1" t="n"/>
      <c r="C279" s="2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  <c r="AX279" s="1" t="n"/>
      <c r="AY279" s="1" t="n"/>
      <c r="AZ279" s="1" t="n"/>
      <c r="BA279" s="1" t="n"/>
    </row>
    <row r="280" ht="16.5" customHeight="1" s="220">
      <c r="A280" s="1" t="n"/>
      <c r="B280" s="1" t="n"/>
      <c r="C280" s="2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  <c r="AX280" s="1" t="n"/>
      <c r="AY280" s="1" t="n"/>
      <c r="AZ280" s="1" t="n"/>
      <c r="BA280" s="1" t="n"/>
    </row>
    <row r="281" ht="16.5" customHeight="1" s="220">
      <c r="A281" s="1" t="n"/>
      <c r="B281" s="1" t="n"/>
      <c r="C281" s="2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  <c r="AX281" s="1" t="n"/>
      <c r="AY281" s="1" t="n"/>
      <c r="AZ281" s="1" t="n"/>
      <c r="BA281" s="1" t="n"/>
    </row>
    <row r="282" ht="16.5" customHeight="1" s="220">
      <c r="A282" s="1" t="n"/>
      <c r="B282" s="1" t="n"/>
      <c r="C282" s="2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  <c r="AX282" s="1" t="n"/>
      <c r="AY282" s="1" t="n"/>
      <c r="AZ282" s="1" t="n"/>
      <c r="BA282" s="1" t="n"/>
    </row>
    <row r="283" ht="16.5" customHeight="1" s="220">
      <c r="A283" s="1" t="n"/>
      <c r="B283" s="1" t="n"/>
      <c r="C283" s="2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  <c r="AX283" s="1" t="n"/>
      <c r="AY283" s="1" t="n"/>
      <c r="AZ283" s="1" t="n"/>
      <c r="BA283" s="1" t="n"/>
    </row>
    <row r="284" ht="16.5" customHeight="1" s="220">
      <c r="A284" s="1" t="n"/>
      <c r="B284" s="1" t="n"/>
      <c r="C284" s="2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  <c r="AX284" s="1" t="n"/>
      <c r="AY284" s="1" t="n"/>
      <c r="AZ284" s="1" t="n"/>
      <c r="BA284" s="1" t="n"/>
    </row>
    <row r="285" ht="16.5" customHeight="1" s="220">
      <c r="A285" s="1" t="n"/>
      <c r="B285" s="1" t="n"/>
      <c r="C285" s="2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  <c r="AX285" s="1" t="n"/>
      <c r="AY285" s="1" t="n"/>
      <c r="AZ285" s="1" t="n"/>
      <c r="BA285" s="1" t="n"/>
    </row>
    <row r="286" ht="16.5" customHeight="1" s="220">
      <c r="A286" s="1" t="n"/>
      <c r="B286" s="1" t="n"/>
      <c r="C286" s="2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  <c r="AX286" s="1" t="n"/>
      <c r="AY286" s="1" t="n"/>
      <c r="AZ286" s="1" t="n"/>
      <c r="BA286" s="1" t="n"/>
    </row>
    <row r="287" ht="16.5" customHeight="1" s="220">
      <c r="A287" s="1" t="n"/>
      <c r="B287" s="1" t="n"/>
      <c r="C287" s="2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  <c r="AX287" s="1" t="n"/>
      <c r="AY287" s="1" t="n"/>
      <c r="AZ287" s="1" t="n"/>
      <c r="BA287" s="1" t="n"/>
    </row>
    <row r="288" ht="16.5" customHeight="1" s="220">
      <c r="A288" s="1" t="n"/>
      <c r="B288" s="1" t="n"/>
      <c r="C288" s="2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  <c r="AX288" s="1" t="n"/>
      <c r="AY288" s="1" t="n"/>
      <c r="AZ288" s="1" t="n"/>
      <c r="BA288" s="1" t="n"/>
    </row>
    <row r="289" ht="16.5" customHeight="1" s="220">
      <c r="A289" s="1" t="n"/>
      <c r="B289" s="1" t="n"/>
      <c r="C289" s="2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  <c r="AX289" s="1" t="n"/>
      <c r="AY289" s="1" t="n"/>
      <c r="AZ289" s="1" t="n"/>
      <c r="BA289" s="1" t="n"/>
    </row>
    <row r="290" ht="16.5" customHeight="1" s="220">
      <c r="A290" s="1" t="n"/>
      <c r="B290" s="1" t="n"/>
      <c r="C290" s="2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  <c r="AX290" s="1" t="n"/>
      <c r="AY290" s="1" t="n"/>
      <c r="AZ290" s="1" t="n"/>
      <c r="BA290" s="1" t="n"/>
    </row>
    <row r="291" ht="16.5" customHeight="1" s="220">
      <c r="A291" s="1" t="n"/>
      <c r="B291" s="1" t="n"/>
      <c r="C291" s="2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  <c r="AX291" s="1" t="n"/>
      <c r="AY291" s="1" t="n"/>
      <c r="AZ291" s="1" t="n"/>
      <c r="BA291" s="1" t="n"/>
    </row>
    <row r="292" ht="16.5" customHeight="1" s="220">
      <c r="A292" s="1" t="n"/>
      <c r="B292" s="1" t="n"/>
      <c r="C292" s="2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  <c r="AW292" s="1" t="n"/>
      <c r="AX292" s="1" t="n"/>
      <c r="AY292" s="1" t="n"/>
      <c r="AZ292" s="1" t="n"/>
      <c r="BA292" s="1" t="n"/>
    </row>
    <row r="293" ht="16.5" customHeight="1" s="220">
      <c r="A293" s="1" t="n"/>
      <c r="B293" s="1" t="n"/>
      <c r="C293" s="2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  <c r="AX293" s="1" t="n"/>
      <c r="AY293" s="1" t="n"/>
      <c r="AZ293" s="1" t="n"/>
      <c r="BA293" s="1" t="n"/>
    </row>
    <row r="294" ht="16.5" customHeight="1" s="220">
      <c r="A294" s="1" t="n"/>
      <c r="B294" s="1" t="n"/>
      <c r="C294" s="2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  <c r="AS294" s="1" t="n"/>
      <c r="AT294" s="1" t="n"/>
      <c r="AU294" s="1" t="n"/>
      <c r="AV294" s="1" t="n"/>
      <c r="AW294" s="1" t="n"/>
      <c r="AX294" s="1" t="n"/>
      <c r="AY294" s="1" t="n"/>
      <c r="AZ294" s="1" t="n"/>
      <c r="BA294" s="1" t="n"/>
    </row>
    <row r="295" ht="16.5" customHeight="1" s="220">
      <c r="A295" s="1" t="n"/>
      <c r="B295" s="1" t="n"/>
      <c r="C295" s="2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  <c r="AX295" s="1" t="n"/>
      <c r="AY295" s="1" t="n"/>
      <c r="AZ295" s="1" t="n"/>
      <c r="BA295" s="1" t="n"/>
    </row>
    <row r="296" ht="16.5" customHeight="1" s="220">
      <c r="A296" s="1" t="n"/>
      <c r="B296" s="1" t="n"/>
      <c r="C296" s="2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T296" s="1" t="n"/>
      <c r="AU296" s="1" t="n"/>
      <c r="AV296" s="1" t="n"/>
      <c r="AW296" s="1" t="n"/>
      <c r="AX296" s="1" t="n"/>
      <c r="AY296" s="1" t="n"/>
      <c r="AZ296" s="1" t="n"/>
      <c r="BA296" s="1" t="n"/>
    </row>
    <row r="297" ht="16.5" customHeight="1" s="220">
      <c r="A297" s="1" t="n"/>
      <c r="B297" s="1" t="n"/>
      <c r="C297" s="2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  <c r="AX297" s="1" t="n"/>
      <c r="AY297" s="1" t="n"/>
      <c r="AZ297" s="1" t="n"/>
      <c r="BA297" s="1" t="n"/>
    </row>
    <row r="298" ht="16.5" customHeight="1" s="220">
      <c r="A298" s="1" t="n"/>
      <c r="B298" s="1" t="n"/>
      <c r="C298" s="2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  <c r="AW298" s="1" t="n"/>
      <c r="AX298" s="1" t="n"/>
      <c r="AY298" s="1" t="n"/>
      <c r="AZ298" s="1" t="n"/>
      <c r="BA298" s="1" t="n"/>
    </row>
    <row r="299" ht="16.5" customHeight="1" s="220">
      <c r="A299" s="1" t="n"/>
      <c r="B299" s="1" t="n"/>
      <c r="C299" s="2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  <c r="AX299" s="1" t="n"/>
      <c r="AY299" s="1" t="n"/>
      <c r="AZ299" s="1" t="n"/>
      <c r="BA299" s="1" t="n"/>
    </row>
    <row r="300" ht="16.5" customHeight="1" s="220">
      <c r="A300" s="1" t="n"/>
      <c r="B300" s="1" t="n"/>
      <c r="C300" s="2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  <c r="AW300" s="1" t="n"/>
      <c r="AX300" s="1" t="n"/>
      <c r="AY300" s="1" t="n"/>
      <c r="AZ300" s="1" t="n"/>
      <c r="BA300" s="1" t="n"/>
    </row>
    <row r="301" ht="16.5" customHeight="1" s="220">
      <c r="A301" s="1" t="n"/>
      <c r="B301" s="1" t="n"/>
      <c r="C301" s="2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  <c r="AX301" s="1" t="n"/>
      <c r="AY301" s="1" t="n"/>
      <c r="AZ301" s="1" t="n"/>
      <c r="BA301" s="1" t="n"/>
    </row>
    <row r="302" ht="16.5" customHeight="1" s="220">
      <c r="A302" s="1" t="n"/>
      <c r="B302" s="1" t="n"/>
      <c r="C302" s="2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  <c r="AW302" s="1" t="n"/>
      <c r="AX302" s="1" t="n"/>
      <c r="AY302" s="1" t="n"/>
      <c r="AZ302" s="1" t="n"/>
      <c r="BA302" s="1" t="n"/>
    </row>
    <row r="303" ht="16.5" customHeight="1" s="220">
      <c r="A303" s="1" t="n"/>
      <c r="B303" s="1" t="n"/>
      <c r="C303" s="2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  <c r="AX303" s="1" t="n"/>
      <c r="AY303" s="1" t="n"/>
      <c r="AZ303" s="1" t="n"/>
      <c r="BA303" s="1" t="n"/>
    </row>
    <row r="304" ht="16.5" customHeight="1" s="220">
      <c r="A304" s="1" t="n"/>
      <c r="B304" s="1" t="n"/>
      <c r="C304" s="2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  <c r="AW304" s="1" t="n"/>
      <c r="AX304" s="1" t="n"/>
      <c r="AY304" s="1" t="n"/>
      <c r="AZ304" s="1" t="n"/>
      <c r="BA304" s="1" t="n"/>
    </row>
    <row r="305" ht="16.5" customHeight="1" s="220">
      <c r="A305" s="1" t="n"/>
      <c r="B305" s="1" t="n"/>
      <c r="C305" s="2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  <c r="AX305" s="1" t="n"/>
      <c r="AY305" s="1" t="n"/>
      <c r="AZ305" s="1" t="n"/>
      <c r="BA305" s="1" t="n"/>
    </row>
    <row r="306" ht="16.5" customHeight="1" s="220">
      <c r="A306" s="1" t="n"/>
      <c r="B306" s="1" t="n"/>
      <c r="C306" s="2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  <c r="AW306" s="1" t="n"/>
      <c r="AX306" s="1" t="n"/>
      <c r="AY306" s="1" t="n"/>
      <c r="AZ306" s="1" t="n"/>
      <c r="BA306" s="1" t="n"/>
    </row>
    <row r="307" ht="16.5" customHeight="1" s="220">
      <c r="A307" s="1" t="n"/>
      <c r="B307" s="1" t="n"/>
      <c r="C307" s="2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  <c r="AX307" s="1" t="n"/>
      <c r="AY307" s="1" t="n"/>
      <c r="AZ307" s="1" t="n"/>
      <c r="BA307" s="1" t="n"/>
    </row>
    <row r="308" ht="16.5" customHeight="1" s="220">
      <c r="A308" s="1" t="n"/>
      <c r="B308" s="1" t="n"/>
      <c r="C308" s="2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  <c r="AW308" s="1" t="n"/>
      <c r="AX308" s="1" t="n"/>
      <c r="AY308" s="1" t="n"/>
      <c r="AZ308" s="1" t="n"/>
      <c r="BA308" s="1" t="n"/>
    </row>
    <row r="309" ht="16.5" customHeight="1" s="220">
      <c r="A309" s="1" t="n"/>
      <c r="B309" s="1" t="n"/>
      <c r="C309" s="2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  <c r="AX309" s="1" t="n"/>
      <c r="AY309" s="1" t="n"/>
      <c r="AZ309" s="1" t="n"/>
      <c r="BA309" s="1" t="n"/>
    </row>
    <row r="310" ht="16.5" customHeight="1" s="220">
      <c r="A310" s="1" t="n"/>
      <c r="B310" s="1" t="n"/>
      <c r="C310" s="2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  <c r="AW310" s="1" t="n"/>
      <c r="AX310" s="1" t="n"/>
      <c r="AY310" s="1" t="n"/>
      <c r="AZ310" s="1" t="n"/>
      <c r="BA310" s="1" t="n"/>
    </row>
    <row r="311" ht="16.5" customHeight="1" s="220">
      <c r="A311" s="1" t="n"/>
      <c r="B311" s="1" t="n"/>
      <c r="C311" s="2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  <c r="AX311" s="1" t="n"/>
      <c r="AY311" s="1" t="n"/>
      <c r="AZ311" s="1" t="n"/>
      <c r="BA311" s="1" t="n"/>
    </row>
    <row r="312" ht="16.5" customHeight="1" s="220">
      <c r="A312" s="1" t="n"/>
      <c r="B312" s="1" t="n"/>
      <c r="C312" s="2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  <c r="AS312" s="1" t="n"/>
      <c r="AT312" s="1" t="n"/>
      <c r="AU312" s="1" t="n"/>
      <c r="AV312" s="1" t="n"/>
      <c r="AW312" s="1" t="n"/>
      <c r="AX312" s="1" t="n"/>
      <c r="AY312" s="1" t="n"/>
      <c r="AZ312" s="1" t="n"/>
      <c r="BA312" s="1" t="n"/>
    </row>
    <row r="313" ht="16.5" customHeight="1" s="220">
      <c r="A313" s="1" t="n"/>
      <c r="B313" s="1" t="n"/>
      <c r="C313" s="2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  <c r="AX313" s="1" t="n"/>
      <c r="AY313" s="1" t="n"/>
      <c r="AZ313" s="1" t="n"/>
      <c r="BA313" s="1" t="n"/>
    </row>
    <row r="314" ht="16.5" customHeight="1" s="220">
      <c r="A314" s="1" t="n"/>
      <c r="B314" s="1" t="n"/>
      <c r="C314" s="2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  <c r="AW314" s="1" t="n"/>
      <c r="AX314" s="1" t="n"/>
      <c r="AY314" s="1" t="n"/>
      <c r="AZ314" s="1" t="n"/>
      <c r="BA314" s="1" t="n"/>
    </row>
    <row r="315" ht="16.5" customHeight="1" s="220">
      <c r="A315" s="1" t="n"/>
      <c r="B315" s="1" t="n"/>
      <c r="C315" s="2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  <c r="AX315" s="1" t="n"/>
      <c r="AY315" s="1" t="n"/>
      <c r="AZ315" s="1" t="n"/>
      <c r="BA315" s="1" t="n"/>
    </row>
    <row r="316" ht="16.5" customHeight="1" s="220">
      <c r="A316" s="1" t="n"/>
      <c r="B316" s="1" t="n"/>
      <c r="C316" s="2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  <c r="AW316" s="1" t="n"/>
      <c r="AX316" s="1" t="n"/>
      <c r="AY316" s="1" t="n"/>
      <c r="AZ316" s="1" t="n"/>
      <c r="BA316" s="1" t="n"/>
    </row>
    <row r="317" ht="16.5" customHeight="1" s="220">
      <c r="A317" s="1" t="n"/>
      <c r="B317" s="1" t="n"/>
      <c r="C317" s="2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  <c r="AX317" s="1" t="n"/>
      <c r="AY317" s="1" t="n"/>
      <c r="AZ317" s="1" t="n"/>
      <c r="BA317" s="1" t="n"/>
    </row>
    <row r="318" ht="16.5" customHeight="1" s="220">
      <c r="A318" s="1" t="n"/>
      <c r="B318" s="1" t="n"/>
      <c r="C318" s="2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  <c r="AW318" s="1" t="n"/>
      <c r="AX318" s="1" t="n"/>
      <c r="AY318" s="1" t="n"/>
      <c r="AZ318" s="1" t="n"/>
      <c r="BA318" s="1" t="n"/>
    </row>
    <row r="319" ht="16.5" customHeight="1" s="220">
      <c r="A319" s="1" t="n"/>
      <c r="B319" s="1" t="n"/>
      <c r="C319" s="2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  <c r="AX319" s="1" t="n"/>
      <c r="AY319" s="1" t="n"/>
      <c r="AZ319" s="1" t="n"/>
      <c r="BA319" s="1" t="n"/>
    </row>
    <row r="320" ht="16.5" customHeight="1" s="220">
      <c r="A320" s="1" t="n"/>
      <c r="B320" s="1" t="n"/>
      <c r="C320" s="2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  <c r="AW320" s="1" t="n"/>
      <c r="AX320" s="1" t="n"/>
      <c r="AY320" s="1" t="n"/>
      <c r="AZ320" s="1" t="n"/>
      <c r="BA320" s="1" t="n"/>
    </row>
    <row r="321" ht="16.5" customHeight="1" s="220">
      <c r="A321" s="1" t="n"/>
      <c r="B321" s="1" t="n"/>
      <c r="C321" s="2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  <c r="AX321" s="1" t="n"/>
      <c r="AY321" s="1" t="n"/>
      <c r="AZ321" s="1" t="n"/>
      <c r="BA321" s="1" t="n"/>
    </row>
    <row r="322" ht="16.5" customHeight="1" s="220">
      <c r="A322" s="1" t="n"/>
      <c r="B322" s="1" t="n"/>
      <c r="C322" s="2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  <c r="AW322" s="1" t="n"/>
      <c r="AX322" s="1" t="n"/>
      <c r="AY322" s="1" t="n"/>
      <c r="AZ322" s="1" t="n"/>
      <c r="BA322" s="1" t="n"/>
    </row>
    <row r="323" ht="16.5" customHeight="1" s="220">
      <c r="A323" s="1" t="n"/>
      <c r="B323" s="1" t="n"/>
      <c r="C323" s="2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  <c r="AX323" s="1" t="n"/>
      <c r="AY323" s="1" t="n"/>
      <c r="AZ323" s="1" t="n"/>
      <c r="BA323" s="1" t="n"/>
    </row>
    <row r="324" ht="16.5" customHeight="1" s="220">
      <c r="A324" s="1" t="n"/>
      <c r="B324" s="1" t="n"/>
      <c r="C324" s="2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  <c r="AW324" s="1" t="n"/>
      <c r="AX324" s="1" t="n"/>
      <c r="AY324" s="1" t="n"/>
      <c r="AZ324" s="1" t="n"/>
      <c r="BA324" s="1" t="n"/>
    </row>
    <row r="325" ht="16.5" customHeight="1" s="220">
      <c r="A325" s="1" t="n"/>
      <c r="B325" s="1" t="n"/>
      <c r="C325" s="2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  <c r="AX325" s="1" t="n"/>
      <c r="AY325" s="1" t="n"/>
      <c r="AZ325" s="1" t="n"/>
      <c r="BA325" s="1" t="n"/>
    </row>
    <row r="326" ht="16.5" customHeight="1" s="220">
      <c r="A326" s="1" t="n"/>
      <c r="B326" s="1" t="n"/>
      <c r="C326" s="2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  <c r="AW326" s="1" t="n"/>
      <c r="AX326" s="1" t="n"/>
      <c r="AY326" s="1" t="n"/>
      <c r="AZ326" s="1" t="n"/>
      <c r="BA326" s="1" t="n"/>
    </row>
    <row r="327" ht="16.5" customHeight="1" s="220">
      <c r="A327" s="1" t="n"/>
      <c r="B327" s="1" t="n"/>
      <c r="C327" s="2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  <c r="AX327" s="1" t="n"/>
      <c r="AY327" s="1" t="n"/>
      <c r="AZ327" s="1" t="n"/>
      <c r="BA327" s="1" t="n"/>
    </row>
    <row r="328" ht="16.5" customHeight="1" s="220">
      <c r="A328" s="1" t="n"/>
      <c r="B328" s="1" t="n"/>
      <c r="C328" s="2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  <c r="AW328" s="1" t="n"/>
      <c r="AX328" s="1" t="n"/>
      <c r="AY328" s="1" t="n"/>
      <c r="AZ328" s="1" t="n"/>
      <c r="BA328" s="1" t="n"/>
    </row>
    <row r="329" ht="16.5" customHeight="1" s="220">
      <c r="A329" s="1" t="n"/>
      <c r="B329" s="1" t="n"/>
      <c r="C329" s="2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  <c r="AX329" s="1" t="n"/>
      <c r="AY329" s="1" t="n"/>
      <c r="AZ329" s="1" t="n"/>
      <c r="BA329" s="1" t="n"/>
    </row>
    <row r="330" ht="16.5" customHeight="1" s="220">
      <c r="A330" s="1" t="n"/>
      <c r="B330" s="1" t="n"/>
      <c r="C330" s="2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  <c r="AW330" s="1" t="n"/>
      <c r="AX330" s="1" t="n"/>
      <c r="AY330" s="1" t="n"/>
      <c r="AZ330" s="1" t="n"/>
      <c r="BA330" s="1" t="n"/>
    </row>
    <row r="331" ht="16.5" customHeight="1" s="220">
      <c r="A331" s="1" t="n"/>
      <c r="B331" s="1" t="n"/>
      <c r="C331" s="2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  <c r="AX331" s="1" t="n"/>
      <c r="AY331" s="1" t="n"/>
      <c r="AZ331" s="1" t="n"/>
      <c r="BA331" s="1" t="n"/>
    </row>
    <row r="332" ht="16.5" customHeight="1" s="220">
      <c r="A332" s="1" t="n"/>
      <c r="B332" s="1" t="n"/>
      <c r="C332" s="2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  <c r="AW332" s="1" t="n"/>
      <c r="AX332" s="1" t="n"/>
      <c r="AY332" s="1" t="n"/>
      <c r="AZ332" s="1" t="n"/>
      <c r="BA332" s="1" t="n"/>
    </row>
    <row r="333" ht="16.5" customHeight="1" s="220">
      <c r="A333" s="1" t="n"/>
      <c r="B333" s="1" t="n"/>
      <c r="C333" s="2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  <c r="AX333" s="1" t="n"/>
      <c r="AY333" s="1" t="n"/>
      <c r="AZ333" s="1" t="n"/>
      <c r="BA333" s="1" t="n"/>
    </row>
    <row r="334" ht="16.5" customHeight="1" s="220">
      <c r="A334" s="1" t="n"/>
      <c r="B334" s="1" t="n"/>
      <c r="C334" s="2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  <c r="AW334" s="1" t="n"/>
      <c r="AX334" s="1" t="n"/>
      <c r="AY334" s="1" t="n"/>
      <c r="AZ334" s="1" t="n"/>
      <c r="BA334" s="1" t="n"/>
    </row>
    <row r="335" ht="16.5" customHeight="1" s="220">
      <c r="A335" s="1" t="n"/>
      <c r="B335" s="1" t="n"/>
      <c r="C335" s="2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  <c r="AX335" s="1" t="n"/>
      <c r="AY335" s="1" t="n"/>
      <c r="AZ335" s="1" t="n"/>
      <c r="BA335" s="1" t="n"/>
    </row>
    <row r="336" ht="16.5" customHeight="1" s="220">
      <c r="A336" s="1" t="n"/>
      <c r="B336" s="1" t="n"/>
      <c r="C336" s="2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  <c r="AW336" s="1" t="n"/>
      <c r="AX336" s="1" t="n"/>
      <c r="AY336" s="1" t="n"/>
      <c r="AZ336" s="1" t="n"/>
      <c r="BA336" s="1" t="n"/>
    </row>
    <row r="337" ht="16.5" customHeight="1" s="220">
      <c r="A337" s="1" t="n"/>
      <c r="B337" s="1" t="n"/>
      <c r="C337" s="2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  <c r="AX337" s="1" t="n"/>
      <c r="AY337" s="1" t="n"/>
      <c r="AZ337" s="1" t="n"/>
      <c r="BA337" s="1" t="n"/>
    </row>
    <row r="338" ht="16.5" customHeight="1" s="220">
      <c r="A338" s="1" t="n"/>
      <c r="B338" s="1" t="n"/>
      <c r="C338" s="2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  <c r="AW338" s="1" t="n"/>
      <c r="AX338" s="1" t="n"/>
      <c r="AY338" s="1" t="n"/>
      <c r="AZ338" s="1" t="n"/>
      <c r="BA338" s="1" t="n"/>
    </row>
    <row r="339" ht="16.5" customHeight="1" s="220">
      <c r="A339" s="1" t="n"/>
      <c r="B339" s="1" t="n"/>
      <c r="C339" s="2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  <c r="AX339" s="1" t="n"/>
      <c r="AY339" s="1" t="n"/>
      <c r="AZ339" s="1" t="n"/>
      <c r="BA339" s="1" t="n"/>
    </row>
    <row r="340" ht="16.5" customHeight="1" s="220">
      <c r="A340" s="1" t="n"/>
      <c r="B340" s="1" t="n"/>
      <c r="C340" s="2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  <c r="AW340" s="1" t="n"/>
      <c r="AX340" s="1" t="n"/>
      <c r="AY340" s="1" t="n"/>
      <c r="AZ340" s="1" t="n"/>
      <c r="BA340" s="1" t="n"/>
    </row>
    <row r="341" ht="16.5" customHeight="1" s="220">
      <c r="A341" s="1" t="n"/>
      <c r="B341" s="1" t="n"/>
      <c r="C341" s="2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  <c r="AX341" s="1" t="n"/>
      <c r="AY341" s="1" t="n"/>
      <c r="AZ341" s="1" t="n"/>
      <c r="BA341" s="1" t="n"/>
    </row>
    <row r="342" ht="16.5" customHeight="1" s="220">
      <c r="A342" s="1" t="n"/>
      <c r="B342" s="1" t="n"/>
      <c r="C342" s="2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  <c r="AW342" s="1" t="n"/>
      <c r="AX342" s="1" t="n"/>
      <c r="AY342" s="1" t="n"/>
      <c r="AZ342" s="1" t="n"/>
      <c r="BA342" s="1" t="n"/>
    </row>
    <row r="343" ht="16.5" customHeight="1" s="220">
      <c r="A343" s="1" t="n"/>
      <c r="B343" s="1" t="n"/>
      <c r="C343" s="2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  <c r="AX343" s="1" t="n"/>
      <c r="AY343" s="1" t="n"/>
      <c r="AZ343" s="1" t="n"/>
      <c r="BA343" s="1" t="n"/>
    </row>
    <row r="344" ht="16.5" customHeight="1" s="220">
      <c r="A344" s="1" t="n"/>
      <c r="B344" s="1" t="n"/>
      <c r="C344" s="2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  <c r="AW344" s="1" t="n"/>
      <c r="AX344" s="1" t="n"/>
      <c r="AY344" s="1" t="n"/>
      <c r="AZ344" s="1" t="n"/>
      <c r="BA344" s="1" t="n"/>
    </row>
    <row r="345" ht="16.5" customHeight="1" s="220">
      <c r="A345" s="1" t="n"/>
      <c r="B345" s="1" t="n"/>
      <c r="C345" s="2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  <c r="AX345" s="1" t="n"/>
      <c r="AY345" s="1" t="n"/>
      <c r="AZ345" s="1" t="n"/>
      <c r="BA345" s="1" t="n"/>
    </row>
    <row r="346" ht="16.5" customHeight="1" s="220">
      <c r="A346" s="1" t="n"/>
      <c r="B346" s="1" t="n"/>
      <c r="C346" s="2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  <c r="AW346" s="1" t="n"/>
      <c r="AX346" s="1" t="n"/>
      <c r="AY346" s="1" t="n"/>
      <c r="AZ346" s="1" t="n"/>
      <c r="BA346" s="1" t="n"/>
    </row>
    <row r="347" ht="16.5" customHeight="1" s="220">
      <c r="A347" s="1" t="n"/>
      <c r="B347" s="1" t="n"/>
      <c r="C347" s="2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  <c r="AX347" s="1" t="n"/>
      <c r="AY347" s="1" t="n"/>
      <c r="AZ347" s="1" t="n"/>
      <c r="BA347" s="1" t="n"/>
    </row>
    <row r="348" ht="16.5" customHeight="1" s="220">
      <c r="A348" s="1" t="n"/>
      <c r="B348" s="1" t="n"/>
      <c r="C348" s="2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  <c r="AW348" s="1" t="n"/>
      <c r="AX348" s="1" t="n"/>
      <c r="AY348" s="1" t="n"/>
      <c r="AZ348" s="1" t="n"/>
      <c r="BA348" s="1" t="n"/>
    </row>
    <row r="349" ht="16.5" customHeight="1" s="220">
      <c r="A349" s="1" t="n"/>
      <c r="B349" s="1" t="n"/>
      <c r="C349" s="2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  <c r="AX349" s="1" t="n"/>
      <c r="AY349" s="1" t="n"/>
      <c r="AZ349" s="1" t="n"/>
      <c r="BA349" s="1" t="n"/>
    </row>
    <row r="350" ht="16.5" customHeight="1" s="220">
      <c r="A350" s="1" t="n"/>
      <c r="B350" s="1" t="n"/>
      <c r="C350" s="2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  <c r="AW350" s="1" t="n"/>
      <c r="AX350" s="1" t="n"/>
      <c r="AY350" s="1" t="n"/>
      <c r="AZ350" s="1" t="n"/>
      <c r="BA350" s="1" t="n"/>
    </row>
    <row r="351" ht="16.5" customHeight="1" s="220">
      <c r="A351" s="1" t="n"/>
      <c r="B351" s="1" t="n"/>
      <c r="C351" s="2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  <c r="AX351" s="1" t="n"/>
      <c r="AY351" s="1" t="n"/>
      <c r="AZ351" s="1" t="n"/>
      <c r="BA351" s="1" t="n"/>
    </row>
    <row r="352" ht="16.5" customHeight="1" s="220">
      <c r="A352" s="1" t="n"/>
      <c r="B352" s="1" t="n"/>
      <c r="C352" s="2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  <c r="AW352" s="1" t="n"/>
      <c r="AX352" s="1" t="n"/>
      <c r="AY352" s="1" t="n"/>
      <c r="AZ352" s="1" t="n"/>
      <c r="BA352" s="1" t="n"/>
    </row>
    <row r="353" ht="16.5" customHeight="1" s="220">
      <c r="A353" s="1" t="n"/>
      <c r="B353" s="1" t="n"/>
      <c r="C353" s="2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  <c r="AX353" s="1" t="n"/>
      <c r="AY353" s="1" t="n"/>
      <c r="AZ353" s="1" t="n"/>
      <c r="BA353" s="1" t="n"/>
    </row>
    <row r="354" ht="16.5" customHeight="1" s="220">
      <c r="A354" s="1" t="n"/>
      <c r="B354" s="1" t="n"/>
      <c r="C354" s="2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  <c r="AW354" s="1" t="n"/>
      <c r="AX354" s="1" t="n"/>
      <c r="AY354" s="1" t="n"/>
      <c r="AZ354" s="1" t="n"/>
      <c r="BA354" s="1" t="n"/>
    </row>
    <row r="355" ht="16.5" customHeight="1" s="220">
      <c r="A355" s="1" t="n"/>
      <c r="B355" s="1" t="n"/>
      <c r="C355" s="2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  <c r="AX355" s="1" t="n"/>
      <c r="AY355" s="1" t="n"/>
      <c r="AZ355" s="1" t="n"/>
      <c r="BA355" s="1" t="n"/>
    </row>
    <row r="356" ht="16.5" customHeight="1" s="220">
      <c r="A356" s="1" t="n"/>
      <c r="B356" s="1" t="n"/>
      <c r="C356" s="2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  <c r="AW356" s="1" t="n"/>
      <c r="AX356" s="1" t="n"/>
      <c r="AY356" s="1" t="n"/>
      <c r="AZ356" s="1" t="n"/>
      <c r="BA356" s="1" t="n"/>
    </row>
    <row r="357" ht="16.5" customHeight="1" s="220">
      <c r="A357" s="1" t="n"/>
      <c r="B357" s="1" t="n"/>
      <c r="C357" s="2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  <c r="AX357" s="1" t="n"/>
      <c r="AY357" s="1" t="n"/>
      <c r="AZ357" s="1" t="n"/>
      <c r="BA357" s="1" t="n"/>
    </row>
    <row r="358" ht="16.5" customHeight="1" s="220">
      <c r="A358" s="1" t="n"/>
      <c r="B358" s="1" t="n"/>
      <c r="C358" s="2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  <c r="AW358" s="1" t="n"/>
      <c r="AX358" s="1" t="n"/>
      <c r="AY358" s="1" t="n"/>
      <c r="AZ358" s="1" t="n"/>
      <c r="BA358" s="1" t="n"/>
    </row>
    <row r="359" ht="16.5" customHeight="1" s="220">
      <c r="A359" s="1" t="n"/>
      <c r="B359" s="1" t="n"/>
      <c r="C359" s="2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  <c r="AX359" s="1" t="n"/>
      <c r="AY359" s="1" t="n"/>
      <c r="AZ359" s="1" t="n"/>
      <c r="BA359" s="1" t="n"/>
    </row>
    <row r="360" ht="16.5" customHeight="1" s="220">
      <c r="A360" s="1" t="n"/>
      <c r="B360" s="1" t="n"/>
      <c r="C360" s="2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  <c r="AW360" s="1" t="n"/>
      <c r="AX360" s="1" t="n"/>
      <c r="AY360" s="1" t="n"/>
      <c r="AZ360" s="1" t="n"/>
      <c r="BA360" s="1" t="n"/>
    </row>
    <row r="361" ht="16.5" customHeight="1" s="220">
      <c r="A361" s="1" t="n"/>
      <c r="B361" s="1" t="n"/>
      <c r="C361" s="2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  <c r="AX361" s="1" t="n"/>
      <c r="AY361" s="1" t="n"/>
      <c r="AZ361" s="1" t="n"/>
      <c r="BA361" s="1" t="n"/>
    </row>
    <row r="362" ht="16.5" customHeight="1" s="220">
      <c r="A362" s="1" t="n"/>
      <c r="B362" s="1" t="n"/>
      <c r="C362" s="2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  <c r="AW362" s="1" t="n"/>
      <c r="AX362" s="1" t="n"/>
      <c r="AY362" s="1" t="n"/>
      <c r="AZ362" s="1" t="n"/>
      <c r="BA362" s="1" t="n"/>
    </row>
    <row r="363" ht="16.5" customHeight="1" s="220">
      <c r="A363" s="1" t="n"/>
      <c r="B363" s="1" t="n"/>
      <c r="C363" s="2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  <c r="AX363" s="1" t="n"/>
      <c r="AY363" s="1" t="n"/>
      <c r="AZ363" s="1" t="n"/>
      <c r="BA363" s="1" t="n"/>
    </row>
    <row r="364" ht="16.5" customHeight="1" s="220">
      <c r="A364" s="1" t="n"/>
      <c r="B364" s="1" t="n"/>
      <c r="C364" s="2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  <c r="AW364" s="1" t="n"/>
      <c r="AX364" s="1" t="n"/>
      <c r="AY364" s="1" t="n"/>
      <c r="AZ364" s="1" t="n"/>
      <c r="BA364" s="1" t="n"/>
    </row>
    <row r="365" ht="16.5" customHeight="1" s="220">
      <c r="A365" s="1" t="n"/>
      <c r="B365" s="1" t="n"/>
      <c r="C365" s="2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  <c r="AX365" s="1" t="n"/>
      <c r="AY365" s="1" t="n"/>
      <c r="AZ365" s="1" t="n"/>
      <c r="BA365" s="1" t="n"/>
    </row>
    <row r="366" ht="16.5" customHeight="1" s="220">
      <c r="A366" s="1" t="n"/>
      <c r="B366" s="1" t="n"/>
      <c r="C366" s="2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  <c r="AW366" s="1" t="n"/>
      <c r="AX366" s="1" t="n"/>
      <c r="AY366" s="1" t="n"/>
      <c r="AZ366" s="1" t="n"/>
      <c r="BA366" s="1" t="n"/>
    </row>
    <row r="367" ht="16.5" customHeight="1" s="220">
      <c r="A367" s="1" t="n"/>
      <c r="B367" s="1" t="n"/>
      <c r="C367" s="2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  <c r="AX367" s="1" t="n"/>
      <c r="AY367" s="1" t="n"/>
      <c r="AZ367" s="1" t="n"/>
      <c r="BA367" s="1" t="n"/>
    </row>
    <row r="368" ht="16.5" customHeight="1" s="220">
      <c r="A368" s="1" t="n"/>
      <c r="B368" s="1" t="n"/>
      <c r="C368" s="2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  <c r="AW368" s="1" t="n"/>
      <c r="AX368" s="1" t="n"/>
      <c r="AY368" s="1" t="n"/>
      <c r="AZ368" s="1" t="n"/>
      <c r="BA368" s="1" t="n"/>
    </row>
    <row r="369" ht="16.5" customHeight="1" s="220">
      <c r="A369" s="1" t="n"/>
      <c r="B369" s="1" t="n"/>
      <c r="C369" s="2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  <c r="AX369" s="1" t="n"/>
      <c r="AY369" s="1" t="n"/>
      <c r="AZ369" s="1" t="n"/>
      <c r="BA369" s="1" t="n"/>
    </row>
    <row r="370" ht="16.5" customHeight="1" s="220">
      <c r="A370" s="1" t="n"/>
      <c r="B370" s="1" t="n"/>
      <c r="C370" s="2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  <c r="AW370" s="1" t="n"/>
      <c r="AX370" s="1" t="n"/>
      <c r="AY370" s="1" t="n"/>
      <c r="AZ370" s="1" t="n"/>
      <c r="BA370" s="1" t="n"/>
    </row>
    <row r="371" ht="16.5" customHeight="1" s="220">
      <c r="A371" s="1" t="n"/>
      <c r="B371" s="1" t="n"/>
      <c r="C371" s="2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  <c r="AY371" s="1" t="n"/>
      <c r="AZ371" s="1" t="n"/>
      <c r="BA371" s="1" t="n"/>
    </row>
    <row r="372" ht="16.5" customHeight="1" s="220">
      <c r="A372" s="1" t="n"/>
      <c r="B372" s="1" t="n"/>
      <c r="C372" s="2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  <c r="AW372" s="1" t="n"/>
      <c r="AX372" s="1" t="n"/>
      <c r="AY372" s="1" t="n"/>
      <c r="AZ372" s="1" t="n"/>
      <c r="BA372" s="1" t="n"/>
    </row>
    <row r="373" ht="16.5" customHeight="1" s="220">
      <c r="A373" s="1" t="n"/>
      <c r="B373" s="1" t="n"/>
      <c r="C373" s="2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  <c r="AY373" s="1" t="n"/>
      <c r="AZ373" s="1" t="n"/>
      <c r="BA373" s="1" t="n"/>
    </row>
    <row r="374" ht="16.5" customHeight="1" s="220">
      <c r="A374" s="1" t="n"/>
      <c r="B374" s="1" t="n"/>
      <c r="C374" s="2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  <c r="AW374" s="1" t="n"/>
      <c r="AX374" s="1" t="n"/>
      <c r="AY374" s="1" t="n"/>
      <c r="AZ374" s="1" t="n"/>
      <c r="BA374" s="1" t="n"/>
    </row>
    <row r="375" ht="16.5" customHeight="1" s="220">
      <c r="A375" s="1" t="n"/>
      <c r="B375" s="1" t="n"/>
      <c r="C375" s="2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  <c r="AX375" s="1" t="n"/>
      <c r="AY375" s="1" t="n"/>
      <c r="AZ375" s="1" t="n"/>
      <c r="BA375" s="1" t="n"/>
    </row>
    <row r="376" ht="16.5" customHeight="1" s="220">
      <c r="A376" s="1" t="n"/>
      <c r="B376" s="1" t="n"/>
      <c r="C376" s="2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  <c r="AW376" s="1" t="n"/>
      <c r="AX376" s="1" t="n"/>
      <c r="AY376" s="1" t="n"/>
      <c r="AZ376" s="1" t="n"/>
      <c r="BA376" s="1" t="n"/>
    </row>
    <row r="377" ht="16.5" customHeight="1" s="220">
      <c r="A377" s="1" t="n"/>
      <c r="B377" s="1" t="n"/>
      <c r="C377" s="2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</row>
    <row r="378" ht="16.5" customHeight="1" s="220">
      <c r="A378" s="1" t="n"/>
      <c r="B378" s="1" t="n"/>
      <c r="C378" s="2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  <c r="AW378" s="1" t="n"/>
      <c r="AX378" s="1" t="n"/>
      <c r="AY378" s="1" t="n"/>
      <c r="AZ378" s="1" t="n"/>
      <c r="BA378" s="1" t="n"/>
    </row>
    <row r="379" ht="16.5" customHeight="1" s="220">
      <c r="A379" s="1" t="n"/>
      <c r="B379" s="1" t="n"/>
      <c r="C379" s="2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  <c r="AX379" s="1" t="n"/>
      <c r="AY379" s="1" t="n"/>
      <c r="AZ379" s="1" t="n"/>
      <c r="BA379" s="1" t="n"/>
    </row>
    <row r="380" ht="16.5" customHeight="1" s="220">
      <c r="A380" s="1" t="n"/>
      <c r="B380" s="1" t="n"/>
      <c r="C380" s="2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  <c r="AW380" s="1" t="n"/>
      <c r="AX380" s="1" t="n"/>
      <c r="AY380" s="1" t="n"/>
      <c r="AZ380" s="1" t="n"/>
      <c r="BA380" s="1" t="n"/>
    </row>
    <row r="381" ht="16.5" customHeight="1" s="220">
      <c r="A381" s="1" t="n"/>
      <c r="B381" s="1" t="n"/>
      <c r="C381" s="2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  <c r="AX381" s="1" t="n"/>
      <c r="AY381" s="1" t="n"/>
      <c r="AZ381" s="1" t="n"/>
      <c r="BA381" s="1" t="n"/>
    </row>
    <row r="382" ht="16.5" customHeight="1" s="220">
      <c r="A382" s="1" t="n"/>
      <c r="B382" s="1" t="n"/>
      <c r="C382" s="2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  <c r="AW382" s="1" t="n"/>
      <c r="AX382" s="1" t="n"/>
      <c r="AY382" s="1" t="n"/>
      <c r="AZ382" s="1" t="n"/>
      <c r="BA382" s="1" t="n"/>
    </row>
    <row r="383" ht="16.5" customHeight="1" s="220">
      <c r="A383" s="1" t="n"/>
      <c r="B383" s="1" t="n"/>
      <c r="C383" s="2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  <c r="AX383" s="1" t="n"/>
      <c r="AY383" s="1" t="n"/>
      <c r="AZ383" s="1" t="n"/>
      <c r="BA383" s="1" t="n"/>
    </row>
    <row r="384" ht="16.5" customHeight="1" s="220">
      <c r="A384" s="1" t="n"/>
      <c r="B384" s="1" t="n"/>
      <c r="C384" s="2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  <c r="AW384" s="1" t="n"/>
      <c r="AX384" s="1" t="n"/>
      <c r="AY384" s="1" t="n"/>
      <c r="AZ384" s="1" t="n"/>
      <c r="BA384" s="1" t="n"/>
    </row>
    <row r="385" ht="16.5" customHeight="1" s="220">
      <c r="A385" s="1" t="n"/>
      <c r="B385" s="1" t="n"/>
      <c r="C385" s="2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  <c r="AX385" s="1" t="n"/>
      <c r="AY385" s="1" t="n"/>
      <c r="AZ385" s="1" t="n"/>
      <c r="BA385" s="1" t="n"/>
    </row>
    <row r="386" ht="16.5" customHeight="1" s="220">
      <c r="A386" s="1" t="n"/>
      <c r="B386" s="1" t="n"/>
      <c r="C386" s="2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  <c r="BA386" s="1" t="n"/>
    </row>
    <row r="387" ht="16.5" customHeight="1" s="220">
      <c r="A387" s="1" t="n"/>
      <c r="B387" s="1" t="n"/>
      <c r="C387" s="2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  <c r="AX387" s="1" t="n"/>
      <c r="AY387" s="1" t="n"/>
      <c r="AZ387" s="1" t="n"/>
      <c r="BA387" s="1" t="n"/>
    </row>
    <row r="388" ht="16.5" customHeight="1" s="220">
      <c r="A388" s="1" t="n"/>
      <c r="B388" s="1" t="n"/>
      <c r="C388" s="2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  <c r="BA388" s="1" t="n"/>
    </row>
    <row r="389" ht="16.5" customHeight="1" s="220">
      <c r="A389" s="1" t="n"/>
      <c r="B389" s="1" t="n"/>
      <c r="C389" s="2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  <c r="AX389" s="1" t="n"/>
      <c r="AY389" s="1" t="n"/>
      <c r="AZ389" s="1" t="n"/>
      <c r="BA389" s="1" t="n"/>
    </row>
    <row r="390" ht="16.5" customHeight="1" s="220">
      <c r="A390" s="1" t="n"/>
      <c r="B390" s="1" t="n"/>
      <c r="C390" s="2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  <c r="AW390" s="1" t="n"/>
      <c r="AX390" s="1" t="n"/>
      <c r="AY390" s="1" t="n"/>
      <c r="AZ390" s="1" t="n"/>
      <c r="BA390" s="1" t="n"/>
    </row>
    <row r="391" ht="16.5" customHeight="1" s="220">
      <c r="A391" s="1" t="n"/>
      <c r="B391" s="1" t="n"/>
      <c r="C391" s="2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</row>
    <row r="392" ht="16.5" customHeight="1" s="220">
      <c r="A392" s="1" t="n"/>
      <c r="B392" s="1" t="n"/>
      <c r="C392" s="2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  <c r="AW392" s="1" t="n"/>
      <c r="AX392" s="1" t="n"/>
      <c r="AY392" s="1" t="n"/>
      <c r="AZ392" s="1" t="n"/>
      <c r="BA392" s="1" t="n"/>
    </row>
    <row r="393" ht="16.5" customHeight="1" s="220">
      <c r="A393" s="1" t="n"/>
      <c r="B393" s="1" t="n"/>
      <c r="C393" s="2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  <c r="AX393" s="1" t="n"/>
      <c r="AY393" s="1" t="n"/>
      <c r="AZ393" s="1" t="n"/>
      <c r="BA393" s="1" t="n"/>
    </row>
    <row r="394" ht="16.5" customHeight="1" s="220">
      <c r="A394" s="1" t="n"/>
      <c r="B394" s="1" t="n"/>
      <c r="C394" s="2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  <c r="AW394" s="1" t="n"/>
      <c r="AX394" s="1" t="n"/>
      <c r="AY394" s="1" t="n"/>
      <c r="AZ394" s="1" t="n"/>
      <c r="BA394" s="1" t="n"/>
    </row>
    <row r="395" ht="16.5" customHeight="1" s="220">
      <c r="A395" s="1" t="n"/>
      <c r="B395" s="1" t="n"/>
      <c r="C395" s="2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  <c r="AX395" s="1" t="n"/>
      <c r="AY395" s="1" t="n"/>
      <c r="AZ395" s="1" t="n"/>
      <c r="BA395" s="1" t="n"/>
    </row>
    <row r="396" ht="16.5" customHeight="1" s="220">
      <c r="A396" s="1" t="n"/>
      <c r="B396" s="1" t="n"/>
      <c r="C396" s="2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  <c r="BA396" s="1" t="n"/>
    </row>
    <row r="397" ht="16.5" customHeight="1" s="220">
      <c r="A397" s="1" t="n"/>
      <c r="B397" s="1" t="n"/>
      <c r="C397" s="2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  <c r="AX397" s="1" t="n"/>
      <c r="AY397" s="1" t="n"/>
      <c r="AZ397" s="1" t="n"/>
      <c r="BA397" s="1" t="n"/>
    </row>
    <row r="398" ht="16.5" customHeight="1" s="220">
      <c r="A398" s="1" t="n"/>
      <c r="B398" s="1" t="n"/>
      <c r="C398" s="2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  <c r="BA398" s="1" t="n"/>
    </row>
    <row r="399" ht="16.5" customHeight="1" s="220">
      <c r="A399" s="1" t="n"/>
      <c r="B399" s="1" t="n"/>
      <c r="C399" s="2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  <c r="AX399" s="1" t="n"/>
      <c r="AY399" s="1" t="n"/>
      <c r="AZ399" s="1" t="n"/>
      <c r="BA399" s="1" t="n"/>
    </row>
    <row r="400" ht="16.5" customHeight="1" s="220">
      <c r="A400" s="1" t="n"/>
      <c r="B400" s="1" t="n"/>
      <c r="C400" s="2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  <c r="AW400" s="1" t="n"/>
      <c r="AX400" s="1" t="n"/>
      <c r="AY400" s="1" t="n"/>
      <c r="AZ400" s="1" t="n"/>
      <c r="BA400" s="1" t="n"/>
    </row>
    <row r="401" ht="16.5" customHeight="1" s="220">
      <c r="A401" s="1" t="n"/>
      <c r="B401" s="1" t="n"/>
      <c r="C401" s="2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  <c r="AX401" s="1" t="n"/>
      <c r="AY401" s="1" t="n"/>
      <c r="AZ401" s="1" t="n"/>
      <c r="BA401" s="1" t="n"/>
    </row>
    <row r="402" ht="16.5" customHeight="1" s="220">
      <c r="A402" s="1" t="n"/>
      <c r="B402" s="1" t="n"/>
      <c r="C402" s="2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  <c r="AW402" s="1" t="n"/>
      <c r="AX402" s="1" t="n"/>
      <c r="AY402" s="1" t="n"/>
      <c r="AZ402" s="1" t="n"/>
      <c r="BA402" s="1" t="n"/>
    </row>
    <row r="403" ht="16.5" customHeight="1" s="220">
      <c r="A403" s="1" t="n"/>
      <c r="B403" s="1" t="n"/>
      <c r="C403" s="2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  <c r="AX403" s="1" t="n"/>
      <c r="AY403" s="1" t="n"/>
      <c r="AZ403" s="1" t="n"/>
      <c r="BA403" s="1" t="n"/>
    </row>
    <row r="404" ht="16.5" customHeight="1" s="220">
      <c r="A404" s="1" t="n"/>
      <c r="B404" s="1" t="n"/>
      <c r="C404" s="2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  <c r="AW404" s="1" t="n"/>
      <c r="AX404" s="1" t="n"/>
      <c r="AY404" s="1" t="n"/>
      <c r="AZ404" s="1" t="n"/>
      <c r="BA404" s="1" t="n"/>
    </row>
    <row r="405" ht="16.5" customHeight="1" s="220">
      <c r="A405" s="1" t="n"/>
      <c r="B405" s="1" t="n"/>
      <c r="C405" s="2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  <c r="AX405" s="1" t="n"/>
      <c r="AY405" s="1" t="n"/>
      <c r="AZ405" s="1" t="n"/>
      <c r="BA405" s="1" t="n"/>
    </row>
    <row r="406" ht="16.5" customHeight="1" s="220">
      <c r="A406" s="1" t="n"/>
      <c r="B406" s="1" t="n"/>
      <c r="C406" s="2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  <c r="AW406" s="1" t="n"/>
      <c r="AX406" s="1" t="n"/>
      <c r="AY406" s="1" t="n"/>
      <c r="AZ406" s="1" t="n"/>
      <c r="BA406" s="1" t="n"/>
    </row>
    <row r="407" ht="16.5" customHeight="1" s="220">
      <c r="A407" s="1" t="n"/>
      <c r="B407" s="1" t="n"/>
      <c r="C407" s="2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</row>
    <row r="408" ht="16.5" customHeight="1" s="220">
      <c r="A408" s="1" t="n"/>
      <c r="B408" s="1" t="n"/>
      <c r="C408" s="2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  <c r="AW408" s="1" t="n"/>
      <c r="AX408" s="1" t="n"/>
      <c r="AY408" s="1" t="n"/>
      <c r="AZ408" s="1" t="n"/>
      <c r="BA408" s="1" t="n"/>
    </row>
    <row r="409" ht="16.5" customHeight="1" s="220">
      <c r="A409" s="1" t="n"/>
      <c r="B409" s="1" t="n"/>
      <c r="C409" s="2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  <c r="AX409" s="1" t="n"/>
      <c r="AY409" s="1" t="n"/>
      <c r="AZ409" s="1" t="n"/>
      <c r="BA409" s="1" t="n"/>
    </row>
    <row r="410" ht="16.5" customHeight="1" s="220">
      <c r="A410" s="1" t="n"/>
      <c r="B410" s="1" t="n"/>
      <c r="C410" s="2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  <c r="AW410" s="1" t="n"/>
      <c r="AX410" s="1" t="n"/>
      <c r="AY410" s="1" t="n"/>
      <c r="AZ410" s="1" t="n"/>
      <c r="BA410" s="1" t="n"/>
    </row>
    <row r="411" ht="16.5" customHeight="1" s="220">
      <c r="A411" s="1" t="n"/>
      <c r="B411" s="1" t="n"/>
      <c r="C411" s="2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  <c r="AX411" s="1" t="n"/>
      <c r="AY411" s="1" t="n"/>
      <c r="AZ411" s="1" t="n"/>
      <c r="BA411" s="1" t="n"/>
    </row>
    <row r="412" ht="16.5" customHeight="1" s="220">
      <c r="A412" s="1" t="n"/>
      <c r="B412" s="1" t="n"/>
      <c r="C412" s="2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  <c r="AW412" s="1" t="n"/>
      <c r="AX412" s="1" t="n"/>
      <c r="AY412" s="1" t="n"/>
      <c r="AZ412" s="1" t="n"/>
      <c r="BA412" s="1" t="n"/>
    </row>
    <row r="413" ht="16.5" customHeight="1" s="220">
      <c r="A413" s="1" t="n"/>
      <c r="B413" s="1" t="n"/>
      <c r="C413" s="2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  <c r="AX413" s="1" t="n"/>
      <c r="AY413" s="1" t="n"/>
      <c r="AZ413" s="1" t="n"/>
      <c r="BA413" s="1" t="n"/>
    </row>
    <row r="414" ht="16.5" customHeight="1" s="220">
      <c r="A414" s="1" t="n"/>
      <c r="B414" s="1" t="n"/>
      <c r="C414" s="2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  <c r="AW414" s="1" t="n"/>
      <c r="AX414" s="1" t="n"/>
      <c r="AY414" s="1" t="n"/>
      <c r="AZ414" s="1" t="n"/>
      <c r="BA414" s="1" t="n"/>
    </row>
    <row r="415" ht="16.5" customHeight="1" s="220">
      <c r="A415" s="1" t="n"/>
      <c r="B415" s="1" t="n"/>
      <c r="C415" s="2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  <c r="AX415" s="1" t="n"/>
      <c r="AY415" s="1" t="n"/>
      <c r="AZ415" s="1" t="n"/>
      <c r="BA415" s="1" t="n"/>
    </row>
    <row r="416" ht="16.5" customHeight="1" s="220">
      <c r="A416" s="1" t="n"/>
      <c r="B416" s="1" t="n"/>
      <c r="C416" s="2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  <c r="AW416" s="1" t="n"/>
      <c r="AX416" s="1" t="n"/>
      <c r="AY416" s="1" t="n"/>
      <c r="AZ416" s="1" t="n"/>
      <c r="BA416" s="1" t="n"/>
    </row>
    <row r="417" ht="16.5" customHeight="1" s="220">
      <c r="A417" s="1" t="n"/>
      <c r="B417" s="1" t="n"/>
      <c r="C417" s="2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  <c r="AX417" s="1" t="n"/>
      <c r="AY417" s="1" t="n"/>
      <c r="AZ417" s="1" t="n"/>
      <c r="BA417" s="1" t="n"/>
    </row>
    <row r="418" ht="16.5" customHeight="1" s="220">
      <c r="A418" s="1" t="n"/>
      <c r="B418" s="1" t="n"/>
      <c r="C418" s="2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  <c r="AW418" s="1" t="n"/>
      <c r="AX418" s="1" t="n"/>
      <c r="AY418" s="1" t="n"/>
      <c r="AZ418" s="1" t="n"/>
      <c r="BA418" s="1" t="n"/>
    </row>
    <row r="419" ht="16.5" customHeight="1" s="220">
      <c r="A419" s="1" t="n"/>
      <c r="B419" s="1" t="n"/>
      <c r="C419" s="2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  <c r="AX419" s="1" t="n"/>
      <c r="AY419" s="1" t="n"/>
      <c r="AZ419" s="1" t="n"/>
      <c r="BA419" s="1" t="n"/>
    </row>
    <row r="420" ht="16.5" customHeight="1" s="220">
      <c r="A420" s="1" t="n"/>
      <c r="B420" s="1" t="n"/>
      <c r="C420" s="2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  <c r="AW420" s="1" t="n"/>
      <c r="AX420" s="1" t="n"/>
      <c r="AY420" s="1" t="n"/>
      <c r="AZ420" s="1" t="n"/>
      <c r="BA420" s="1" t="n"/>
    </row>
    <row r="421" ht="16.5" customHeight="1" s="220">
      <c r="A421" s="1" t="n"/>
      <c r="B421" s="1" t="n"/>
      <c r="C421" s="2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  <c r="AX421" s="1" t="n"/>
      <c r="AY421" s="1" t="n"/>
      <c r="AZ421" s="1" t="n"/>
      <c r="BA421" s="1" t="n"/>
    </row>
    <row r="422" ht="16.5" customHeight="1" s="220">
      <c r="A422" s="1" t="n"/>
      <c r="B422" s="1" t="n"/>
      <c r="C422" s="2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  <c r="AW422" s="1" t="n"/>
      <c r="AX422" s="1" t="n"/>
      <c r="AY422" s="1" t="n"/>
      <c r="AZ422" s="1" t="n"/>
      <c r="BA422" s="1" t="n"/>
    </row>
    <row r="423" ht="16.5" customHeight="1" s="220">
      <c r="A423" s="1" t="n"/>
      <c r="B423" s="1" t="n"/>
      <c r="C423" s="2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  <c r="AX423" s="1" t="n"/>
      <c r="AY423" s="1" t="n"/>
      <c r="AZ423" s="1" t="n"/>
      <c r="BA423" s="1" t="n"/>
    </row>
    <row r="424" ht="16.5" customHeight="1" s="220">
      <c r="A424" s="1" t="n"/>
      <c r="B424" s="1" t="n"/>
      <c r="C424" s="2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  <c r="AW424" s="1" t="n"/>
      <c r="AX424" s="1" t="n"/>
      <c r="AY424" s="1" t="n"/>
      <c r="AZ424" s="1" t="n"/>
      <c r="BA424" s="1" t="n"/>
    </row>
    <row r="425" ht="16.5" customHeight="1" s="220">
      <c r="A425" s="1" t="n"/>
      <c r="B425" s="1" t="n"/>
      <c r="C425" s="2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  <c r="AX425" s="1" t="n"/>
      <c r="AY425" s="1" t="n"/>
      <c r="AZ425" s="1" t="n"/>
      <c r="BA425" s="1" t="n"/>
    </row>
    <row r="426" ht="16.5" customHeight="1" s="220">
      <c r="A426" s="1" t="n"/>
      <c r="B426" s="1" t="n"/>
      <c r="C426" s="2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  <c r="AW426" s="1" t="n"/>
      <c r="AX426" s="1" t="n"/>
      <c r="AY426" s="1" t="n"/>
      <c r="AZ426" s="1" t="n"/>
      <c r="BA426" s="1" t="n"/>
    </row>
    <row r="427" ht="16.5" customHeight="1" s="220">
      <c r="A427" s="1" t="n"/>
      <c r="B427" s="1" t="n"/>
      <c r="C427" s="2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  <c r="AX427" s="1" t="n"/>
      <c r="AY427" s="1" t="n"/>
      <c r="AZ427" s="1" t="n"/>
      <c r="BA427" s="1" t="n"/>
    </row>
    <row r="428" ht="16.5" customHeight="1" s="220">
      <c r="A428" s="1" t="n"/>
      <c r="B428" s="1" t="n"/>
      <c r="C428" s="2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  <c r="AW428" s="1" t="n"/>
      <c r="AX428" s="1" t="n"/>
      <c r="AY428" s="1" t="n"/>
      <c r="AZ428" s="1" t="n"/>
      <c r="BA428" s="1" t="n"/>
    </row>
    <row r="429" ht="16.5" customHeight="1" s="220">
      <c r="A429" s="1" t="n"/>
      <c r="B429" s="1" t="n"/>
      <c r="C429" s="2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  <c r="AX429" s="1" t="n"/>
      <c r="AY429" s="1" t="n"/>
      <c r="AZ429" s="1" t="n"/>
      <c r="BA429" s="1" t="n"/>
    </row>
    <row r="430" ht="16.5" customHeight="1" s="220">
      <c r="A430" s="1" t="n"/>
      <c r="B430" s="1" t="n"/>
      <c r="C430" s="2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  <c r="AW430" s="1" t="n"/>
      <c r="AX430" s="1" t="n"/>
      <c r="AY430" s="1" t="n"/>
      <c r="AZ430" s="1" t="n"/>
      <c r="BA430" s="1" t="n"/>
    </row>
    <row r="431" ht="16.5" customHeight="1" s="220">
      <c r="A431" s="1" t="n"/>
      <c r="B431" s="1" t="n"/>
      <c r="C431" s="2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  <c r="AX431" s="1" t="n"/>
      <c r="AY431" s="1" t="n"/>
      <c r="AZ431" s="1" t="n"/>
      <c r="BA431" s="1" t="n"/>
    </row>
    <row r="432" ht="16.5" customHeight="1" s="220">
      <c r="A432" s="1" t="n"/>
      <c r="B432" s="1" t="n"/>
      <c r="C432" s="2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  <c r="AW432" s="1" t="n"/>
      <c r="AX432" s="1" t="n"/>
      <c r="AY432" s="1" t="n"/>
      <c r="AZ432" s="1" t="n"/>
      <c r="BA432" s="1" t="n"/>
    </row>
    <row r="433" ht="16.5" customHeight="1" s="220">
      <c r="A433" s="1" t="n"/>
      <c r="B433" s="1" t="n"/>
      <c r="C433" s="2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  <c r="AX433" s="1" t="n"/>
      <c r="AY433" s="1" t="n"/>
      <c r="AZ433" s="1" t="n"/>
      <c r="BA433" s="1" t="n"/>
    </row>
    <row r="434" ht="16.5" customHeight="1" s="220">
      <c r="A434" s="1" t="n"/>
      <c r="B434" s="1" t="n"/>
      <c r="C434" s="2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  <c r="AS434" s="1" t="n"/>
      <c r="AT434" s="1" t="n"/>
      <c r="AU434" s="1" t="n"/>
      <c r="AV434" s="1" t="n"/>
      <c r="AW434" s="1" t="n"/>
      <c r="AX434" s="1" t="n"/>
      <c r="AY434" s="1" t="n"/>
      <c r="AZ434" s="1" t="n"/>
      <c r="BA434" s="1" t="n"/>
    </row>
    <row r="435" ht="16.5" customHeight="1" s="220">
      <c r="A435" s="1" t="n"/>
      <c r="B435" s="1" t="n"/>
      <c r="C435" s="2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  <c r="AX435" s="1" t="n"/>
      <c r="AY435" s="1" t="n"/>
      <c r="AZ435" s="1" t="n"/>
      <c r="BA435" s="1" t="n"/>
    </row>
    <row r="436" ht="16.5" customHeight="1" s="220">
      <c r="A436" s="1" t="n"/>
      <c r="B436" s="1" t="n"/>
      <c r="C436" s="2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  <c r="AW436" s="1" t="n"/>
      <c r="AX436" s="1" t="n"/>
      <c r="AY436" s="1" t="n"/>
      <c r="AZ436" s="1" t="n"/>
      <c r="BA436" s="1" t="n"/>
    </row>
    <row r="437" ht="16.5" customHeight="1" s="220">
      <c r="A437" s="1" t="n"/>
      <c r="B437" s="1" t="n"/>
      <c r="C437" s="2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  <c r="AX437" s="1" t="n"/>
      <c r="AY437" s="1" t="n"/>
      <c r="AZ437" s="1" t="n"/>
      <c r="BA437" s="1" t="n"/>
    </row>
    <row r="438" ht="16.5" customHeight="1" s="220">
      <c r="A438" s="1" t="n"/>
      <c r="B438" s="1" t="n"/>
      <c r="C438" s="2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  <c r="AW438" s="1" t="n"/>
      <c r="AX438" s="1" t="n"/>
      <c r="AY438" s="1" t="n"/>
      <c r="AZ438" s="1" t="n"/>
      <c r="BA438" s="1" t="n"/>
    </row>
    <row r="439" ht="16.5" customHeight="1" s="220">
      <c r="A439" s="1" t="n"/>
      <c r="B439" s="1" t="n"/>
      <c r="C439" s="2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  <c r="AX439" s="1" t="n"/>
      <c r="AY439" s="1" t="n"/>
      <c r="AZ439" s="1" t="n"/>
      <c r="BA439" s="1" t="n"/>
    </row>
    <row r="440" ht="16.5" customHeight="1" s="220">
      <c r="A440" s="1" t="n"/>
      <c r="B440" s="1" t="n"/>
      <c r="C440" s="2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  <c r="AW440" s="1" t="n"/>
      <c r="AX440" s="1" t="n"/>
      <c r="AY440" s="1" t="n"/>
      <c r="AZ440" s="1" t="n"/>
      <c r="BA440" s="1" t="n"/>
    </row>
    <row r="441" ht="16.5" customHeight="1" s="220">
      <c r="A441" s="1" t="n"/>
      <c r="B441" s="1" t="n"/>
      <c r="C441" s="2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  <c r="AX441" s="1" t="n"/>
      <c r="AY441" s="1" t="n"/>
      <c r="AZ441" s="1" t="n"/>
      <c r="BA441" s="1" t="n"/>
    </row>
    <row r="442" ht="16.5" customHeight="1" s="220">
      <c r="A442" s="1" t="n"/>
      <c r="B442" s="1" t="n"/>
      <c r="C442" s="2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  <c r="AW442" s="1" t="n"/>
      <c r="AX442" s="1" t="n"/>
      <c r="AY442" s="1" t="n"/>
      <c r="AZ442" s="1" t="n"/>
      <c r="BA442" s="1" t="n"/>
    </row>
    <row r="443" ht="16.5" customHeight="1" s="220">
      <c r="A443" s="1" t="n"/>
      <c r="B443" s="1" t="n"/>
      <c r="C443" s="2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  <c r="AX443" s="1" t="n"/>
      <c r="AY443" s="1" t="n"/>
      <c r="AZ443" s="1" t="n"/>
      <c r="BA443" s="1" t="n"/>
    </row>
    <row r="444" ht="16.5" customHeight="1" s="220">
      <c r="A444" s="1" t="n"/>
      <c r="B444" s="1" t="n"/>
      <c r="C444" s="2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  <c r="AW444" s="1" t="n"/>
      <c r="AX444" s="1" t="n"/>
      <c r="AY444" s="1" t="n"/>
      <c r="AZ444" s="1" t="n"/>
      <c r="BA444" s="1" t="n"/>
    </row>
    <row r="445" ht="16.5" customHeight="1" s="220">
      <c r="A445" s="1" t="n"/>
      <c r="B445" s="1" t="n"/>
      <c r="C445" s="2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  <c r="AW445" s="1" t="n"/>
      <c r="AX445" s="1" t="n"/>
      <c r="AY445" s="1" t="n"/>
      <c r="AZ445" s="1" t="n"/>
      <c r="BA445" s="1" t="n"/>
    </row>
    <row r="446" ht="16.5" customHeight="1" s="220">
      <c r="A446" s="1" t="n"/>
      <c r="B446" s="1" t="n"/>
      <c r="C446" s="2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  <c r="AW446" s="1" t="n"/>
      <c r="AX446" s="1" t="n"/>
      <c r="AY446" s="1" t="n"/>
      <c r="AZ446" s="1" t="n"/>
      <c r="BA446" s="1" t="n"/>
    </row>
    <row r="447" ht="16.5" customHeight="1" s="220">
      <c r="A447" s="1" t="n"/>
      <c r="B447" s="1" t="n"/>
      <c r="C447" s="2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  <c r="AX447" s="1" t="n"/>
      <c r="AY447" s="1" t="n"/>
      <c r="AZ447" s="1" t="n"/>
      <c r="BA447" s="1" t="n"/>
    </row>
    <row r="448" ht="16.5" customHeight="1" s="220">
      <c r="A448" s="1" t="n"/>
      <c r="B448" s="1" t="n"/>
      <c r="C448" s="2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  <c r="AW448" s="1" t="n"/>
      <c r="AX448" s="1" t="n"/>
      <c r="AY448" s="1" t="n"/>
      <c r="AZ448" s="1" t="n"/>
      <c r="BA448" s="1" t="n"/>
    </row>
    <row r="449" ht="16.5" customHeight="1" s="220">
      <c r="A449" s="1" t="n"/>
      <c r="B449" s="1" t="n"/>
      <c r="C449" s="2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  <c r="AX449" s="1" t="n"/>
      <c r="AY449" s="1" t="n"/>
      <c r="AZ449" s="1" t="n"/>
      <c r="BA449" s="1" t="n"/>
    </row>
    <row r="450" ht="16.5" customHeight="1" s="220">
      <c r="A450" s="1" t="n"/>
      <c r="B450" s="1" t="n"/>
      <c r="C450" s="2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  <c r="AS450" s="1" t="n"/>
      <c r="AT450" s="1" t="n"/>
      <c r="AU450" s="1" t="n"/>
      <c r="AV450" s="1" t="n"/>
      <c r="AW450" s="1" t="n"/>
      <c r="AX450" s="1" t="n"/>
      <c r="AY450" s="1" t="n"/>
      <c r="AZ450" s="1" t="n"/>
      <c r="BA450" s="1" t="n"/>
    </row>
    <row r="451" ht="16.5" customHeight="1" s="220">
      <c r="A451" s="1" t="n"/>
      <c r="B451" s="1" t="n"/>
      <c r="C451" s="2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  <c r="AW451" s="1" t="n"/>
      <c r="AX451" s="1" t="n"/>
      <c r="AY451" s="1" t="n"/>
      <c r="AZ451" s="1" t="n"/>
      <c r="BA451" s="1" t="n"/>
    </row>
    <row r="452" ht="16.5" customHeight="1" s="220">
      <c r="A452" s="1" t="n"/>
      <c r="B452" s="1" t="n"/>
      <c r="C452" s="2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  <c r="AS452" s="1" t="n"/>
      <c r="AT452" s="1" t="n"/>
      <c r="AU452" s="1" t="n"/>
      <c r="AV452" s="1" t="n"/>
      <c r="AW452" s="1" t="n"/>
      <c r="AX452" s="1" t="n"/>
      <c r="AY452" s="1" t="n"/>
      <c r="AZ452" s="1" t="n"/>
      <c r="BA452" s="1" t="n"/>
    </row>
    <row r="453" ht="16.5" customHeight="1" s="220">
      <c r="A453" s="1" t="n"/>
      <c r="B453" s="1" t="n"/>
      <c r="C453" s="2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  <c r="AW453" s="1" t="n"/>
      <c r="AX453" s="1" t="n"/>
      <c r="AY453" s="1" t="n"/>
      <c r="AZ453" s="1" t="n"/>
      <c r="BA453" s="1" t="n"/>
    </row>
    <row r="454" ht="16.5" customHeight="1" s="220">
      <c r="A454" s="1" t="n"/>
      <c r="B454" s="1" t="n"/>
      <c r="C454" s="2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  <c r="AS454" s="1" t="n"/>
      <c r="AT454" s="1" t="n"/>
      <c r="AU454" s="1" t="n"/>
      <c r="AV454" s="1" t="n"/>
      <c r="AW454" s="1" t="n"/>
      <c r="AX454" s="1" t="n"/>
      <c r="AY454" s="1" t="n"/>
      <c r="AZ454" s="1" t="n"/>
      <c r="BA454" s="1" t="n"/>
    </row>
    <row r="455" ht="16.5" customHeight="1" s="220">
      <c r="A455" s="1" t="n"/>
      <c r="B455" s="1" t="n"/>
      <c r="C455" s="2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  <c r="AW455" s="1" t="n"/>
      <c r="AX455" s="1" t="n"/>
      <c r="AY455" s="1" t="n"/>
      <c r="AZ455" s="1" t="n"/>
      <c r="BA455" s="1" t="n"/>
    </row>
    <row r="456" ht="16.5" customHeight="1" s="220">
      <c r="A456" s="1" t="n"/>
      <c r="B456" s="1" t="n"/>
      <c r="C456" s="2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  <c r="AS456" s="1" t="n"/>
      <c r="AT456" s="1" t="n"/>
      <c r="AU456" s="1" t="n"/>
      <c r="AV456" s="1" t="n"/>
      <c r="AW456" s="1" t="n"/>
      <c r="AX456" s="1" t="n"/>
      <c r="AY456" s="1" t="n"/>
      <c r="AZ456" s="1" t="n"/>
      <c r="BA456" s="1" t="n"/>
    </row>
    <row r="457" ht="16.5" customHeight="1" s="220">
      <c r="A457" s="1" t="n"/>
      <c r="B457" s="1" t="n"/>
      <c r="C457" s="2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  <c r="AW457" s="1" t="n"/>
      <c r="AX457" s="1" t="n"/>
      <c r="AY457" s="1" t="n"/>
      <c r="AZ457" s="1" t="n"/>
      <c r="BA457" s="1" t="n"/>
    </row>
    <row r="458" ht="16.5" customHeight="1" s="220">
      <c r="A458" s="1" t="n"/>
      <c r="B458" s="1" t="n"/>
      <c r="C458" s="2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  <c r="AS458" s="1" t="n"/>
      <c r="AT458" s="1" t="n"/>
      <c r="AU458" s="1" t="n"/>
      <c r="AV458" s="1" t="n"/>
      <c r="AW458" s="1" t="n"/>
      <c r="AX458" s="1" t="n"/>
      <c r="AY458" s="1" t="n"/>
      <c r="AZ458" s="1" t="n"/>
      <c r="BA458" s="1" t="n"/>
    </row>
    <row r="459" ht="16.5" customHeight="1" s="220">
      <c r="A459" s="1" t="n"/>
      <c r="B459" s="1" t="n"/>
      <c r="C459" s="2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  <c r="AW459" s="1" t="n"/>
      <c r="AX459" s="1" t="n"/>
      <c r="AY459" s="1" t="n"/>
      <c r="AZ459" s="1" t="n"/>
      <c r="BA459" s="1" t="n"/>
    </row>
    <row r="460" ht="16.5" customHeight="1" s="220">
      <c r="A460" s="1" t="n"/>
      <c r="B460" s="1" t="n"/>
      <c r="C460" s="2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  <c r="AS460" s="1" t="n"/>
      <c r="AT460" s="1" t="n"/>
      <c r="AU460" s="1" t="n"/>
      <c r="AV460" s="1" t="n"/>
      <c r="AW460" s="1" t="n"/>
      <c r="AX460" s="1" t="n"/>
      <c r="AY460" s="1" t="n"/>
      <c r="AZ460" s="1" t="n"/>
      <c r="BA460" s="1" t="n"/>
    </row>
    <row r="461" ht="16.5" customHeight="1" s="220">
      <c r="A461" s="1" t="n"/>
      <c r="B461" s="1" t="n"/>
      <c r="C461" s="2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  <c r="AW461" s="1" t="n"/>
      <c r="AX461" s="1" t="n"/>
      <c r="AY461" s="1" t="n"/>
      <c r="AZ461" s="1" t="n"/>
      <c r="BA461" s="1" t="n"/>
    </row>
    <row r="462" ht="16.5" customHeight="1" s="220">
      <c r="A462" s="1" t="n"/>
      <c r="B462" s="1" t="n"/>
      <c r="C462" s="2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  <c r="AS462" s="1" t="n"/>
      <c r="AT462" s="1" t="n"/>
      <c r="AU462" s="1" t="n"/>
      <c r="AV462" s="1" t="n"/>
      <c r="AW462" s="1" t="n"/>
      <c r="AX462" s="1" t="n"/>
      <c r="AY462" s="1" t="n"/>
      <c r="AZ462" s="1" t="n"/>
      <c r="BA462" s="1" t="n"/>
    </row>
    <row r="463" ht="16.5" customHeight="1" s="220">
      <c r="A463" s="1" t="n"/>
      <c r="B463" s="1" t="n"/>
      <c r="C463" s="2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  <c r="AW463" s="1" t="n"/>
      <c r="AX463" s="1" t="n"/>
      <c r="AY463" s="1" t="n"/>
      <c r="AZ463" s="1" t="n"/>
      <c r="BA463" s="1" t="n"/>
    </row>
    <row r="464" ht="16.5" customHeight="1" s="220">
      <c r="A464" s="1" t="n"/>
      <c r="B464" s="1" t="n"/>
      <c r="C464" s="2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  <c r="AS464" s="1" t="n"/>
      <c r="AT464" s="1" t="n"/>
      <c r="AU464" s="1" t="n"/>
      <c r="AV464" s="1" t="n"/>
      <c r="AW464" s="1" t="n"/>
      <c r="AX464" s="1" t="n"/>
      <c r="AY464" s="1" t="n"/>
      <c r="AZ464" s="1" t="n"/>
      <c r="BA464" s="1" t="n"/>
    </row>
    <row r="465" ht="16.5" customHeight="1" s="220">
      <c r="A465" s="1" t="n"/>
      <c r="B465" s="1" t="n"/>
      <c r="C465" s="2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  <c r="AW465" s="1" t="n"/>
      <c r="AX465" s="1" t="n"/>
      <c r="AY465" s="1" t="n"/>
      <c r="AZ465" s="1" t="n"/>
      <c r="BA465" s="1" t="n"/>
    </row>
    <row r="466" ht="16.5" customHeight="1" s="220">
      <c r="A466" s="1" t="n"/>
      <c r="B466" s="1" t="n"/>
      <c r="C466" s="2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  <c r="AS466" s="1" t="n"/>
      <c r="AT466" s="1" t="n"/>
      <c r="AU466" s="1" t="n"/>
      <c r="AV466" s="1" t="n"/>
      <c r="AW466" s="1" t="n"/>
      <c r="AX466" s="1" t="n"/>
      <c r="AY466" s="1" t="n"/>
      <c r="AZ466" s="1" t="n"/>
      <c r="BA466" s="1" t="n"/>
    </row>
    <row r="467" ht="16.5" customHeight="1" s="220">
      <c r="A467" s="1" t="n"/>
      <c r="B467" s="1" t="n"/>
      <c r="C467" s="2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  <c r="AW467" s="1" t="n"/>
      <c r="AX467" s="1" t="n"/>
      <c r="AY467" s="1" t="n"/>
      <c r="AZ467" s="1" t="n"/>
      <c r="BA467" s="1" t="n"/>
    </row>
    <row r="468" ht="16.5" customHeight="1" s="220">
      <c r="A468" s="1" t="n"/>
      <c r="B468" s="1" t="n"/>
      <c r="C468" s="2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  <c r="AS468" s="1" t="n"/>
      <c r="AT468" s="1" t="n"/>
      <c r="AU468" s="1" t="n"/>
      <c r="AV468" s="1" t="n"/>
      <c r="AW468" s="1" t="n"/>
      <c r="AX468" s="1" t="n"/>
      <c r="AY468" s="1" t="n"/>
      <c r="AZ468" s="1" t="n"/>
      <c r="BA468" s="1" t="n"/>
    </row>
    <row r="469" ht="16.5" customHeight="1" s="220">
      <c r="A469" s="1" t="n"/>
      <c r="B469" s="1" t="n"/>
      <c r="C469" s="2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  <c r="AW469" s="1" t="n"/>
      <c r="AX469" s="1" t="n"/>
      <c r="AY469" s="1" t="n"/>
      <c r="AZ469" s="1" t="n"/>
      <c r="BA469" s="1" t="n"/>
    </row>
    <row r="470" ht="16.5" customHeight="1" s="220">
      <c r="A470" s="1" t="n"/>
      <c r="B470" s="1" t="n"/>
      <c r="C470" s="2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  <c r="AS470" s="1" t="n"/>
      <c r="AT470" s="1" t="n"/>
      <c r="AU470" s="1" t="n"/>
      <c r="AV470" s="1" t="n"/>
      <c r="AW470" s="1" t="n"/>
      <c r="AX470" s="1" t="n"/>
      <c r="AY470" s="1" t="n"/>
      <c r="AZ470" s="1" t="n"/>
      <c r="BA470" s="1" t="n"/>
    </row>
    <row r="471" ht="16.5" customHeight="1" s="220">
      <c r="A471" s="1" t="n"/>
      <c r="B471" s="1" t="n"/>
      <c r="C471" s="2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  <c r="AW471" s="1" t="n"/>
      <c r="AX471" s="1" t="n"/>
      <c r="AY471" s="1" t="n"/>
      <c r="AZ471" s="1" t="n"/>
      <c r="BA471" s="1" t="n"/>
    </row>
    <row r="472" ht="16.5" customHeight="1" s="220">
      <c r="A472" s="1" t="n"/>
      <c r="B472" s="1" t="n"/>
      <c r="C472" s="2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  <c r="AS472" s="1" t="n"/>
      <c r="AT472" s="1" t="n"/>
      <c r="AU472" s="1" t="n"/>
      <c r="AV472" s="1" t="n"/>
      <c r="AW472" s="1" t="n"/>
      <c r="AX472" s="1" t="n"/>
      <c r="AY472" s="1" t="n"/>
      <c r="AZ472" s="1" t="n"/>
      <c r="BA472" s="1" t="n"/>
    </row>
    <row r="473" ht="16.5" customHeight="1" s="220">
      <c r="A473" s="1" t="n"/>
      <c r="B473" s="1" t="n"/>
      <c r="C473" s="2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  <c r="AW473" s="1" t="n"/>
      <c r="AX473" s="1" t="n"/>
      <c r="AY473" s="1" t="n"/>
      <c r="AZ473" s="1" t="n"/>
      <c r="BA473" s="1" t="n"/>
    </row>
    <row r="474" ht="16.5" customHeight="1" s="220">
      <c r="A474" s="1" t="n"/>
      <c r="B474" s="1" t="n"/>
      <c r="C474" s="2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  <c r="AS474" s="1" t="n"/>
      <c r="AT474" s="1" t="n"/>
      <c r="AU474" s="1" t="n"/>
      <c r="AV474" s="1" t="n"/>
      <c r="AW474" s="1" t="n"/>
      <c r="AX474" s="1" t="n"/>
      <c r="AY474" s="1" t="n"/>
      <c r="AZ474" s="1" t="n"/>
      <c r="BA474" s="1" t="n"/>
    </row>
    <row r="475" ht="16.5" customHeight="1" s="220">
      <c r="A475" s="1" t="n"/>
      <c r="B475" s="1" t="n"/>
      <c r="C475" s="2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  <c r="AW475" s="1" t="n"/>
      <c r="AX475" s="1" t="n"/>
      <c r="AY475" s="1" t="n"/>
      <c r="AZ475" s="1" t="n"/>
      <c r="BA475" s="1" t="n"/>
    </row>
    <row r="476" ht="16.5" customHeight="1" s="220">
      <c r="A476" s="1" t="n"/>
      <c r="B476" s="1" t="n"/>
      <c r="C476" s="2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  <c r="AS476" s="1" t="n"/>
      <c r="AT476" s="1" t="n"/>
      <c r="AU476" s="1" t="n"/>
      <c r="AV476" s="1" t="n"/>
      <c r="AW476" s="1" t="n"/>
      <c r="AX476" s="1" t="n"/>
      <c r="AY476" s="1" t="n"/>
      <c r="AZ476" s="1" t="n"/>
      <c r="BA476" s="1" t="n"/>
    </row>
    <row r="477" ht="16.5" customHeight="1" s="220">
      <c r="A477" s="1" t="n"/>
      <c r="B477" s="1" t="n"/>
      <c r="C477" s="2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  <c r="AW477" s="1" t="n"/>
      <c r="AX477" s="1" t="n"/>
      <c r="AY477" s="1" t="n"/>
      <c r="AZ477" s="1" t="n"/>
      <c r="BA477" s="1" t="n"/>
    </row>
    <row r="478" ht="16.5" customHeight="1" s="220">
      <c r="A478" s="1" t="n"/>
      <c r="B478" s="1" t="n"/>
      <c r="C478" s="2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  <c r="AS478" s="1" t="n"/>
      <c r="AT478" s="1" t="n"/>
      <c r="AU478" s="1" t="n"/>
      <c r="AV478" s="1" t="n"/>
      <c r="AW478" s="1" t="n"/>
      <c r="AX478" s="1" t="n"/>
      <c r="AY478" s="1" t="n"/>
      <c r="AZ478" s="1" t="n"/>
      <c r="BA478" s="1" t="n"/>
    </row>
    <row r="479" ht="16.5" customHeight="1" s="220">
      <c r="A479" s="1" t="n"/>
      <c r="B479" s="1" t="n"/>
      <c r="C479" s="2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  <c r="AW479" s="1" t="n"/>
      <c r="AX479" s="1" t="n"/>
      <c r="AY479" s="1" t="n"/>
      <c r="AZ479" s="1" t="n"/>
      <c r="BA479" s="1" t="n"/>
    </row>
    <row r="480" ht="16.5" customHeight="1" s="220">
      <c r="A480" s="1" t="n"/>
      <c r="B480" s="1" t="n"/>
      <c r="C480" s="2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  <c r="AS480" s="1" t="n"/>
      <c r="AT480" s="1" t="n"/>
      <c r="AU480" s="1" t="n"/>
      <c r="AV480" s="1" t="n"/>
      <c r="AW480" s="1" t="n"/>
      <c r="AX480" s="1" t="n"/>
      <c r="AY480" s="1" t="n"/>
      <c r="AZ480" s="1" t="n"/>
      <c r="BA480" s="1" t="n"/>
    </row>
    <row r="481" ht="16.5" customHeight="1" s="220">
      <c r="A481" s="1" t="n"/>
      <c r="B481" s="1" t="n"/>
      <c r="C481" s="2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  <c r="AW481" s="1" t="n"/>
      <c r="AX481" s="1" t="n"/>
      <c r="AY481" s="1" t="n"/>
      <c r="AZ481" s="1" t="n"/>
      <c r="BA481" s="1" t="n"/>
    </row>
    <row r="482" ht="16.5" customHeight="1" s="220">
      <c r="A482" s="1" t="n"/>
      <c r="B482" s="1" t="n"/>
      <c r="C482" s="2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  <c r="AR482" s="1" t="n"/>
      <c r="AS482" s="1" t="n"/>
      <c r="AT482" s="1" t="n"/>
      <c r="AU482" s="1" t="n"/>
      <c r="AV482" s="1" t="n"/>
      <c r="AW482" s="1" t="n"/>
      <c r="AX482" s="1" t="n"/>
      <c r="AY482" s="1" t="n"/>
      <c r="AZ482" s="1" t="n"/>
      <c r="BA482" s="1" t="n"/>
    </row>
    <row r="483" ht="16.5" customHeight="1" s="220">
      <c r="A483" s="1" t="n"/>
      <c r="B483" s="1" t="n"/>
      <c r="C483" s="2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  <c r="AW483" s="1" t="n"/>
      <c r="AX483" s="1" t="n"/>
      <c r="AY483" s="1" t="n"/>
      <c r="AZ483" s="1" t="n"/>
      <c r="BA483" s="1" t="n"/>
    </row>
    <row r="484" ht="16.5" customHeight="1" s="220">
      <c r="A484" s="1" t="n"/>
      <c r="B484" s="1" t="n"/>
      <c r="C484" s="2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  <c r="AS484" s="1" t="n"/>
      <c r="AT484" s="1" t="n"/>
      <c r="AU484" s="1" t="n"/>
      <c r="AV484" s="1" t="n"/>
      <c r="AW484" s="1" t="n"/>
      <c r="AX484" s="1" t="n"/>
      <c r="AY484" s="1" t="n"/>
      <c r="AZ484" s="1" t="n"/>
      <c r="BA484" s="1" t="n"/>
    </row>
    <row r="485" ht="16.5" customHeight="1" s="220">
      <c r="A485" s="1" t="n"/>
      <c r="B485" s="1" t="n"/>
      <c r="C485" s="2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  <c r="AW485" s="1" t="n"/>
      <c r="AX485" s="1" t="n"/>
      <c r="AY485" s="1" t="n"/>
      <c r="AZ485" s="1" t="n"/>
      <c r="BA485" s="1" t="n"/>
    </row>
    <row r="486" ht="16.5" customHeight="1" s="220">
      <c r="A486" s="1" t="n"/>
      <c r="B486" s="1" t="n"/>
      <c r="C486" s="2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  <c r="AS486" s="1" t="n"/>
      <c r="AT486" s="1" t="n"/>
      <c r="AU486" s="1" t="n"/>
      <c r="AV486" s="1" t="n"/>
      <c r="AW486" s="1" t="n"/>
      <c r="AX486" s="1" t="n"/>
      <c r="AY486" s="1" t="n"/>
      <c r="AZ486" s="1" t="n"/>
      <c r="BA486" s="1" t="n"/>
    </row>
    <row r="487" ht="16.5" customHeight="1" s="220">
      <c r="A487" s="1" t="n"/>
      <c r="B487" s="1" t="n"/>
      <c r="C487" s="2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  <c r="AW487" s="1" t="n"/>
      <c r="AX487" s="1" t="n"/>
      <c r="AY487" s="1" t="n"/>
      <c r="AZ487" s="1" t="n"/>
      <c r="BA487" s="1" t="n"/>
    </row>
    <row r="488" ht="16.5" customHeight="1" s="220">
      <c r="A488" s="1" t="n"/>
      <c r="B488" s="1" t="n"/>
      <c r="C488" s="2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  <c r="AS488" s="1" t="n"/>
      <c r="AT488" s="1" t="n"/>
      <c r="AU488" s="1" t="n"/>
      <c r="AV488" s="1" t="n"/>
      <c r="AW488" s="1" t="n"/>
      <c r="AX488" s="1" t="n"/>
      <c r="AY488" s="1" t="n"/>
      <c r="AZ488" s="1" t="n"/>
      <c r="BA488" s="1" t="n"/>
    </row>
    <row r="489" ht="16.5" customHeight="1" s="220">
      <c r="A489" s="1" t="n"/>
      <c r="B489" s="1" t="n"/>
      <c r="C489" s="2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  <c r="AW489" s="1" t="n"/>
      <c r="AX489" s="1" t="n"/>
      <c r="AY489" s="1" t="n"/>
      <c r="AZ489" s="1" t="n"/>
      <c r="BA489" s="1" t="n"/>
    </row>
    <row r="490" ht="16.5" customHeight="1" s="220">
      <c r="A490" s="1" t="n"/>
      <c r="B490" s="1" t="n"/>
      <c r="C490" s="2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  <c r="AS490" s="1" t="n"/>
      <c r="AT490" s="1" t="n"/>
      <c r="AU490" s="1" t="n"/>
      <c r="AV490" s="1" t="n"/>
      <c r="AW490" s="1" t="n"/>
      <c r="AX490" s="1" t="n"/>
      <c r="AY490" s="1" t="n"/>
      <c r="AZ490" s="1" t="n"/>
      <c r="BA490" s="1" t="n"/>
    </row>
    <row r="491" ht="16.5" customHeight="1" s="220">
      <c r="A491" s="1" t="n"/>
      <c r="B491" s="1" t="n"/>
      <c r="C491" s="2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  <c r="AW491" s="1" t="n"/>
      <c r="AX491" s="1" t="n"/>
      <c r="AY491" s="1" t="n"/>
      <c r="AZ491" s="1" t="n"/>
      <c r="BA491" s="1" t="n"/>
    </row>
    <row r="492" ht="16.5" customHeight="1" s="220">
      <c r="A492" s="1" t="n"/>
      <c r="B492" s="1" t="n"/>
      <c r="C492" s="2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  <c r="AS492" s="1" t="n"/>
      <c r="AT492" s="1" t="n"/>
      <c r="AU492" s="1" t="n"/>
      <c r="AV492" s="1" t="n"/>
      <c r="AW492" s="1" t="n"/>
      <c r="AX492" s="1" t="n"/>
      <c r="AY492" s="1" t="n"/>
      <c r="AZ492" s="1" t="n"/>
      <c r="BA492" s="1" t="n"/>
    </row>
    <row r="493" ht="16.5" customHeight="1" s="220">
      <c r="A493" s="1" t="n"/>
      <c r="B493" s="1" t="n"/>
      <c r="C493" s="2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  <c r="AW493" s="1" t="n"/>
      <c r="AX493" s="1" t="n"/>
      <c r="AY493" s="1" t="n"/>
      <c r="AZ493" s="1" t="n"/>
      <c r="BA493" s="1" t="n"/>
    </row>
    <row r="494" ht="16.5" customHeight="1" s="220">
      <c r="A494" s="1" t="n"/>
      <c r="B494" s="1" t="n"/>
      <c r="C494" s="2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  <c r="AS494" s="1" t="n"/>
      <c r="AT494" s="1" t="n"/>
      <c r="AU494" s="1" t="n"/>
      <c r="AV494" s="1" t="n"/>
      <c r="AW494" s="1" t="n"/>
      <c r="AX494" s="1" t="n"/>
      <c r="AY494" s="1" t="n"/>
      <c r="AZ494" s="1" t="n"/>
      <c r="BA494" s="1" t="n"/>
    </row>
    <row r="495" ht="16.5" customHeight="1" s="220">
      <c r="A495" s="1" t="n"/>
      <c r="B495" s="1" t="n"/>
      <c r="C495" s="2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  <c r="AW495" s="1" t="n"/>
      <c r="AX495" s="1" t="n"/>
      <c r="AY495" s="1" t="n"/>
      <c r="AZ495" s="1" t="n"/>
      <c r="BA495" s="1" t="n"/>
    </row>
    <row r="496" ht="16.5" customHeight="1" s="220">
      <c r="A496" s="1" t="n"/>
      <c r="B496" s="1" t="n"/>
      <c r="C496" s="2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  <c r="AS496" s="1" t="n"/>
      <c r="AT496" s="1" t="n"/>
      <c r="AU496" s="1" t="n"/>
      <c r="AV496" s="1" t="n"/>
      <c r="AW496" s="1" t="n"/>
      <c r="AX496" s="1" t="n"/>
      <c r="AY496" s="1" t="n"/>
      <c r="AZ496" s="1" t="n"/>
      <c r="BA496" s="1" t="n"/>
    </row>
    <row r="497" ht="16.5" customHeight="1" s="220">
      <c r="A497" s="1" t="n"/>
      <c r="B497" s="1" t="n"/>
      <c r="C497" s="2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  <c r="AW497" s="1" t="n"/>
      <c r="AX497" s="1" t="n"/>
      <c r="AY497" s="1" t="n"/>
      <c r="AZ497" s="1" t="n"/>
      <c r="BA497" s="1" t="n"/>
    </row>
    <row r="498" ht="16.5" customHeight="1" s="220">
      <c r="A498" s="1" t="n"/>
      <c r="B498" s="1" t="n"/>
      <c r="C498" s="2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  <c r="AS498" s="1" t="n"/>
      <c r="AT498" s="1" t="n"/>
      <c r="AU498" s="1" t="n"/>
      <c r="AV498" s="1" t="n"/>
      <c r="AW498" s="1" t="n"/>
      <c r="AX498" s="1" t="n"/>
      <c r="AY498" s="1" t="n"/>
      <c r="AZ498" s="1" t="n"/>
      <c r="BA498" s="1" t="n"/>
    </row>
    <row r="499" ht="16.5" customHeight="1" s="220">
      <c r="A499" s="1" t="n"/>
      <c r="B499" s="1" t="n"/>
      <c r="C499" s="2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  <c r="AW499" s="1" t="n"/>
      <c r="AX499" s="1" t="n"/>
      <c r="AY499" s="1" t="n"/>
      <c r="AZ499" s="1" t="n"/>
      <c r="BA499" s="1" t="n"/>
    </row>
    <row r="500" ht="16.5" customHeight="1" s="220">
      <c r="A500" s="1" t="n"/>
      <c r="B500" s="1" t="n"/>
      <c r="C500" s="2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  <c r="AR500" s="1" t="n"/>
      <c r="AS500" s="1" t="n"/>
      <c r="AT500" s="1" t="n"/>
      <c r="AU500" s="1" t="n"/>
      <c r="AV500" s="1" t="n"/>
      <c r="AW500" s="1" t="n"/>
      <c r="AX500" s="1" t="n"/>
      <c r="AY500" s="1" t="n"/>
      <c r="AZ500" s="1" t="n"/>
      <c r="BA500" s="1" t="n"/>
    </row>
    <row r="501" ht="16.5" customHeight="1" s="220">
      <c r="A501" s="1" t="n"/>
      <c r="B501" s="1" t="n"/>
      <c r="C501" s="2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  <c r="AR501" s="1" t="n"/>
      <c r="AS501" s="1" t="n"/>
      <c r="AT501" s="1" t="n"/>
      <c r="AU501" s="1" t="n"/>
      <c r="AV501" s="1" t="n"/>
      <c r="AW501" s="1" t="n"/>
      <c r="AX501" s="1" t="n"/>
      <c r="AY501" s="1" t="n"/>
      <c r="AZ501" s="1" t="n"/>
      <c r="BA501" s="1" t="n"/>
    </row>
    <row r="502" ht="16.5" customHeight="1" s="220">
      <c r="A502" s="1" t="n"/>
      <c r="B502" s="1" t="n"/>
      <c r="C502" s="2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  <c r="AR502" s="1" t="n"/>
      <c r="AS502" s="1" t="n"/>
      <c r="AT502" s="1" t="n"/>
      <c r="AU502" s="1" t="n"/>
      <c r="AV502" s="1" t="n"/>
      <c r="AW502" s="1" t="n"/>
      <c r="AX502" s="1" t="n"/>
      <c r="AY502" s="1" t="n"/>
      <c r="AZ502" s="1" t="n"/>
      <c r="BA502" s="1" t="n"/>
    </row>
    <row r="503" ht="16.5" customHeight="1" s="220">
      <c r="A503" s="1" t="n"/>
      <c r="B503" s="1" t="n"/>
      <c r="C503" s="2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  <c r="AR503" s="1" t="n"/>
      <c r="AS503" s="1" t="n"/>
      <c r="AT503" s="1" t="n"/>
      <c r="AU503" s="1" t="n"/>
      <c r="AV503" s="1" t="n"/>
      <c r="AW503" s="1" t="n"/>
      <c r="AX503" s="1" t="n"/>
      <c r="AY503" s="1" t="n"/>
      <c r="AZ503" s="1" t="n"/>
      <c r="BA503" s="1" t="n"/>
    </row>
    <row r="504" ht="16.5" customHeight="1" s="220">
      <c r="A504" s="1" t="n"/>
      <c r="B504" s="1" t="n"/>
      <c r="C504" s="2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  <c r="AR504" s="1" t="n"/>
      <c r="AS504" s="1" t="n"/>
      <c r="AT504" s="1" t="n"/>
      <c r="AU504" s="1" t="n"/>
      <c r="AV504" s="1" t="n"/>
      <c r="AW504" s="1" t="n"/>
      <c r="AX504" s="1" t="n"/>
      <c r="AY504" s="1" t="n"/>
      <c r="AZ504" s="1" t="n"/>
      <c r="BA504" s="1" t="n"/>
    </row>
    <row r="505" ht="16.5" customHeight="1" s="220">
      <c r="A505" s="1" t="n"/>
      <c r="B505" s="1" t="n"/>
      <c r="C505" s="2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  <c r="AR505" s="1" t="n"/>
      <c r="AS505" s="1" t="n"/>
      <c r="AT505" s="1" t="n"/>
      <c r="AU505" s="1" t="n"/>
      <c r="AV505" s="1" t="n"/>
      <c r="AW505" s="1" t="n"/>
      <c r="AX505" s="1" t="n"/>
      <c r="AY505" s="1" t="n"/>
      <c r="AZ505" s="1" t="n"/>
      <c r="BA505" s="1" t="n"/>
    </row>
    <row r="506" ht="16.5" customHeight="1" s="220">
      <c r="A506" s="1" t="n"/>
      <c r="B506" s="1" t="n"/>
      <c r="C506" s="2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  <c r="AR506" s="1" t="n"/>
      <c r="AS506" s="1" t="n"/>
      <c r="AT506" s="1" t="n"/>
      <c r="AU506" s="1" t="n"/>
      <c r="AV506" s="1" t="n"/>
      <c r="AW506" s="1" t="n"/>
      <c r="AX506" s="1" t="n"/>
      <c r="AY506" s="1" t="n"/>
      <c r="AZ506" s="1" t="n"/>
      <c r="BA506" s="1" t="n"/>
    </row>
    <row r="507" ht="16.5" customHeight="1" s="220">
      <c r="A507" s="1" t="n"/>
      <c r="B507" s="1" t="n"/>
      <c r="C507" s="2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  <c r="AR507" s="1" t="n"/>
      <c r="AS507" s="1" t="n"/>
      <c r="AT507" s="1" t="n"/>
      <c r="AU507" s="1" t="n"/>
      <c r="AV507" s="1" t="n"/>
      <c r="AW507" s="1" t="n"/>
      <c r="AX507" s="1" t="n"/>
      <c r="AY507" s="1" t="n"/>
      <c r="AZ507" s="1" t="n"/>
      <c r="BA507" s="1" t="n"/>
    </row>
    <row r="508" ht="16.5" customHeight="1" s="220">
      <c r="A508" s="1" t="n"/>
      <c r="B508" s="1" t="n"/>
      <c r="C508" s="2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  <c r="AR508" s="1" t="n"/>
      <c r="AS508" s="1" t="n"/>
      <c r="AT508" s="1" t="n"/>
      <c r="AU508" s="1" t="n"/>
      <c r="AV508" s="1" t="n"/>
      <c r="AW508" s="1" t="n"/>
      <c r="AX508" s="1" t="n"/>
      <c r="AY508" s="1" t="n"/>
      <c r="AZ508" s="1" t="n"/>
      <c r="BA508" s="1" t="n"/>
    </row>
    <row r="509" ht="16.5" customHeight="1" s="220">
      <c r="A509" s="1" t="n"/>
      <c r="B509" s="1" t="n"/>
      <c r="C509" s="2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  <c r="AR509" s="1" t="n"/>
      <c r="AS509" s="1" t="n"/>
      <c r="AT509" s="1" t="n"/>
      <c r="AU509" s="1" t="n"/>
      <c r="AV509" s="1" t="n"/>
      <c r="AW509" s="1" t="n"/>
      <c r="AX509" s="1" t="n"/>
      <c r="AY509" s="1" t="n"/>
      <c r="AZ509" s="1" t="n"/>
      <c r="BA509" s="1" t="n"/>
    </row>
    <row r="510" ht="16.5" customHeight="1" s="220">
      <c r="A510" s="1" t="n"/>
      <c r="B510" s="1" t="n"/>
      <c r="C510" s="2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  <c r="AR510" s="1" t="n"/>
      <c r="AS510" s="1" t="n"/>
      <c r="AT510" s="1" t="n"/>
      <c r="AU510" s="1" t="n"/>
      <c r="AV510" s="1" t="n"/>
      <c r="AW510" s="1" t="n"/>
      <c r="AX510" s="1" t="n"/>
      <c r="AY510" s="1" t="n"/>
      <c r="AZ510" s="1" t="n"/>
      <c r="BA510" s="1" t="n"/>
    </row>
    <row r="511" ht="16.5" customHeight="1" s="220">
      <c r="A511" s="1" t="n"/>
      <c r="B511" s="1" t="n"/>
      <c r="C511" s="2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  <c r="AR511" s="1" t="n"/>
      <c r="AS511" s="1" t="n"/>
      <c r="AT511" s="1" t="n"/>
      <c r="AU511" s="1" t="n"/>
      <c r="AV511" s="1" t="n"/>
      <c r="AW511" s="1" t="n"/>
      <c r="AX511" s="1" t="n"/>
      <c r="AY511" s="1" t="n"/>
      <c r="AZ511" s="1" t="n"/>
      <c r="BA511" s="1" t="n"/>
    </row>
    <row r="512" ht="16.5" customHeight="1" s="220">
      <c r="A512" s="1" t="n"/>
      <c r="B512" s="1" t="n"/>
      <c r="C512" s="2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  <c r="AR512" s="1" t="n"/>
      <c r="AS512" s="1" t="n"/>
      <c r="AT512" s="1" t="n"/>
      <c r="AU512" s="1" t="n"/>
      <c r="AV512" s="1" t="n"/>
      <c r="AW512" s="1" t="n"/>
      <c r="AX512" s="1" t="n"/>
      <c r="AY512" s="1" t="n"/>
      <c r="AZ512" s="1" t="n"/>
      <c r="BA512" s="1" t="n"/>
    </row>
    <row r="513" ht="16.5" customHeight="1" s="220">
      <c r="A513" s="1" t="n"/>
      <c r="B513" s="1" t="n"/>
      <c r="C513" s="2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  <c r="AR513" s="1" t="n"/>
      <c r="AS513" s="1" t="n"/>
      <c r="AT513" s="1" t="n"/>
      <c r="AU513" s="1" t="n"/>
      <c r="AV513" s="1" t="n"/>
      <c r="AW513" s="1" t="n"/>
      <c r="AX513" s="1" t="n"/>
      <c r="AY513" s="1" t="n"/>
      <c r="AZ513" s="1" t="n"/>
      <c r="BA513" s="1" t="n"/>
    </row>
    <row r="514" ht="16.5" customHeight="1" s="220">
      <c r="A514" s="1" t="n"/>
      <c r="B514" s="1" t="n"/>
      <c r="C514" s="2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  <c r="AR514" s="1" t="n"/>
      <c r="AS514" s="1" t="n"/>
      <c r="AT514" s="1" t="n"/>
      <c r="AU514" s="1" t="n"/>
      <c r="AV514" s="1" t="n"/>
      <c r="AW514" s="1" t="n"/>
      <c r="AX514" s="1" t="n"/>
      <c r="AY514" s="1" t="n"/>
      <c r="AZ514" s="1" t="n"/>
      <c r="BA514" s="1" t="n"/>
    </row>
    <row r="515" ht="16.5" customHeight="1" s="220">
      <c r="A515" s="1" t="n"/>
      <c r="B515" s="1" t="n"/>
      <c r="C515" s="2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  <c r="AR515" s="1" t="n"/>
      <c r="AS515" s="1" t="n"/>
      <c r="AT515" s="1" t="n"/>
      <c r="AU515" s="1" t="n"/>
      <c r="AV515" s="1" t="n"/>
      <c r="AW515" s="1" t="n"/>
      <c r="AX515" s="1" t="n"/>
      <c r="AY515" s="1" t="n"/>
      <c r="AZ515" s="1" t="n"/>
      <c r="BA515" s="1" t="n"/>
    </row>
    <row r="516" ht="16.5" customHeight="1" s="220">
      <c r="A516" s="1" t="n"/>
      <c r="B516" s="1" t="n"/>
      <c r="C516" s="2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  <c r="AR516" s="1" t="n"/>
      <c r="AS516" s="1" t="n"/>
      <c r="AT516" s="1" t="n"/>
      <c r="AU516" s="1" t="n"/>
      <c r="AV516" s="1" t="n"/>
      <c r="AW516" s="1" t="n"/>
      <c r="AX516" s="1" t="n"/>
      <c r="AY516" s="1" t="n"/>
      <c r="AZ516" s="1" t="n"/>
      <c r="BA516" s="1" t="n"/>
    </row>
    <row r="517" ht="16.5" customHeight="1" s="220">
      <c r="A517" s="1" t="n"/>
      <c r="B517" s="1" t="n"/>
      <c r="C517" s="2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  <c r="AR517" s="1" t="n"/>
      <c r="AS517" s="1" t="n"/>
      <c r="AT517" s="1" t="n"/>
      <c r="AU517" s="1" t="n"/>
      <c r="AV517" s="1" t="n"/>
      <c r="AW517" s="1" t="n"/>
      <c r="AX517" s="1" t="n"/>
      <c r="AY517" s="1" t="n"/>
      <c r="AZ517" s="1" t="n"/>
      <c r="BA517" s="1" t="n"/>
    </row>
    <row r="518" ht="16.5" customHeight="1" s="220">
      <c r="A518" s="1" t="n"/>
      <c r="B518" s="1" t="n"/>
      <c r="C518" s="2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  <c r="AR518" s="1" t="n"/>
      <c r="AS518" s="1" t="n"/>
      <c r="AT518" s="1" t="n"/>
      <c r="AU518" s="1" t="n"/>
      <c r="AV518" s="1" t="n"/>
      <c r="AW518" s="1" t="n"/>
      <c r="AX518" s="1" t="n"/>
      <c r="AY518" s="1" t="n"/>
      <c r="AZ518" s="1" t="n"/>
      <c r="BA518" s="1" t="n"/>
    </row>
    <row r="519" ht="16.5" customHeight="1" s="220">
      <c r="A519" s="1" t="n"/>
      <c r="B519" s="1" t="n"/>
      <c r="C519" s="2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  <c r="AR519" s="1" t="n"/>
      <c r="AS519" s="1" t="n"/>
      <c r="AT519" s="1" t="n"/>
      <c r="AU519" s="1" t="n"/>
      <c r="AV519" s="1" t="n"/>
      <c r="AW519" s="1" t="n"/>
      <c r="AX519" s="1" t="n"/>
      <c r="AY519" s="1" t="n"/>
      <c r="AZ519" s="1" t="n"/>
      <c r="BA519" s="1" t="n"/>
    </row>
    <row r="520" ht="16.5" customHeight="1" s="220">
      <c r="A520" s="1" t="n"/>
      <c r="B520" s="1" t="n"/>
      <c r="C520" s="2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  <c r="AR520" s="1" t="n"/>
      <c r="AS520" s="1" t="n"/>
      <c r="AT520" s="1" t="n"/>
      <c r="AU520" s="1" t="n"/>
      <c r="AV520" s="1" t="n"/>
      <c r="AW520" s="1" t="n"/>
      <c r="AX520" s="1" t="n"/>
      <c r="AY520" s="1" t="n"/>
      <c r="AZ520" s="1" t="n"/>
      <c r="BA520" s="1" t="n"/>
    </row>
    <row r="521" ht="16.5" customHeight="1" s="220">
      <c r="A521" s="1" t="n"/>
      <c r="B521" s="1" t="n"/>
      <c r="C521" s="2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  <c r="AR521" s="1" t="n"/>
      <c r="AS521" s="1" t="n"/>
      <c r="AT521" s="1" t="n"/>
      <c r="AU521" s="1" t="n"/>
      <c r="AV521" s="1" t="n"/>
      <c r="AW521" s="1" t="n"/>
      <c r="AX521" s="1" t="n"/>
      <c r="AY521" s="1" t="n"/>
      <c r="AZ521" s="1" t="n"/>
      <c r="BA521" s="1" t="n"/>
    </row>
    <row r="522" ht="16.5" customHeight="1" s="220">
      <c r="A522" s="1" t="n"/>
      <c r="B522" s="1" t="n"/>
      <c r="C522" s="2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  <c r="AR522" s="1" t="n"/>
      <c r="AS522" s="1" t="n"/>
      <c r="AT522" s="1" t="n"/>
      <c r="AU522" s="1" t="n"/>
      <c r="AV522" s="1" t="n"/>
      <c r="AW522" s="1" t="n"/>
      <c r="AX522" s="1" t="n"/>
      <c r="AY522" s="1" t="n"/>
      <c r="AZ522" s="1" t="n"/>
      <c r="BA522" s="1" t="n"/>
    </row>
    <row r="523" ht="16.5" customHeight="1" s="220">
      <c r="A523" s="1" t="n"/>
      <c r="B523" s="1" t="n"/>
      <c r="C523" s="2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  <c r="AR523" s="1" t="n"/>
      <c r="AS523" s="1" t="n"/>
      <c r="AT523" s="1" t="n"/>
      <c r="AU523" s="1" t="n"/>
      <c r="AV523" s="1" t="n"/>
      <c r="AW523" s="1" t="n"/>
      <c r="AX523" s="1" t="n"/>
      <c r="AY523" s="1" t="n"/>
      <c r="AZ523" s="1" t="n"/>
      <c r="BA523" s="1" t="n"/>
    </row>
    <row r="524" ht="16.5" customHeight="1" s="220">
      <c r="A524" s="1" t="n"/>
      <c r="B524" s="1" t="n"/>
      <c r="C524" s="2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  <c r="AR524" s="1" t="n"/>
      <c r="AS524" s="1" t="n"/>
      <c r="AT524" s="1" t="n"/>
      <c r="AU524" s="1" t="n"/>
      <c r="AV524" s="1" t="n"/>
      <c r="AW524" s="1" t="n"/>
      <c r="AX524" s="1" t="n"/>
      <c r="AY524" s="1" t="n"/>
      <c r="AZ524" s="1" t="n"/>
      <c r="BA524" s="1" t="n"/>
    </row>
    <row r="525" ht="16.5" customHeight="1" s="220">
      <c r="A525" s="1" t="n"/>
      <c r="B525" s="1" t="n"/>
      <c r="C525" s="2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  <c r="AR525" s="1" t="n"/>
      <c r="AS525" s="1" t="n"/>
      <c r="AT525" s="1" t="n"/>
      <c r="AU525" s="1" t="n"/>
      <c r="AV525" s="1" t="n"/>
      <c r="AW525" s="1" t="n"/>
      <c r="AX525" s="1" t="n"/>
      <c r="AY525" s="1" t="n"/>
      <c r="AZ525" s="1" t="n"/>
      <c r="BA525" s="1" t="n"/>
    </row>
    <row r="526" ht="16.5" customHeight="1" s="220">
      <c r="A526" s="1" t="n"/>
      <c r="B526" s="1" t="n"/>
      <c r="C526" s="2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  <c r="AR526" s="1" t="n"/>
      <c r="AS526" s="1" t="n"/>
      <c r="AT526" s="1" t="n"/>
      <c r="AU526" s="1" t="n"/>
      <c r="AV526" s="1" t="n"/>
      <c r="AW526" s="1" t="n"/>
      <c r="AX526" s="1" t="n"/>
      <c r="AY526" s="1" t="n"/>
      <c r="AZ526" s="1" t="n"/>
      <c r="BA526" s="1" t="n"/>
    </row>
    <row r="527" ht="16.5" customHeight="1" s="220">
      <c r="A527" s="1" t="n"/>
      <c r="B527" s="1" t="n"/>
      <c r="C527" s="2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  <c r="AR527" s="1" t="n"/>
      <c r="AS527" s="1" t="n"/>
      <c r="AT527" s="1" t="n"/>
      <c r="AU527" s="1" t="n"/>
      <c r="AV527" s="1" t="n"/>
      <c r="AW527" s="1" t="n"/>
      <c r="AX527" s="1" t="n"/>
      <c r="AY527" s="1" t="n"/>
      <c r="AZ527" s="1" t="n"/>
      <c r="BA527" s="1" t="n"/>
    </row>
    <row r="528" ht="16.5" customHeight="1" s="220">
      <c r="A528" s="1" t="n"/>
      <c r="B528" s="1" t="n"/>
      <c r="C528" s="2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  <c r="AR528" s="1" t="n"/>
      <c r="AS528" s="1" t="n"/>
      <c r="AT528" s="1" t="n"/>
      <c r="AU528" s="1" t="n"/>
      <c r="AV528" s="1" t="n"/>
      <c r="AW528" s="1" t="n"/>
      <c r="AX528" s="1" t="n"/>
      <c r="AY528" s="1" t="n"/>
      <c r="AZ528" s="1" t="n"/>
      <c r="BA528" s="1" t="n"/>
    </row>
    <row r="529" ht="16.5" customHeight="1" s="220">
      <c r="A529" s="1" t="n"/>
      <c r="B529" s="1" t="n"/>
      <c r="C529" s="2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  <c r="AR529" s="1" t="n"/>
      <c r="AS529" s="1" t="n"/>
      <c r="AT529" s="1" t="n"/>
      <c r="AU529" s="1" t="n"/>
      <c r="AV529" s="1" t="n"/>
      <c r="AW529" s="1" t="n"/>
      <c r="AX529" s="1" t="n"/>
      <c r="AY529" s="1" t="n"/>
      <c r="AZ529" s="1" t="n"/>
      <c r="BA529" s="1" t="n"/>
    </row>
    <row r="530" ht="16.5" customHeight="1" s="220">
      <c r="A530" s="1" t="n"/>
      <c r="B530" s="1" t="n"/>
      <c r="C530" s="2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  <c r="AR530" s="1" t="n"/>
      <c r="AS530" s="1" t="n"/>
      <c r="AT530" s="1" t="n"/>
      <c r="AU530" s="1" t="n"/>
      <c r="AV530" s="1" t="n"/>
      <c r="AW530" s="1" t="n"/>
      <c r="AX530" s="1" t="n"/>
      <c r="AY530" s="1" t="n"/>
      <c r="AZ530" s="1" t="n"/>
      <c r="BA530" s="1" t="n"/>
    </row>
    <row r="531" ht="16.5" customHeight="1" s="220">
      <c r="A531" s="1" t="n"/>
      <c r="B531" s="1" t="n"/>
      <c r="C531" s="2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  <c r="AR531" s="1" t="n"/>
      <c r="AS531" s="1" t="n"/>
      <c r="AT531" s="1" t="n"/>
      <c r="AU531" s="1" t="n"/>
      <c r="AV531" s="1" t="n"/>
      <c r="AW531" s="1" t="n"/>
      <c r="AX531" s="1" t="n"/>
      <c r="AY531" s="1" t="n"/>
      <c r="AZ531" s="1" t="n"/>
      <c r="BA531" s="1" t="n"/>
    </row>
    <row r="532" ht="16.5" customHeight="1" s="220">
      <c r="A532" s="1" t="n"/>
      <c r="B532" s="1" t="n"/>
      <c r="C532" s="2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  <c r="AR532" s="1" t="n"/>
      <c r="AS532" s="1" t="n"/>
      <c r="AT532" s="1" t="n"/>
      <c r="AU532" s="1" t="n"/>
      <c r="AV532" s="1" t="n"/>
      <c r="AW532" s="1" t="n"/>
      <c r="AX532" s="1" t="n"/>
      <c r="AY532" s="1" t="n"/>
      <c r="AZ532" s="1" t="n"/>
      <c r="BA532" s="1" t="n"/>
    </row>
    <row r="533" ht="16.5" customHeight="1" s="220">
      <c r="A533" s="1" t="n"/>
      <c r="B533" s="1" t="n"/>
      <c r="C533" s="2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  <c r="AR533" s="1" t="n"/>
      <c r="AS533" s="1" t="n"/>
      <c r="AT533" s="1" t="n"/>
      <c r="AU533" s="1" t="n"/>
      <c r="AV533" s="1" t="n"/>
      <c r="AW533" s="1" t="n"/>
      <c r="AX533" s="1" t="n"/>
      <c r="AY533" s="1" t="n"/>
      <c r="AZ533" s="1" t="n"/>
      <c r="BA533" s="1" t="n"/>
    </row>
    <row r="534" ht="16.5" customHeight="1" s="220">
      <c r="A534" s="1" t="n"/>
      <c r="B534" s="1" t="n"/>
      <c r="C534" s="2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  <c r="AR534" s="1" t="n"/>
      <c r="AS534" s="1" t="n"/>
      <c r="AT534" s="1" t="n"/>
      <c r="AU534" s="1" t="n"/>
      <c r="AV534" s="1" t="n"/>
      <c r="AW534" s="1" t="n"/>
      <c r="AX534" s="1" t="n"/>
      <c r="AY534" s="1" t="n"/>
      <c r="AZ534" s="1" t="n"/>
      <c r="BA534" s="1" t="n"/>
    </row>
    <row r="535" ht="16.5" customHeight="1" s="220">
      <c r="A535" s="1" t="n"/>
      <c r="B535" s="1" t="n"/>
      <c r="C535" s="2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  <c r="AR535" s="1" t="n"/>
      <c r="AS535" s="1" t="n"/>
      <c r="AT535" s="1" t="n"/>
      <c r="AU535" s="1" t="n"/>
      <c r="AV535" s="1" t="n"/>
      <c r="AW535" s="1" t="n"/>
      <c r="AX535" s="1" t="n"/>
      <c r="AY535" s="1" t="n"/>
      <c r="AZ535" s="1" t="n"/>
      <c r="BA535" s="1" t="n"/>
    </row>
    <row r="536" ht="16.5" customHeight="1" s="220">
      <c r="A536" s="1" t="n"/>
      <c r="B536" s="1" t="n"/>
      <c r="C536" s="2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  <c r="AR536" s="1" t="n"/>
      <c r="AS536" s="1" t="n"/>
      <c r="AT536" s="1" t="n"/>
      <c r="AU536" s="1" t="n"/>
      <c r="AV536" s="1" t="n"/>
      <c r="AW536" s="1" t="n"/>
      <c r="AX536" s="1" t="n"/>
      <c r="AY536" s="1" t="n"/>
      <c r="AZ536" s="1" t="n"/>
      <c r="BA536" s="1" t="n"/>
    </row>
    <row r="537" ht="16.5" customHeight="1" s="220">
      <c r="A537" s="1" t="n"/>
      <c r="B537" s="1" t="n"/>
      <c r="C537" s="2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  <c r="AR537" s="1" t="n"/>
      <c r="AS537" s="1" t="n"/>
      <c r="AT537" s="1" t="n"/>
      <c r="AU537" s="1" t="n"/>
      <c r="AV537" s="1" t="n"/>
      <c r="AW537" s="1" t="n"/>
      <c r="AX537" s="1" t="n"/>
      <c r="AY537" s="1" t="n"/>
      <c r="AZ537" s="1" t="n"/>
      <c r="BA537" s="1" t="n"/>
    </row>
    <row r="538" ht="16.5" customHeight="1" s="220">
      <c r="A538" s="1" t="n"/>
      <c r="B538" s="1" t="n"/>
      <c r="C538" s="2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  <c r="AR538" s="1" t="n"/>
      <c r="AS538" s="1" t="n"/>
      <c r="AT538" s="1" t="n"/>
      <c r="AU538" s="1" t="n"/>
      <c r="AV538" s="1" t="n"/>
      <c r="AW538" s="1" t="n"/>
      <c r="AX538" s="1" t="n"/>
      <c r="AY538" s="1" t="n"/>
      <c r="AZ538" s="1" t="n"/>
      <c r="BA538" s="1" t="n"/>
    </row>
    <row r="539" ht="16.5" customHeight="1" s="220">
      <c r="A539" s="1" t="n"/>
      <c r="B539" s="1" t="n"/>
      <c r="C539" s="2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  <c r="AR539" s="1" t="n"/>
      <c r="AS539" s="1" t="n"/>
      <c r="AT539" s="1" t="n"/>
      <c r="AU539" s="1" t="n"/>
      <c r="AV539" s="1" t="n"/>
      <c r="AW539" s="1" t="n"/>
      <c r="AX539" s="1" t="n"/>
      <c r="AY539" s="1" t="n"/>
      <c r="AZ539" s="1" t="n"/>
      <c r="BA539" s="1" t="n"/>
    </row>
    <row r="540" ht="16.5" customHeight="1" s="220">
      <c r="A540" s="1" t="n"/>
      <c r="B540" s="1" t="n"/>
      <c r="C540" s="2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  <c r="AR540" s="1" t="n"/>
      <c r="AS540" s="1" t="n"/>
      <c r="AT540" s="1" t="n"/>
      <c r="AU540" s="1" t="n"/>
      <c r="AV540" s="1" t="n"/>
      <c r="AW540" s="1" t="n"/>
      <c r="AX540" s="1" t="n"/>
      <c r="AY540" s="1" t="n"/>
      <c r="AZ540" s="1" t="n"/>
      <c r="BA540" s="1" t="n"/>
    </row>
    <row r="541" ht="16.5" customHeight="1" s="220">
      <c r="A541" s="1" t="n"/>
      <c r="B541" s="1" t="n"/>
      <c r="C541" s="2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  <c r="AR541" s="1" t="n"/>
      <c r="AS541" s="1" t="n"/>
      <c r="AT541" s="1" t="n"/>
      <c r="AU541" s="1" t="n"/>
      <c r="AV541" s="1" t="n"/>
      <c r="AW541" s="1" t="n"/>
      <c r="AX541" s="1" t="n"/>
      <c r="AY541" s="1" t="n"/>
      <c r="AZ541" s="1" t="n"/>
      <c r="BA541" s="1" t="n"/>
    </row>
    <row r="542" ht="16.5" customHeight="1" s="220">
      <c r="A542" s="1" t="n"/>
      <c r="B542" s="1" t="n"/>
      <c r="C542" s="2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  <c r="AR542" s="1" t="n"/>
      <c r="AS542" s="1" t="n"/>
      <c r="AT542" s="1" t="n"/>
      <c r="AU542" s="1" t="n"/>
      <c r="AV542" s="1" t="n"/>
      <c r="AW542" s="1" t="n"/>
      <c r="AX542" s="1" t="n"/>
      <c r="AY542" s="1" t="n"/>
      <c r="AZ542" s="1" t="n"/>
      <c r="BA542" s="1" t="n"/>
    </row>
    <row r="543" ht="16.5" customHeight="1" s="220">
      <c r="A543" s="1" t="n"/>
      <c r="B543" s="1" t="n"/>
      <c r="C543" s="2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  <c r="AR543" s="1" t="n"/>
      <c r="AS543" s="1" t="n"/>
      <c r="AT543" s="1" t="n"/>
      <c r="AU543" s="1" t="n"/>
      <c r="AV543" s="1" t="n"/>
      <c r="AW543" s="1" t="n"/>
      <c r="AX543" s="1" t="n"/>
      <c r="AY543" s="1" t="n"/>
      <c r="AZ543" s="1" t="n"/>
      <c r="BA543" s="1" t="n"/>
    </row>
    <row r="544" ht="16.5" customHeight="1" s="220">
      <c r="A544" s="1" t="n"/>
      <c r="B544" s="1" t="n"/>
      <c r="C544" s="2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  <c r="AR544" s="1" t="n"/>
      <c r="AS544" s="1" t="n"/>
      <c r="AT544" s="1" t="n"/>
      <c r="AU544" s="1" t="n"/>
      <c r="AV544" s="1" t="n"/>
      <c r="AW544" s="1" t="n"/>
      <c r="AX544" s="1" t="n"/>
      <c r="AY544" s="1" t="n"/>
      <c r="AZ544" s="1" t="n"/>
      <c r="BA544" s="1" t="n"/>
    </row>
    <row r="545" ht="16.5" customHeight="1" s="220">
      <c r="A545" s="1" t="n"/>
      <c r="B545" s="1" t="n"/>
      <c r="C545" s="2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  <c r="AR545" s="1" t="n"/>
      <c r="AS545" s="1" t="n"/>
      <c r="AT545" s="1" t="n"/>
      <c r="AU545" s="1" t="n"/>
      <c r="AV545" s="1" t="n"/>
      <c r="AW545" s="1" t="n"/>
      <c r="AX545" s="1" t="n"/>
      <c r="AY545" s="1" t="n"/>
      <c r="AZ545" s="1" t="n"/>
      <c r="BA545" s="1" t="n"/>
    </row>
    <row r="546" ht="16.5" customHeight="1" s="220">
      <c r="A546" s="1" t="n"/>
      <c r="B546" s="1" t="n"/>
      <c r="C546" s="2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  <c r="AR546" s="1" t="n"/>
      <c r="AS546" s="1" t="n"/>
      <c r="AT546" s="1" t="n"/>
      <c r="AU546" s="1" t="n"/>
      <c r="AV546" s="1" t="n"/>
      <c r="AW546" s="1" t="n"/>
      <c r="AX546" s="1" t="n"/>
      <c r="AY546" s="1" t="n"/>
      <c r="AZ546" s="1" t="n"/>
      <c r="BA546" s="1" t="n"/>
    </row>
    <row r="547" ht="16.5" customHeight="1" s="220">
      <c r="A547" s="1" t="n"/>
      <c r="B547" s="1" t="n"/>
      <c r="C547" s="2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  <c r="AR547" s="1" t="n"/>
      <c r="AS547" s="1" t="n"/>
      <c r="AT547" s="1" t="n"/>
      <c r="AU547" s="1" t="n"/>
      <c r="AV547" s="1" t="n"/>
      <c r="AW547" s="1" t="n"/>
      <c r="AX547" s="1" t="n"/>
      <c r="AY547" s="1" t="n"/>
      <c r="AZ547" s="1" t="n"/>
      <c r="BA547" s="1" t="n"/>
    </row>
    <row r="548" ht="16.5" customHeight="1" s="220">
      <c r="A548" s="1" t="n"/>
      <c r="B548" s="1" t="n"/>
      <c r="C548" s="2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  <c r="AR548" s="1" t="n"/>
      <c r="AS548" s="1" t="n"/>
      <c r="AT548" s="1" t="n"/>
      <c r="AU548" s="1" t="n"/>
      <c r="AV548" s="1" t="n"/>
      <c r="AW548" s="1" t="n"/>
      <c r="AX548" s="1" t="n"/>
      <c r="AY548" s="1" t="n"/>
      <c r="AZ548" s="1" t="n"/>
      <c r="BA548" s="1" t="n"/>
    </row>
    <row r="549" ht="16.5" customHeight="1" s="220">
      <c r="A549" s="1" t="n"/>
      <c r="B549" s="1" t="n"/>
      <c r="C549" s="2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  <c r="AR549" s="1" t="n"/>
      <c r="AS549" s="1" t="n"/>
      <c r="AT549" s="1" t="n"/>
      <c r="AU549" s="1" t="n"/>
      <c r="AV549" s="1" t="n"/>
      <c r="AW549" s="1" t="n"/>
      <c r="AX549" s="1" t="n"/>
      <c r="AY549" s="1" t="n"/>
      <c r="AZ549" s="1" t="n"/>
      <c r="BA549" s="1" t="n"/>
    </row>
    <row r="550" ht="16.5" customHeight="1" s="220">
      <c r="A550" s="1" t="n"/>
      <c r="B550" s="1" t="n"/>
      <c r="C550" s="2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  <c r="AR550" s="1" t="n"/>
      <c r="AS550" s="1" t="n"/>
      <c r="AT550" s="1" t="n"/>
      <c r="AU550" s="1" t="n"/>
      <c r="AV550" s="1" t="n"/>
      <c r="AW550" s="1" t="n"/>
      <c r="AX550" s="1" t="n"/>
      <c r="AY550" s="1" t="n"/>
      <c r="AZ550" s="1" t="n"/>
      <c r="BA550" s="1" t="n"/>
    </row>
    <row r="551" ht="16.5" customHeight="1" s="220">
      <c r="A551" s="1" t="n"/>
      <c r="B551" s="1" t="n"/>
      <c r="C551" s="2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  <c r="AR551" s="1" t="n"/>
      <c r="AS551" s="1" t="n"/>
      <c r="AT551" s="1" t="n"/>
      <c r="AU551" s="1" t="n"/>
      <c r="AV551" s="1" t="n"/>
      <c r="AW551" s="1" t="n"/>
      <c r="AX551" s="1" t="n"/>
      <c r="AY551" s="1" t="n"/>
      <c r="AZ551" s="1" t="n"/>
      <c r="BA551" s="1" t="n"/>
    </row>
    <row r="552" ht="16.5" customHeight="1" s="220">
      <c r="A552" s="1" t="n"/>
      <c r="B552" s="1" t="n"/>
      <c r="C552" s="2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  <c r="AR552" s="1" t="n"/>
      <c r="AS552" s="1" t="n"/>
      <c r="AT552" s="1" t="n"/>
      <c r="AU552" s="1" t="n"/>
      <c r="AV552" s="1" t="n"/>
      <c r="AW552" s="1" t="n"/>
      <c r="AX552" s="1" t="n"/>
      <c r="AY552" s="1" t="n"/>
      <c r="AZ552" s="1" t="n"/>
      <c r="BA552" s="1" t="n"/>
    </row>
    <row r="553" ht="16.5" customHeight="1" s="220">
      <c r="A553" s="1" t="n"/>
      <c r="B553" s="1" t="n"/>
      <c r="C553" s="2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  <c r="AR553" s="1" t="n"/>
      <c r="AS553" s="1" t="n"/>
      <c r="AT553" s="1" t="n"/>
      <c r="AU553" s="1" t="n"/>
      <c r="AV553" s="1" t="n"/>
      <c r="AW553" s="1" t="n"/>
      <c r="AX553" s="1" t="n"/>
      <c r="AY553" s="1" t="n"/>
      <c r="AZ553" s="1" t="n"/>
      <c r="BA553" s="1" t="n"/>
    </row>
    <row r="554" ht="16.5" customHeight="1" s="220">
      <c r="A554" s="1" t="n"/>
      <c r="B554" s="1" t="n"/>
      <c r="C554" s="2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  <c r="AR554" s="1" t="n"/>
      <c r="AS554" s="1" t="n"/>
      <c r="AT554" s="1" t="n"/>
      <c r="AU554" s="1" t="n"/>
      <c r="AV554" s="1" t="n"/>
      <c r="AW554" s="1" t="n"/>
      <c r="AX554" s="1" t="n"/>
      <c r="AY554" s="1" t="n"/>
      <c r="AZ554" s="1" t="n"/>
      <c r="BA554" s="1" t="n"/>
    </row>
    <row r="555" ht="16.5" customHeight="1" s="220">
      <c r="A555" s="1" t="n"/>
      <c r="B555" s="1" t="n"/>
      <c r="C555" s="2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  <c r="AR555" s="1" t="n"/>
      <c r="AS555" s="1" t="n"/>
      <c r="AT555" s="1" t="n"/>
      <c r="AU555" s="1" t="n"/>
      <c r="AV555" s="1" t="n"/>
      <c r="AW555" s="1" t="n"/>
      <c r="AX555" s="1" t="n"/>
      <c r="AY555" s="1" t="n"/>
      <c r="AZ555" s="1" t="n"/>
      <c r="BA555" s="1" t="n"/>
    </row>
    <row r="556" ht="16.5" customHeight="1" s="220">
      <c r="A556" s="1" t="n"/>
      <c r="B556" s="1" t="n"/>
      <c r="C556" s="2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  <c r="AR556" s="1" t="n"/>
      <c r="AS556" s="1" t="n"/>
      <c r="AT556" s="1" t="n"/>
      <c r="AU556" s="1" t="n"/>
      <c r="AV556" s="1" t="n"/>
      <c r="AW556" s="1" t="n"/>
      <c r="AX556" s="1" t="n"/>
      <c r="AY556" s="1" t="n"/>
      <c r="AZ556" s="1" t="n"/>
      <c r="BA556" s="1" t="n"/>
    </row>
    <row r="557" ht="16.5" customHeight="1" s="220">
      <c r="A557" s="1" t="n"/>
      <c r="B557" s="1" t="n"/>
      <c r="C557" s="2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  <c r="AR557" s="1" t="n"/>
      <c r="AS557" s="1" t="n"/>
      <c r="AT557" s="1" t="n"/>
      <c r="AU557" s="1" t="n"/>
      <c r="AV557" s="1" t="n"/>
      <c r="AW557" s="1" t="n"/>
      <c r="AX557" s="1" t="n"/>
      <c r="AY557" s="1" t="n"/>
      <c r="AZ557" s="1" t="n"/>
      <c r="BA557" s="1" t="n"/>
    </row>
    <row r="558" ht="16.5" customHeight="1" s="220">
      <c r="A558" s="1" t="n"/>
      <c r="B558" s="1" t="n"/>
      <c r="C558" s="2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  <c r="AR558" s="1" t="n"/>
      <c r="AS558" s="1" t="n"/>
      <c r="AT558" s="1" t="n"/>
      <c r="AU558" s="1" t="n"/>
      <c r="AV558" s="1" t="n"/>
      <c r="AW558" s="1" t="n"/>
      <c r="AX558" s="1" t="n"/>
      <c r="AY558" s="1" t="n"/>
      <c r="AZ558" s="1" t="n"/>
      <c r="BA558" s="1" t="n"/>
    </row>
    <row r="559" ht="16.5" customHeight="1" s="220">
      <c r="A559" s="1" t="n"/>
      <c r="B559" s="1" t="n"/>
      <c r="C559" s="2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  <c r="AR559" s="1" t="n"/>
      <c r="AS559" s="1" t="n"/>
      <c r="AT559" s="1" t="n"/>
      <c r="AU559" s="1" t="n"/>
      <c r="AV559" s="1" t="n"/>
      <c r="AW559" s="1" t="n"/>
      <c r="AX559" s="1" t="n"/>
      <c r="AY559" s="1" t="n"/>
      <c r="AZ559" s="1" t="n"/>
      <c r="BA559" s="1" t="n"/>
    </row>
    <row r="560" ht="16.5" customHeight="1" s="220">
      <c r="A560" s="1" t="n"/>
      <c r="B560" s="1" t="n"/>
      <c r="C560" s="2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  <c r="AR560" s="1" t="n"/>
      <c r="AS560" s="1" t="n"/>
      <c r="AT560" s="1" t="n"/>
      <c r="AU560" s="1" t="n"/>
      <c r="AV560" s="1" t="n"/>
      <c r="AW560" s="1" t="n"/>
      <c r="AX560" s="1" t="n"/>
      <c r="AY560" s="1" t="n"/>
      <c r="AZ560" s="1" t="n"/>
      <c r="BA560" s="1" t="n"/>
    </row>
    <row r="561" ht="16.5" customHeight="1" s="220">
      <c r="A561" s="1" t="n"/>
      <c r="B561" s="1" t="n"/>
      <c r="C561" s="2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  <c r="AR561" s="1" t="n"/>
      <c r="AS561" s="1" t="n"/>
      <c r="AT561" s="1" t="n"/>
      <c r="AU561" s="1" t="n"/>
      <c r="AV561" s="1" t="n"/>
      <c r="AW561" s="1" t="n"/>
      <c r="AX561" s="1" t="n"/>
      <c r="AY561" s="1" t="n"/>
      <c r="AZ561" s="1" t="n"/>
      <c r="BA561" s="1" t="n"/>
    </row>
    <row r="562" ht="16.5" customHeight="1" s="220">
      <c r="A562" s="1" t="n"/>
      <c r="B562" s="1" t="n"/>
      <c r="C562" s="2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  <c r="AR562" s="1" t="n"/>
      <c r="AS562" s="1" t="n"/>
      <c r="AT562" s="1" t="n"/>
      <c r="AU562" s="1" t="n"/>
      <c r="AV562" s="1" t="n"/>
      <c r="AW562" s="1" t="n"/>
      <c r="AX562" s="1" t="n"/>
      <c r="AY562" s="1" t="n"/>
      <c r="AZ562" s="1" t="n"/>
      <c r="BA562" s="1" t="n"/>
    </row>
    <row r="563" ht="16.5" customHeight="1" s="220">
      <c r="A563" s="1" t="n"/>
      <c r="B563" s="1" t="n"/>
      <c r="C563" s="2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  <c r="AR563" s="1" t="n"/>
      <c r="AS563" s="1" t="n"/>
      <c r="AT563" s="1" t="n"/>
      <c r="AU563" s="1" t="n"/>
      <c r="AV563" s="1" t="n"/>
      <c r="AW563" s="1" t="n"/>
      <c r="AX563" s="1" t="n"/>
      <c r="AY563" s="1" t="n"/>
      <c r="AZ563" s="1" t="n"/>
      <c r="BA563" s="1" t="n"/>
    </row>
    <row r="564" ht="16.5" customHeight="1" s="220">
      <c r="A564" s="1" t="n"/>
      <c r="B564" s="1" t="n"/>
      <c r="C564" s="2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Q564" s="1" t="n"/>
      <c r="AR564" s="1" t="n"/>
      <c r="AS564" s="1" t="n"/>
      <c r="AT564" s="1" t="n"/>
      <c r="AU564" s="1" t="n"/>
      <c r="AV564" s="1" t="n"/>
      <c r="AW564" s="1" t="n"/>
      <c r="AX564" s="1" t="n"/>
      <c r="AY564" s="1" t="n"/>
      <c r="AZ564" s="1" t="n"/>
      <c r="BA564" s="1" t="n"/>
    </row>
    <row r="565" ht="16.5" customHeight="1" s="220">
      <c r="A565" s="1" t="n"/>
      <c r="B565" s="1" t="n"/>
      <c r="C565" s="2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  <c r="AR565" s="1" t="n"/>
      <c r="AS565" s="1" t="n"/>
      <c r="AT565" s="1" t="n"/>
      <c r="AU565" s="1" t="n"/>
      <c r="AV565" s="1" t="n"/>
      <c r="AW565" s="1" t="n"/>
      <c r="AX565" s="1" t="n"/>
      <c r="AY565" s="1" t="n"/>
      <c r="AZ565" s="1" t="n"/>
      <c r="BA565" s="1" t="n"/>
    </row>
    <row r="566" ht="16.5" customHeight="1" s="220">
      <c r="A566" s="1" t="n"/>
      <c r="B566" s="1" t="n"/>
      <c r="C566" s="2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  <c r="AR566" s="1" t="n"/>
      <c r="AS566" s="1" t="n"/>
      <c r="AT566" s="1" t="n"/>
      <c r="AU566" s="1" t="n"/>
      <c r="AV566" s="1" t="n"/>
      <c r="AW566" s="1" t="n"/>
      <c r="AX566" s="1" t="n"/>
      <c r="AY566" s="1" t="n"/>
      <c r="AZ566" s="1" t="n"/>
      <c r="BA566" s="1" t="n"/>
    </row>
    <row r="567" ht="16.5" customHeight="1" s="220">
      <c r="A567" s="1" t="n"/>
      <c r="B567" s="1" t="n"/>
      <c r="C567" s="2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  <c r="AR567" s="1" t="n"/>
      <c r="AS567" s="1" t="n"/>
      <c r="AT567" s="1" t="n"/>
      <c r="AU567" s="1" t="n"/>
      <c r="AV567" s="1" t="n"/>
      <c r="AW567" s="1" t="n"/>
      <c r="AX567" s="1" t="n"/>
      <c r="AY567" s="1" t="n"/>
      <c r="AZ567" s="1" t="n"/>
      <c r="BA567" s="1" t="n"/>
    </row>
    <row r="568" ht="16.5" customHeight="1" s="220">
      <c r="A568" s="1" t="n"/>
      <c r="B568" s="1" t="n"/>
      <c r="C568" s="2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  <c r="AR568" s="1" t="n"/>
      <c r="AS568" s="1" t="n"/>
      <c r="AT568" s="1" t="n"/>
      <c r="AU568" s="1" t="n"/>
      <c r="AV568" s="1" t="n"/>
      <c r="AW568" s="1" t="n"/>
      <c r="AX568" s="1" t="n"/>
      <c r="AY568" s="1" t="n"/>
      <c r="AZ568" s="1" t="n"/>
      <c r="BA568" s="1" t="n"/>
    </row>
    <row r="569" ht="16.5" customHeight="1" s="220">
      <c r="A569" s="1" t="n"/>
      <c r="B569" s="1" t="n"/>
      <c r="C569" s="2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  <c r="AR569" s="1" t="n"/>
      <c r="AS569" s="1" t="n"/>
      <c r="AT569" s="1" t="n"/>
      <c r="AU569" s="1" t="n"/>
      <c r="AV569" s="1" t="n"/>
      <c r="AW569" s="1" t="n"/>
      <c r="AX569" s="1" t="n"/>
      <c r="AY569" s="1" t="n"/>
      <c r="AZ569" s="1" t="n"/>
      <c r="BA569" s="1" t="n"/>
    </row>
    <row r="570" ht="16.5" customHeight="1" s="220">
      <c r="A570" s="1" t="n"/>
      <c r="B570" s="1" t="n"/>
      <c r="C570" s="2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Q570" s="1" t="n"/>
      <c r="AR570" s="1" t="n"/>
      <c r="AS570" s="1" t="n"/>
      <c r="AT570" s="1" t="n"/>
      <c r="AU570" s="1" t="n"/>
      <c r="AV570" s="1" t="n"/>
      <c r="AW570" s="1" t="n"/>
      <c r="AX570" s="1" t="n"/>
      <c r="AY570" s="1" t="n"/>
      <c r="AZ570" s="1" t="n"/>
      <c r="BA570" s="1" t="n"/>
    </row>
    <row r="571" ht="16.5" customHeight="1" s="220">
      <c r="A571" s="1" t="n"/>
      <c r="B571" s="1" t="n"/>
      <c r="C571" s="2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  <c r="AR571" s="1" t="n"/>
      <c r="AS571" s="1" t="n"/>
      <c r="AT571" s="1" t="n"/>
      <c r="AU571" s="1" t="n"/>
      <c r="AV571" s="1" t="n"/>
      <c r="AW571" s="1" t="n"/>
      <c r="AX571" s="1" t="n"/>
      <c r="AY571" s="1" t="n"/>
      <c r="AZ571" s="1" t="n"/>
      <c r="BA571" s="1" t="n"/>
    </row>
    <row r="572" ht="16.5" customHeight="1" s="220">
      <c r="A572" s="1" t="n"/>
      <c r="B572" s="1" t="n"/>
      <c r="C572" s="2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Q572" s="1" t="n"/>
      <c r="AR572" s="1" t="n"/>
      <c r="AS572" s="1" t="n"/>
      <c r="AT572" s="1" t="n"/>
      <c r="AU572" s="1" t="n"/>
      <c r="AV572" s="1" t="n"/>
      <c r="AW572" s="1" t="n"/>
      <c r="AX572" s="1" t="n"/>
      <c r="AY572" s="1" t="n"/>
      <c r="AZ572" s="1" t="n"/>
      <c r="BA572" s="1" t="n"/>
    </row>
    <row r="573" ht="16.5" customHeight="1" s="220">
      <c r="A573" s="1" t="n"/>
      <c r="B573" s="1" t="n"/>
      <c r="C573" s="2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  <c r="AR573" s="1" t="n"/>
      <c r="AS573" s="1" t="n"/>
      <c r="AT573" s="1" t="n"/>
      <c r="AU573" s="1" t="n"/>
      <c r="AV573" s="1" t="n"/>
      <c r="AW573" s="1" t="n"/>
      <c r="AX573" s="1" t="n"/>
      <c r="AY573" s="1" t="n"/>
      <c r="AZ573" s="1" t="n"/>
      <c r="BA573" s="1" t="n"/>
    </row>
    <row r="574" ht="16.5" customHeight="1" s="220">
      <c r="A574" s="1" t="n"/>
      <c r="B574" s="1" t="n"/>
      <c r="C574" s="2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  <c r="AR574" s="1" t="n"/>
      <c r="AS574" s="1" t="n"/>
      <c r="AT574" s="1" t="n"/>
      <c r="AU574" s="1" t="n"/>
      <c r="AV574" s="1" t="n"/>
      <c r="AW574" s="1" t="n"/>
      <c r="AX574" s="1" t="n"/>
      <c r="AY574" s="1" t="n"/>
      <c r="AZ574" s="1" t="n"/>
      <c r="BA574" s="1" t="n"/>
    </row>
    <row r="575" ht="16.5" customHeight="1" s="220">
      <c r="A575" s="1" t="n"/>
      <c r="B575" s="1" t="n"/>
      <c r="C575" s="2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  <c r="AR575" s="1" t="n"/>
      <c r="AS575" s="1" t="n"/>
      <c r="AT575" s="1" t="n"/>
      <c r="AU575" s="1" t="n"/>
      <c r="AV575" s="1" t="n"/>
      <c r="AW575" s="1" t="n"/>
      <c r="AX575" s="1" t="n"/>
      <c r="AY575" s="1" t="n"/>
      <c r="AZ575" s="1" t="n"/>
      <c r="BA575" s="1" t="n"/>
    </row>
    <row r="576" ht="16.5" customHeight="1" s="220">
      <c r="A576" s="1" t="n"/>
      <c r="B576" s="1" t="n"/>
      <c r="C576" s="2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  <c r="AR576" s="1" t="n"/>
      <c r="AS576" s="1" t="n"/>
      <c r="AT576" s="1" t="n"/>
      <c r="AU576" s="1" t="n"/>
      <c r="AV576" s="1" t="n"/>
      <c r="AW576" s="1" t="n"/>
      <c r="AX576" s="1" t="n"/>
      <c r="AY576" s="1" t="n"/>
      <c r="AZ576" s="1" t="n"/>
      <c r="BA576" s="1" t="n"/>
    </row>
    <row r="577" ht="16.5" customHeight="1" s="220">
      <c r="A577" s="1" t="n"/>
      <c r="B577" s="1" t="n"/>
      <c r="C577" s="2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  <c r="AR577" s="1" t="n"/>
      <c r="AS577" s="1" t="n"/>
      <c r="AT577" s="1" t="n"/>
      <c r="AU577" s="1" t="n"/>
      <c r="AV577" s="1" t="n"/>
      <c r="AW577" s="1" t="n"/>
      <c r="AX577" s="1" t="n"/>
      <c r="AY577" s="1" t="n"/>
      <c r="AZ577" s="1" t="n"/>
      <c r="BA577" s="1" t="n"/>
    </row>
    <row r="578" ht="16.5" customHeight="1" s="220">
      <c r="A578" s="1" t="n"/>
      <c r="B578" s="1" t="n"/>
      <c r="C578" s="2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  <c r="AR578" s="1" t="n"/>
      <c r="AS578" s="1" t="n"/>
      <c r="AT578" s="1" t="n"/>
      <c r="AU578" s="1" t="n"/>
      <c r="AV578" s="1" t="n"/>
      <c r="AW578" s="1" t="n"/>
      <c r="AX578" s="1" t="n"/>
      <c r="AY578" s="1" t="n"/>
      <c r="AZ578" s="1" t="n"/>
      <c r="BA578" s="1" t="n"/>
    </row>
    <row r="579" ht="16.5" customHeight="1" s="220">
      <c r="A579" s="1" t="n"/>
      <c r="B579" s="1" t="n"/>
      <c r="C579" s="2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  <c r="AR579" s="1" t="n"/>
      <c r="AS579" s="1" t="n"/>
      <c r="AT579" s="1" t="n"/>
      <c r="AU579" s="1" t="n"/>
      <c r="AV579" s="1" t="n"/>
      <c r="AW579" s="1" t="n"/>
      <c r="AX579" s="1" t="n"/>
      <c r="AY579" s="1" t="n"/>
      <c r="AZ579" s="1" t="n"/>
      <c r="BA579" s="1" t="n"/>
    </row>
    <row r="580" ht="16.5" customHeight="1" s="220">
      <c r="A580" s="1" t="n"/>
      <c r="B580" s="1" t="n"/>
      <c r="C580" s="2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  <c r="AR580" s="1" t="n"/>
      <c r="AS580" s="1" t="n"/>
      <c r="AT580" s="1" t="n"/>
      <c r="AU580" s="1" t="n"/>
      <c r="AV580" s="1" t="n"/>
      <c r="AW580" s="1" t="n"/>
      <c r="AX580" s="1" t="n"/>
      <c r="AY580" s="1" t="n"/>
      <c r="AZ580" s="1" t="n"/>
      <c r="BA580" s="1" t="n"/>
    </row>
    <row r="581" ht="16.5" customHeight="1" s="220">
      <c r="A581" s="1" t="n"/>
      <c r="B581" s="1" t="n"/>
      <c r="C581" s="2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  <c r="AR581" s="1" t="n"/>
      <c r="AS581" s="1" t="n"/>
      <c r="AT581" s="1" t="n"/>
      <c r="AU581" s="1" t="n"/>
      <c r="AV581" s="1" t="n"/>
      <c r="AW581" s="1" t="n"/>
      <c r="AX581" s="1" t="n"/>
      <c r="AY581" s="1" t="n"/>
      <c r="AZ581" s="1" t="n"/>
      <c r="BA581" s="1" t="n"/>
    </row>
    <row r="582" ht="16.5" customHeight="1" s="220">
      <c r="A582" s="1" t="n"/>
      <c r="B582" s="1" t="n"/>
      <c r="C582" s="2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Q582" s="1" t="n"/>
      <c r="AR582" s="1" t="n"/>
      <c r="AS582" s="1" t="n"/>
      <c r="AT582" s="1" t="n"/>
      <c r="AU582" s="1" t="n"/>
      <c r="AV582" s="1" t="n"/>
      <c r="AW582" s="1" t="n"/>
      <c r="AX582" s="1" t="n"/>
      <c r="AY582" s="1" t="n"/>
      <c r="AZ582" s="1" t="n"/>
      <c r="BA582" s="1" t="n"/>
    </row>
    <row r="583" ht="16.5" customHeight="1" s="220">
      <c r="A583" s="1" t="n"/>
      <c r="B583" s="1" t="n"/>
      <c r="C583" s="2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  <c r="AR583" s="1" t="n"/>
      <c r="AS583" s="1" t="n"/>
      <c r="AT583" s="1" t="n"/>
      <c r="AU583" s="1" t="n"/>
      <c r="AV583" s="1" t="n"/>
      <c r="AW583" s="1" t="n"/>
      <c r="AX583" s="1" t="n"/>
      <c r="AY583" s="1" t="n"/>
      <c r="AZ583" s="1" t="n"/>
      <c r="BA583" s="1" t="n"/>
    </row>
    <row r="584" ht="16.5" customHeight="1" s="220">
      <c r="A584" s="1" t="n"/>
      <c r="B584" s="1" t="n"/>
      <c r="C584" s="2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  <c r="AR584" s="1" t="n"/>
      <c r="AS584" s="1" t="n"/>
      <c r="AT584" s="1" t="n"/>
      <c r="AU584" s="1" t="n"/>
      <c r="AV584" s="1" t="n"/>
      <c r="AW584" s="1" t="n"/>
      <c r="AX584" s="1" t="n"/>
      <c r="AY584" s="1" t="n"/>
      <c r="AZ584" s="1" t="n"/>
      <c r="BA584" s="1" t="n"/>
    </row>
    <row r="585" ht="16.5" customHeight="1" s="220">
      <c r="A585" s="1" t="n"/>
      <c r="B585" s="1" t="n"/>
      <c r="C585" s="2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  <c r="AR585" s="1" t="n"/>
      <c r="AS585" s="1" t="n"/>
      <c r="AT585" s="1" t="n"/>
      <c r="AU585" s="1" t="n"/>
      <c r="AV585" s="1" t="n"/>
      <c r="AW585" s="1" t="n"/>
      <c r="AX585" s="1" t="n"/>
      <c r="AY585" s="1" t="n"/>
      <c r="AZ585" s="1" t="n"/>
      <c r="BA585" s="1" t="n"/>
    </row>
    <row r="586" ht="16.5" customHeight="1" s="220">
      <c r="A586" s="1" t="n"/>
      <c r="B586" s="1" t="n"/>
      <c r="C586" s="2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  <c r="AR586" s="1" t="n"/>
      <c r="AS586" s="1" t="n"/>
      <c r="AT586" s="1" t="n"/>
      <c r="AU586" s="1" t="n"/>
      <c r="AV586" s="1" t="n"/>
      <c r="AW586" s="1" t="n"/>
      <c r="AX586" s="1" t="n"/>
      <c r="AY586" s="1" t="n"/>
      <c r="AZ586" s="1" t="n"/>
      <c r="BA586" s="1" t="n"/>
    </row>
    <row r="587" ht="16.5" customHeight="1" s="220">
      <c r="A587" s="1" t="n"/>
      <c r="B587" s="1" t="n"/>
      <c r="C587" s="2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  <c r="AR587" s="1" t="n"/>
      <c r="AS587" s="1" t="n"/>
      <c r="AT587" s="1" t="n"/>
      <c r="AU587" s="1" t="n"/>
      <c r="AV587" s="1" t="n"/>
      <c r="AW587" s="1" t="n"/>
      <c r="AX587" s="1" t="n"/>
      <c r="AY587" s="1" t="n"/>
      <c r="AZ587" s="1" t="n"/>
      <c r="BA587" s="1" t="n"/>
    </row>
    <row r="588" ht="16.5" customHeight="1" s="220">
      <c r="A588" s="1" t="n"/>
      <c r="B588" s="1" t="n"/>
      <c r="C588" s="2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Q588" s="1" t="n"/>
      <c r="AR588" s="1" t="n"/>
      <c r="AS588" s="1" t="n"/>
      <c r="AT588" s="1" t="n"/>
      <c r="AU588" s="1" t="n"/>
      <c r="AV588" s="1" t="n"/>
      <c r="AW588" s="1" t="n"/>
      <c r="AX588" s="1" t="n"/>
      <c r="AY588" s="1" t="n"/>
      <c r="AZ588" s="1" t="n"/>
      <c r="BA588" s="1" t="n"/>
    </row>
    <row r="589" ht="16.5" customHeight="1" s="220">
      <c r="A589" s="1" t="n"/>
      <c r="B589" s="1" t="n"/>
      <c r="C589" s="2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  <c r="AR589" s="1" t="n"/>
      <c r="AS589" s="1" t="n"/>
      <c r="AT589" s="1" t="n"/>
      <c r="AU589" s="1" t="n"/>
      <c r="AV589" s="1" t="n"/>
      <c r="AW589" s="1" t="n"/>
      <c r="AX589" s="1" t="n"/>
      <c r="AY589" s="1" t="n"/>
      <c r="AZ589" s="1" t="n"/>
      <c r="BA589" s="1" t="n"/>
    </row>
    <row r="590" ht="16.5" customHeight="1" s="220">
      <c r="A590" s="1" t="n"/>
      <c r="B590" s="1" t="n"/>
      <c r="C590" s="2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  <c r="AR590" s="1" t="n"/>
      <c r="AS590" s="1" t="n"/>
      <c r="AT590" s="1" t="n"/>
      <c r="AU590" s="1" t="n"/>
      <c r="AV590" s="1" t="n"/>
      <c r="AW590" s="1" t="n"/>
      <c r="AX590" s="1" t="n"/>
      <c r="AY590" s="1" t="n"/>
      <c r="AZ590" s="1" t="n"/>
      <c r="BA590" s="1" t="n"/>
    </row>
    <row r="591" ht="16.5" customHeight="1" s="220">
      <c r="A591" s="1" t="n"/>
      <c r="B591" s="1" t="n"/>
      <c r="C591" s="2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  <c r="AR591" s="1" t="n"/>
      <c r="AS591" s="1" t="n"/>
      <c r="AT591" s="1" t="n"/>
      <c r="AU591" s="1" t="n"/>
      <c r="AV591" s="1" t="n"/>
      <c r="AW591" s="1" t="n"/>
      <c r="AX591" s="1" t="n"/>
      <c r="AY591" s="1" t="n"/>
      <c r="AZ591" s="1" t="n"/>
      <c r="BA591" s="1" t="n"/>
    </row>
    <row r="592" ht="16.5" customHeight="1" s="220">
      <c r="A592" s="1" t="n"/>
      <c r="B592" s="1" t="n"/>
      <c r="C592" s="2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Q592" s="1" t="n"/>
      <c r="AR592" s="1" t="n"/>
      <c r="AS592" s="1" t="n"/>
      <c r="AT592" s="1" t="n"/>
      <c r="AU592" s="1" t="n"/>
      <c r="AV592" s="1" t="n"/>
      <c r="AW592" s="1" t="n"/>
      <c r="AX592" s="1" t="n"/>
      <c r="AY592" s="1" t="n"/>
      <c r="AZ592" s="1" t="n"/>
      <c r="BA592" s="1" t="n"/>
    </row>
    <row r="593" ht="16.5" customHeight="1" s="220">
      <c r="A593" s="1" t="n"/>
      <c r="B593" s="1" t="n"/>
      <c r="C593" s="2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  <c r="AR593" s="1" t="n"/>
      <c r="AS593" s="1" t="n"/>
      <c r="AT593" s="1" t="n"/>
      <c r="AU593" s="1" t="n"/>
      <c r="AV593" s="1" t="n"/>
      <c r="AW593" s="1" t="n"/>
      <c r="AX593" s="1" t="n"/>
      <c r="AY593" s="1" t="n"/>
      <c r="AZ593" s="1" t="n"/>
      <c r="BA593" s="1" t="n"/>
    </row>
    <row r="594" ht="16.5" customHeight="1" s="220">
      <c r="A594" s="1" t="n"/>
      <c r="B594" s="1" t="n"/>
      <c r="C594" s="2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Q594" s="1" t="n"/>
      <c r="AR594" s="1" t="n"/>
      <c r="AS594" s="1" t="n"/>
      <c r="AT594" s="1" t="n"/>
      <c r="AU594" s="1" t="n"/>
      <c r="AV594" s="1" t="n"/>
      <c r="AW594" s="1" t="n"/>
      <c r="AX594" s="1" t="n"/>
      <c r="AY594" s="1" t="n"/>
      <c r="AZ594" s="1" t="n"/>
      <c r="BA594" s="1" t="n"/>
    </row>
    <row r="595" ht="16.5" customHeight="1" s="220">
      <c r="A595" s="1" t="n"/>
      <c r="B595" s="1" t="n"/>
      <c r="C595" s="2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  <c r="AR595" s="1" t="n"/>
      <c r="AS595" s="1" t="n"/>
      <c r="AT595" s="1" t="n"/>
      <c r="AU595" s="1" t="n"/>
      <c r="AV595" s="1" t="n"/>
      <c r="AW595" s="1" t="n"/>
      <c r="AX595" s="1" t="n"/>
      <c r="AY595" s="1" t="n"/>
      <c r="AZ595" s="1" t="n"/>
      <c r="BA595" s="1" t="n"/>
    </row>
    <row r="596" ht="16.5" customHeight="1" s="220">
      <c r="A596" s="1" t="n"/>
      <c r="B596" s="1" t="n"/>
      <c r="C596" s="2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  <c r="AR596" s="1" t="n"/>
      <c r="AS596" s="1" t="n"/>
      <c r="AT596" s="1" t="n"/>
      <c r="AU596" s="1" t="n"/>
      <c r="AV596" s="1" t="n"/>
      <c r="AW596" s="1" t="n"/>
      <c r="AX596" s="1" t="n"/>
      <c r="AY596" s="1" t="n"/>
      <c r="AZ596" s="1" t="n"/>
      <c r="BA596" s="1" t="n"/>
    </row>
    <row r="597" ht="16.5" customHeight="1" s="220">
      <c r="A597" s="1" t="n"/>
      <c r="B597" s="1" t="n"/>
      <c r="C597" s="2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  <c r="AR597" s="1" t="n"/>
      <c r="AS597" s="1" t="n"/>
      <c r="AT597" s="1" t="n"/>
      <c r="AU597" s="1" t="n"/>
      <c r="AV597" s="1" t="n"/>
      <c r="AW597" s="1" t="n"/>
      <c r="AX597" s="1" t="n"/>
      <c r="AY597" s="1" t="n"/>
      <c r="AZ597" s="1" t="n"/>
      <c r="BA597" s="1" t="n"/>
    </row>
    <row r="598" ht="16.5" customHeight="1" s="220">
      <c r="A598" s="1" t="n"/>
      <c r="B598" s="1" t="n"/>
      <c r="C598" s="2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Q598" s="1" t="n"/>
      <c r="AR598" s="1" t="n"/>
      <c r="AS598" s="1" t="n"/>
      <c r="AT598" s="1" t="n"/>
      <c r="AU598" s="1" t="n"/>
      <c r="AV598" s="1" t="n"/>
      <c r="AW598" s="1" t="n"/>
      <c r="AX598" s="1" t="n"/>
      <c r="AY598" s="1" t="n"/>
      <c r="AZ598" s="1" t="n"/>
      <c r="BA598" s="1" t="n"/>
    </row>
    <row r="599" ht="16.5" customHeight="1" s="220">
      <c r="A599" s="1" t="n"/>
      <c r="B599" s="1" t="n"/>
      <c r="C599" s="2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  <c r="AR599" s="1" t="n"/>
      <c r="AS599" s="1" t="n"/>
      <c r="AT599" s="1" t="n"/>
      <c r="AU599" s="1" t="n"/>
      <c r="AV599" s="1" t="n"/>
      <c r="AW599" s="1" t="n"/>
      <c r="AX599" s="1" t="n"/>
      <c r="AY599" s="1" t="n"/>
      <c r="AZ599" s="1" t="n"/>
      <c r="BA599" s="1" t="n"/>
    </row>
    <row r="600" ht="16.5" customHeight="1" s="220">
      <c r="A600" s="1" t="n"/>
      <c r="B600" s="1" t="n"/>
      <c r="C600" s="2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Q600" s="1" t="n"/>
      <c r="AR600" s="1" t="n"/>
      <c r="AS600" s="1" t="n"/>
      <c r="AT600" s="1" t="n"/>
      <c r="AU600" s="1" t="n"/>
      <c r="AV600" s="1" t="n"/>
      <c r="AW600" s="1" t="n"/>
      <c r="AX600" s="1" t="n"/>
      <c r="AY600" s="1" t="n"/>
      <c r="AZ600" s="1" t="n"/>
      <c r="BA600" s="1" t="n"/>
    </row>
    <row r="601" ht="16.5" customHeight="1" s="220">
      <c r="A601" s="1" t="n"/>
      <c r="B601" s="1" t="n"/>
      <c r="C601" s="2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  <c r="AR601" s="1" t="n"/>
      <c r="AS601" s="1" t="n"/>
      <c r="AT601" s="1" t="n"/>
      <c r="AU601" s="1" t="n"/>
      <c r="AV601" s="1" t="n"/>
      <c r="AW601" s="1" t="n"/>
      <c r="AX601" s="1" t="n"/>
      <c r="AY601" s="1" t="n"/>
      <c r="AZ601" s="1" t="n"/>
      <c r="BA601" s="1" t="n"/>
    </row>
    <row r="602" ht="16.5" customHeight="1" s="220">
      <c r="A602" s="1" t="n"/>
      <c r="B602" s="1" t="n"/>
      <c r="C602" s="2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Q602" s="1" t="n"/>
      <c r="AR602" s="1" t="n"/>
      <c r="AS602" s="1" t="n"/>
      <c r="AT602" s="1" t="n"/>
      <c r="AU602" s="1" t="n"/>
      <c r="AV602" s="1" t="n"/>
      <c r="AW602" s="1" t="n"/>
      <c r="AX602" s="1" t="n"/>
      <c r="AY602" s="1" t="n"/>
      <c r="AZ602" s="1" t="n"/>
      <c r="BA602" s="1" t="n"/>
    </row>
    <row r="603" ht="16.5" customHeight="1" s="220">
      <c r="A603" s="1" t="n"/>
      <c r="B603" s="1" t="n"/>
      <c r="C603" s="2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  <c r="AR603" s="1" t="n"/>
      <c r="AS603" s="1" t="n"/>
      <c r="AT603" s="1" t="n"/>
      <c r="AU603" s="1" t="n"/>
      <c r="AV603" s="1" t="n"/>
      <c r="AW603" s="1" t="n"/>
      <c r="AX603" s="1" t="n"/>
      <c r="AY603" s="1" t="n"/>
      <c r="AZ603" s="1" t="n"/>
      <c r="BA603" s="1" t="n"/>
    </row>
    <row r="604" ht="16.5" customHeight="1" s="220">
      <c r="A604" s="1" t="n"/>
      <c r="B604" s="1" t="n"/>
      <c r="C604" s="2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  <c r="AR604" s="1" t="n"/>
      <c r="AS604" s="1" t="n"/>
      <c r="AT604" s="1" t="n"/>
      <c r="AU604" s="1" t="n"/>
      <c r="AV604" s="1" t="n"/>
      <c r="AW604" s="1" t="n"/>
      <c r="AX604" s="1" t="n"/>
      <c r="AY604" s="1" t="n"/>
      <c r="AZ604" s="1" t="n"/>
      <c r="BA604" s="1" t="n"/>
    </row>
    <row r="605" ht="16.5" customHeight="1" s="220">
      <c r="A605" s="1" t="n"/>
      <c r="B605" s="1" t="n"/>
      <c r="C605" s="2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  <c r="AR605" s="1" t="n"/>
      <c r="AS605" s="1" t="n"/>
      <c r="AT605" s="1" t="n"/>
      <c r="AU605" s="1" t="n"/>
      <c r="AV605" s="1" t="n"/>
      <c r="AW605" s="1" t="n"/>
      <c r="AX605" s="1" t="n"/>
      <c r="AY605" s="1" t="n"/>
      <c r="AZ605" s="1" t="n"/>
      <c r="BA605" s="1" t="n"/>
    </row>
    <row r="606" ht="16.5" customHeight="1" s="220">
      <c r="A606" s="1" t="n"/>
      <c r="B606" s="1" t="n"/>
      <c r="C606" s="2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  <c r="AR606" s="1" t="n"/>
      <c r="AS606" s="1" t="n"/>
      <c r="AT606" s="1" t="n"/>
      <c r="AU606" s="1" t="n"/>
      <c r="AV606" s="1" t="n"/>
      <c r="AW606" s="1" t="n"/>
      <c r="AX606" s="1" t="n"/>
      <c r="AY606" s="1" t="n"/>
      <c r="AZ606" s="1" t="n"/>
      <c r="BA606" s="1" t="n"/>
    </row>
    <row r="607" ht="16.5" customHeight="1" s="220">
      <c r="A607" s="1" t="n"/>
      <c r="B607" s="1" t="n"/>
      <c r="C607" s="2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  <c r="AR607" s="1" t="n"/>
      <c r="AS607" s="1" t="n"/>
      <c r="AT607" s="1" t="n"/>
      <c r="AU607" s="1" t="n"/>
      <c r="AV607" s="1" t="n"/>
      <c r="AW607" s="1" t="n"/>
      <c r="AX607" s="1" t="n"/>
      <c r="AY607" s="1" t="n"/>
      <c r="AZ607" s="1" t="n"/>
      <c r="BA607" s="1" t="n"/>
    </row>
    <row r="608" ht="16.5" customHeight="1" s="220">
      <c r="A608" s="1" t="n"/>
      <c r="B608" s="1" t="n"/>
      <c r="C608" s="2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  <c r="AR608" s="1" t="n"/>
      <c r="AS608" s="1" t="n"/>
      <c r="AT608" s="1" t="n"/>
      <c r="AU608" s="1" t="n"/>
      <c r="AV608" s="1" t="n"/>
      <c r="AW608" s="1" t="n"/>
      <c r="AX608" s="1" t="n"/>
      <c r="AY608" s="1" t="n"/>
      <c r="AZ608" s="1" t="n"/>
      <c r="BA608" s="1" t="n"/>
    </row>
    <row r="609" ht="16.5" customHeight="1" s="220">
      <c r="A609" s="1" t="n"/>
      <c r="B609" s="1" t="n"/>
      <c r="C609" s="2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  <c r="AR609" s="1" t="n"/>
      <c r="AS609" s="1" t="n"/>
      <c r="AT609" s="1" t="n"/>
      <c r="AU609" s="1" t="n"/>
      <c r="AV609" s="1" t="n"/>
      <c r="AW609" s="1" t="n"/>
      <c r="AX609" s="1" t="n"/>
      <c r="AY609" s="1" t="n"/>
      <c r="AZ609" s="1" t="n"/>
      <c r="BA609" s="1" t="n"/>
    </row>
    <row r="610" ht="16.5" customHeight="1" s="220">
      <c r="A610" s="1" t="n"/>
      <c r="B610" s="1" t="n"/>
      <c r="C610" s="2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  <c r="AR610" s="1" t="n"/>
      <c r="AS610" s="1" t="n"/>
      <c r="AT610" s="1" t="n"/>
      <c r="AU610" s="1" t="n"/>
      <c r="AV610" s="1" t="n"/>
      <c r="AW610" s="1" t="n"/>
      <c r="AX610" s="1" t="n"/>
      <c r="AY610" s="1" t="n"/>
      <c r="AZ610" s="1" t="n"/>
      <c r="BA610" s="1" t="n"/>
    </row>
    <row r="611" ht="16.5" customHeight="1" s="220">
      <c r="A611" s="1" t="n"/>
      <c r="B611" s="1" t="n"/>
      <c r="C611" s="2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  <c r="AR611" s="1" t="n"/>
      <c r="AS611" s="1" t="n"/>
      <c r="AT611" s="1" t="n"/>
      <c r="AU611" s="1" t="n"/>
      <c r="AV611" s="1" t="n"/>
      <c r="AW611" s="1" t="n"/>
      <c r="AX611" s="1" t="n"/>
      <c r="AY611" s="1" t="n"/>
      <c r="AZ611" s="1" t="n"/>
      <c r="BA611" s="1" t="n"/>
    </row>
    <row r="612" ht="16.5" customHeight="1" s="220">
      <c r="A612" s="1" t="n"/>
      <c r="B612" s="1" t="n"/>
      <c r="C612" s="2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  <c r="AR612" s="1" t="n"/>
      <c r="AS612" s="1" t="n"/>
      <c r="AT612" s="1" t="n"/>
      <c r="AU612" s="1" t="n"/>
      <c r="AV612" s="1" t="n"/>
      <c r="AW612" s="1" t="n"/>
      <c r="AX612" s="1" t="n"/>
      <c r="AY612" s="1" t="n"/>
      <c r="AZ612" s="1" t="n"/>
      <c r="BA612" s="1" t="n"/>
    </row>
    <row r="613" ht="16.5" customHeight="1" s="220">
      <c r="A613" s="1" t="n"/>
      <c r="B613" s="1" t="n"/>
      <c r="C613" s="2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  <c r="AR613" s="1" t="n"/>
      <c r="AS613" s="1" t="n"/>
      <c r="AT613" s="1" t="n"/>
      <c r="AU613" s="1" t="n"/>
      <c r="AV613" s="1" t="n"/>
      <c r="AW613" s="1" t="n"/>
      <c r="AX613" s="1" t="n"/>
      <c r="AY613" s="1" t="n"/>
      <c r="AZ613" s="1" t="n"/>
      <c r="BA613" s="1" t="n"/>
    </row>
    <row r="614" ht="16.5" customHeight="1" s="220">
      <c r="A614" s="1" t="n"/>
      <c r="B614" s="1" t="n"/>
      <c r="C614" s="2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  <c r="AR614" s="1" t="n"/>
      <c r="AS614" s="1" t="n"/>
      <c r="AT614" s="1" t="n"/>
      <c r="AU614" s="1" t="n"/>
      <c r="AV614" s="1" t="n"/>
      <c r="AW614" s="1" t="n"/>
      <c r="AX614" s="1" t="n"/>
      <c r="AY614" s="1" t="n"/>
      <c r="AZ614" s="1" t="n"/>
      <c r="BA614" s="1" t="n"/>
    </row>
    <row r="615" ht="16.5" customHeight="1" s="220">
      <c r="A615" s="1" t="n"/>
      <c r="B615" s="1" t="n"/>
      <c r="C615" s="2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  <c r="AR615" s="1" t="n"/>
      <c r="AS615" s="1" t="n"/>
      <c r="AT615" s="1" t="n"/>
      <c r="AU615" s="1" t="n"/>
      <c r="AV615" s="1" t="n"/>
      <c r="AW615" s="1" t="n"/>
      <c r="AX615" s="1" t="n"/>
      <c r="AY615" s="1" t="n"/>
      <c r="AZ615" s="1" t="n"/>
      <c r="BA615" s="1" t="n"/>
    </row>
    <row r="616" ht="16.5" customHeight="1" s="220">
      <c r="A616" s="1" t="n"/>
      <c r="B616" s="1" t="n"/>
      <c r="C616" s="2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  <c r="AR616" s="1" t="n"/>
      <c r="AS616" s="1" t="n"/>
      <c r="AT616" s="1" t="n"/>
      <c r="AU616" s="1" t="n"/>
      <c r="AV616" s="1" t="n"/>
      <c r="AW616" s="1" t="n"/>
      <c r="AX616" s="1" t="n"/>
      <c r="AY616" s="1" t="n"/>
      <c r="AZ616" s="1" t="n"/>
      <c r="BA616" s="1" t="n"/>
    </row>
    <row r="617" ht="16.5" customHeight="1" s="220">
      <c r="A617" s="1" t="n"/>
      <c r="B617" s="1" t="n"/>
      <c r="C617" s="2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  <c r="AR617" s="1" t="n"/>
      <c r="AS617" s="1" t="n"/>
      <c r="AT617" s="1" t="n"/>
      <c r="AU617" s="1" t="n"/>
      <c r="AV617" s="1" t="n"/>
      <c r="AW617" s="1" t="n"/>
      <c r="AX617" s="1" t="n"/>
      <c r="AY617" s="1" t="n"/>
      <c r="AZ617" s="1" t="n"/>
      <c r="BA617" s="1" t="n"/>
    </row>
    <row r="618" ht="16.5" customHeight="1" s="220">
      <c r="A618" s="1" t="n"/>
      <c r="B618" s="1" t="n"/>
      <c r="C618" s="2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  <c r="AR618" s="1" t="n"/>
      <c r="AS618" s="1" t="n"/>
      <c r="AT618" s="1" t="n"/>
      <c r="AU618" s="1" t="n"/>
      <c r="AV618" s="1" t="n"/>
      <c r="AW618" s="1" t="n"/>
      <c r="AX618" s="1" t="n"/>
      <c r="AY618" s="1" t="n"/>
      <c r="AZ618" s="1" t="n"/>
      <c r="BA618" s="1" t="n"/>
    </row>
    <row r="619" ht="16.5" customHeight="1" s="220">
      <c r="A619" s="1" t="n"/>
      <c r="B619" s="1" t="n"/>
      <c r="C619" s="2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  <c r="AR619" s="1" t="n"/>
      <c r="AS619" s="1" t="n"/>
      <c r="AT619" s="1" t="n"/>
      <c r="AU619" s="1" t="n"/>
      <c r="AV619" s="1" t="n"/>
      <c r="AW619" s="1" t="n"/>
      <c r="AX619" s="1" t="n"/>
      <c r="AY619" s="1" t="n"/>
      <c r="AZ619" s="1" t="n"/>
      <c r="BA619" s="1" t="n"/>
    </row>
    <row r="620" ht="16.5" customHeight="1" s="220">
      <c r="A620" s="1" t="n"/>
      <c r="B620" s="1" t="n"/>
      <c r="C620" s="2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Q620" s="1" t="n"/>
      <c r="AR620" s="1" t="n"/>
      <c r="AS620" s="1" t="n"/>
      <c r="AT620" s="1" t="n"/>
      <c r="AU620" s="1" t="n"/>
      <c r="AV620" s="1" t="n"/>
      <c r="AW620" s="1" t="n"/>
      <c r="AX620" s="1" t="n"/>
      <c r="AY620" s="1" t="n"/>
      <c r="AZ620" s="1" t="n"/>
      <c r="BA620" s="1" t="n"/>
    </row>
    <row r="621" ht="16.5" customHeight="1" s="220">
      <c r="A621" s="1" t="n"/>
      <c r="B621" s="1" t="n"/>
      <c r="C621" s="2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  <c r="AR621" s="1" t="n"/>
      <c r="AS621" s="1" t="n"/>
      <c r="AT621" s="1" t="n"/>
      <c r="AU621" s="1" t="n"/>
      <c r="AV621" s="1" t="n"/>
      <c r="AW621" s="1" t="n"/>
      <c r="AX621" s="1" t="n"/>
      <c r="AY621" s="1" t="n"/>
      <c r="AZ621" s="1" t="n"/>
      <c r="BA621" s="1" t="n"/>
    </row>
    <row r="622" ht="16.5" customHeight="1" s="220">
      <c r="A622" s="1" t="n"/>
      <c r="B622" s="1" t="n"/>
      <c r="C622" s="2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  <c r="AR622" s="1" t="n"/>
      <c r="AS622" s="1" t="n"/>
      <c r="AT622" s="1" t="n"/>
      <c r="AU622" s="1" t="n"/>
      <c r="AV622" s="1" t="n"/>
      <c r="AW622" s="1" t="n"/>
      <c r="AX622" s="1" t="n"/>
      <c r="AY622" s="1" t="n"/>
      <c r="AZ622" s="1" t="n"/>
      <c r="BA622" s="1" t="n"/>
    </row>
    <row r="623" ht="16.5" customHeight="1" s="220">
      <c r="A623" s="1" t="n"/>
      <c r="B623" s="1" t="n"/>
      <c r="C623" s="2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  <c r="AR623" s="1" t="n"/>
      <c r="AS623" s="1" t="n"/>
      <c r="AT623" s="1" t="n"/>
      <c r="AU623" s="1" t="n"/>
      <c r="AV623" s="1" t="n"/>
      <c r="AW623" s="1" t="n"/>
      <c r="AX623" s="1" t="n"/>
      <c r="AY623" s="1" t="n"/>
      <c r="AZ623" s="1" t="n"/>
      <c r="BA623" s="1" t="n"/>
    </row>
    <row r="624" ht="16.5" customHeight="1" s="220">
      <c r="A624" s="1" t="n"/>
      <c r="B624" s="1" t="n"/>
      <c r="C624" s="2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  <c r="AR624" s="1" t="n"/>
      <c r="AS624" s="1" t="n"/>
      <c r="AT624" s="1" t="n"/>
      <c r="AU624" s="1" t="n"/>
      <c r="AV624" s="1" t="n"/>
      <c r="AW624" s="1" t="n"/>
      <c r="AX624" s="1" t="n"/>
      <c r="AY624" s="1" t="n"/>
      <c r="AZ624" s="1" t="n"/>
      <c r="BA624" s="1" t="n"/>
    </row>
    <row r="625" ht="16.5" customHeight="1" s="220">
      <c r="A625" s="1" t="n"/>
      <c r="B625" s="1" t="n"/>
      <c r="C625" s="2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  <c r="AR625" s="1" t="n"/>
      <c r="AS625" s="1" t="n"/>
      <c r="AT625" s="1" t="n"/>
      <c r="AU625" s="1" t="n"/>
      <c r="AV625" s="1" t="n"/>
      <c r="AW625" s="1" t="n"/>
      <c r="AX625" s="1" t="n"/>
      <c r="AY625" s="1" t="n"/>
      <c r="AZ625" s="1" t="n"/>
      <c r="BA625" s="1" t="n"/>
    </row>
    <row r="626" ht="16.5" customHeight="1" s="220">
      <c r="A626" s="1" t="n"/>
      <c r="B626" s="1" t="n"/>
      <c r="C626" s="2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  <c r="AR626" s="1" t="n"/>
      <c r="AS626" s="1" t="n"/>
      <c r="AT626" s="1" t="n"/>
      <c r="AU626" s="1" t="n"/>
      <c r="AV626" s="1" t="n"/>
      <c r="AW626" s="1" t="n"/>
      <c r="AX626" s="1" t="n"/>
      <c r="AY626" s="1" t="n"/>
      <c r="AZ626" s="1" t="n"/>
      <c r="BA626" s="1" t="n"/>
    </row>
    <row r="627" ht="16.5" customHeight="1" s="220">
      <c r="A627" s="1" t="n"/>
      <c r="B627" s="1" t="n"/>
      <c r="C627" s="2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  <c r="AR627" s="1" t="n"/>
      <c r="AS627" s="1" t="n"/>
      <c r="AT627" s="1" t="n"/>
      <c r="AU627" s="1" t="n"/>
      <c r="AV627" s="1" t="n"/>
      <c r="AW627" s="1" t="n"/>
      <c r="AX627" s="1" t="n"/>
      <c r="AY627" s="1" t="n"/>
      <c r="AZ627" s="1" t="n"/>
      <c r="BA627" s="1" t="n"/>
    </row>
    <row r="628" ht="16.5" customHeight="1" s="220">
      <c r="A628" s="1" t="n"/>
      <c r="B628" s="1" t="n"/>
      <c r="C628" s="2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  <c r="AR628" s="1" t="n"/>
      <c r="AS628" s="1" t="n"/>
      <c r="AT628" s="1" t="n"/>
      <c r="AU628" s="1" t="n"/>
      <c r="AV628" s="1" t="n"/>
      <c r="AW628" s="1" t="n"/>
      <c r="AX628" s="1" t="n"/>
      <c r="AY628" s="1" t="n"/>
      <c r="AZ628" s="1" t="n"/>
      <c r="BA628" s="1" t="n"/>
    </row>
    <row r="629" ht="16.5" customHeight="1" s="220">
      <c r="A629" s="1" t="n"/>
      <c r="B629" s="1" t="n"/>
      <c r="C629" s="2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  <c r="AR629" s="1" t="n"/>
      <c r="AS629" s="1" t="n"/>
      <c r="AT629" s="1" t="n"/>
      <c r="AU629" s="1" t="n"/>
      <c r="AV629" s="1" t="n"/>
      <c r="AW629" s="1" t="n"/>
      <c r="AX629" s="1" t="n"/>
      <c r="AY629" s="1" t="n"/>
      <c r="AZ629" s="1" t="n"/>
      <c r="BA629" s="1" t="n"/>
    </row>
    <row r="630" ht="16.5" customHeight="1" s="220">
      <c r="A630" s="1" t="n"/>
      <c r="B630" s="1" t="n"/>
      <c r="C630" s="2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  <c r="AR630" s="1" t="n"/>
      <c r="AS630" s="1" t="n"/>
      <c r="AT630" s="1" t="n"/>
      <c r="AU630" s="1" t="n"/>
      <c r="AV630" s="1" t="n"/>
      <c r="AW630" s="1" t="n"/>
      <c r="AX630" s="1" t="n"/>
      <c r="AY630" s="1" t="n"/>
      <c r="AZ630" s="1" t="n"/>
      <c r="BA630" s="1" t="n"/>
    </row>
    <row r="631" ht="16.5" customHeight="1" s="220">
      <c r="A631" s="1" t="n"/>
      <c r="B631" s="1" t="n"/>
      <c r="C631" s="2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  <c r="AR631" s="1" t="n"/>
      <c r="AS631" s="1" t="n"/>
      <c r="AT631" s="1" t="n"/>
      <c r="AU631" s="1" t="n"/>
      <c r="AV631" s="1" t="n"/>
      <c r="AW631" s="1" t="n"/>
      <c r="AX631" s="1" t="n"/>
      <c r="AY631" s="1" t="n"/>
      <c r="AZ631" s="1" t="n"/>
      <c r="BA631" s="1" t="n"/>
    </row>
    <row r="632" ht="16.5" customHeight="1" s="220">
      <c r="A632" s="1" t="n"/>
      <c r="B632" s="1" t="n"/>
      <c r="C632" s="2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  <c r="AR632" s="1" t="n"/>
      <c r="AS632" s="1" t="n"/>
      <c r="AT632" s="1" t="n"/>
      <c r="AU632" s="1" t="n"/>
      <c r="AV632" s="1" t="n"/>
      <c r="AW632" s="1" t="n"/>
      <c r="AX632" s="1" t="n"/>
      <c r="AY632" s="1" t="n"/>
      <c r="AZ632" s="1" t="n"/>
      <c r="BA632" s="1" t="n"/>
    </row>
    <row r="633" ht="16.5" customHeight="1" s="220">
      <c r="A633" s="1" t="n"/>
      <c r="B633" s="1" t="n"/>
      <c r="C633" s="2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  <c r="AR633" s="1" t="n"/>
      <c r="AS633" s="1" t="n"/>
      <c r="AT633" s="1" t="n"/>
      <c r="AU633" s="1" t="n"/>
      <c r="AV633" s="1" t="n"/>
      <c r="AW633" s="1" t="n"/>
      <c r="AX633" s="1" t="n"/>
      <c r="AY633" s="1" t="n"/>
      <c r="AZ633" s="1" t="n"/>
      <c r="BA633" s="1" t="n"/>
    </row>
    <row r="634" ht="16.5" customHeight="1" s="220">
      <c r="A634" s="1" t="n"/>
      <c r="B634" s="1" t="n"/>
      <c r="C634" s="2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Q634" s="1" t="n"/>
      <c r="AR634" s="1" t="n"/>
      <c r="AS634" s="1" t="n"/>
      <c r="AT634" s="1" t="n"/>
      <c r="AU634" s="1" t="n"/>
      <c r="AV634" s="1" t="n"/>
      <c r="AW634" s="1" t="n"/>
      <c r="AX634" s="1" t="n"/>
      <c r="AY634" s="1" t="n"/>
      <c r="AZ634" s="1" t="n"/>
      <c r="BA634" s="1" t="n"/>
    </row>
    <row r="635" ht="16.5" customHeight="1" s="220">
      <c r="A635" s="1" t="n"/>
      <c r="B635" s="1" t="n"/>
      <c r="C635" s="2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  <c r="AR635" s="1" t="n"/>
      <c r="AS635" s="1" t="n"/>
      <c r="AT635" s="1" t="n"/>
      <c r="AU635" s="1" t="n"/>
      <c r="AV635" s="1" t="n"/>
      <c r="AW635" s="1" t="n"/>
      <c r="AX635" s="1" t="n"/>
      <c r="AY635" s="1" t="n"/>
      <c r="AZ635" s="1" t="n"/>
      <c r="BA635" s="1" t="n"/>
    </row>
    <row r="636" ht="16.5" customHeight="1" s="220">
      <c r="A636" s="1" t="n"/>
      <c r="B636" s="1" t="n"/>
      <c r="C636" s="2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Q636" s="1" t="n"/>
      <c r="AR636" s="1" t="n"/>
      <c r="AS636" s="1" t="n"/>
      <c r="AT636" s="1" t="n"/>
      <c r="AU636" s="1" t="n"/>
      <c r="AV636" s="1" t="n"/>
      <c r="AW636" s="1" t="n"/>
      <c r="AX636" s="1" t="n"/>
      <c r="AY636" s="1" t="n"/>
      <c r="AZ636" s="1" t="n"/>
      <c r="BA636" s="1" t="n"/>
    </row>
    <row r="637" ht="16.5" customHeight="1" s="220">
      <c r="A637" s="1" t="n"/>
      <c r="B637" s="1" t="n"/>
      <c r="C637" s="2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  <c r="AR637" s="1" t="n"/>
      <c r="AS637" s="1" t="n"/>
      <c r="AT637" s="1" t="n"/>
      <c r="AU637" s="1" t="n"/>
      <c r="AV637" s="1" t="n"/>
      <c r="AW637" s="1" t="n"/>
      <c r="AX637" s="1" t="n"/>
      <c r="AY637" s="1" t="n"/>
      <c r="AZ637" s="1" t="n"/>
      <c r="BA637" s="1" t="n"/>
    </row>
    <row r="638" ht="16.5" customHeight="1" s="220">
      <c r="A638" s="1" t="n"/>
      <c r="B638" s="1" t="n"/>
      <c r="C638" s="2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  <c r="AR638" s="1" t="n"/>
      <c r="AS638" s="1" t="n"/>
      <c r="AT638" s="1" t="n"/>
      <c r="AU638" s="1" t="n"/>
      <c r="AV638" s="1" t="n"/>
      <c r="AW638" s="1" t="n"/>
      <c r="AX638" s="1" t="n"/>
      <c r="AY638" s="1" t="n"/>
      <c r="AZ638" s="1" t="n"/>
      <c r="BA638" s="1" t="n"/>
    </row>
    <row r="639" ht="16.5" customHeight="1" s="220">
      <c r="A639" s="1" t="n"/>
      <c r="B639" s="1" t="n"/>
      <c r="C639" s="2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  <c r="AR639" s="1" t="n"/>
      <c r="AS639" s="1" t="n"/>
      <c r="AT639" s="1" t="n"/>
      <c r="AU639" s="1" t="n"/>
      <c r="AV639" s="1" t="n"/>
      <c r="AW639" s="1" t="n"/>
      <c r="AX639" s="1" t="n"/>
      <c r="AY639" s="1" t="n"/>
      <c r="AZ639" s="1" t="n"/>
      <c r="BA639" s="1" t="n"/>
    </row>
    <row r="640" ht="16.5" customHeight="1" s="220">
      <c r="A640" s="1" t="n"/>
      <c r="B640" s="1" t="n"/>
      <c r="C640" s="2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  <c r="AR640" s="1" t="n"/>
      <c r="AS640" s="1" t="n"/>
      <c r="AT640" s="1" t="n"/>
      <c r="AU640" s="1" t="n"/>
      <c r="AV640" s="1" t="n"/>
      <c r="AW640" s="1" t="n"/>
      <c r="AX640" s="1" t="n"/>
      <c r="AY640" s="1" t="n"/>
      <c r="AZ640" s="1" t="n"/>
      <c r="BA640" s="1" t="n"/>
    </row>
    <row r="641" ht="16.5" customHeight="1" s="220">
      <c r="A641" s="1" t="n"/>
      <c r="B641" s="1" t="n"/>
      <c r="C641" s="2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  <c r="AR641" s="1" t="n"/>
      <c r="AS641" s="1" t="n"/>
      <c r="AT641" s="1" t="n"/>
      <c r="AU641" s="1" t="n"/>
      <c r="AV641" s="1" t="n"/>
      <c r="AW641" s="1" t="n"/>
      <c r="AX641" s="1" t="n"/>
      <c r="AY641" s="1" t="n"/>
      <c r="AZ641" s="1" t="n"/>
      <c r="BA641" s="1" t="n"/>
    </row>
    <row r="642" ht="16.5" customHeight="1" s="220">
      <c r="A642" s="1" t="n"/>
      <c r="B642" s="1" t="n"/>
      <c r="C642" s="2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  <c r="AR642" s="1" t="n"/>
      <c r="AS642" s="1" t="n"/>
      <c r="AT642" s="1" t="n"/>
      <c r="AU642" s="1" t="n"/>
      <c r="AV642" s="1" t="n"/>
      <c r="AW642" s="1" t="n"/>
      <c r="AX642" s="1" t="n"/>
      <c r="AY642" s="1" t="n"/>
      <c r="AZ642" s="1" t="n"/>
      <c r="BA642" s="1" t="n"/>
    </row>
    <row r="643" ht="16.5" customHeight="1" s="220">
      <c r="A643" s="1" t="n"/>
      <c r="B643" s="1" t="n"/>
      <c r="C643" s="2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  <c r="AR643" s="1" t="n"/>
      <c r="AS643" s="1" t="n"/>
      <c r="AT643" s="1" t="n"/>
      <c r="AU643" s="1" t="n"/>
      <c r="AV643" s="1" t="n"/>
      <c r="AW643" s="1" t="n"/>
      <c r="AX643" s="1" t="n"/>
      <c r="AY643" s="1" t="n"/>
      <c r="AZ643" s="1" t="n"/>
      <c r="BA643" s="1" t="n"/>
    </row>
    <row r="644" ht="16.5" customHeight="1" s="220">
      <c r="A644" s="1" t="n"/>
      <c r="B644" s="1" t="n"/>
      <c r="C644" s="2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  <c r="AR644" s="1" t="n"/>
      <c r="AS644" s="1" t="n"/>
      <c r="AT644" s="1" t="n"/>
      <c r="AU644" s="1" t="n"/>
      <c r="AV644" s="1" t="n"/>
      <c r="AW644" s="1" t="n"/>
      <c r="AX644" s="1" t="n"/>
      <c r="AY644" s="1" t="n"/>
      <c r="AZ644" s="1" t="n"/>
      <c r="BA644" s="1" t="n"/>
    </row>
    <row r="645" ht="16.5" customHeight="1" s="220">
      <c r="A645" s="1" t="n"/>
      <c r="B645" s="1" t="n"/>
      <c r="C645" s="2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  <c r="AR645" s="1" t="n"/>
      <c r="AS645" s="1" t="n"/>
      <c r="AT645" s="1" t="n"/>
      <c r="AU645" s="1" t="n"/>
      <c r="AV645" s="1" t="n"/>
      <c r="AW645" s="1" t="n"/>
      <c r="AX645" s="1" t="n"/>
      <c r="AY645" s="1" t="n"/>
      <c r="AZ645" s="1" t="n"/>
      <c r="BA645" s="1" t="n"/>
    </row>
    <row r="646" ht="16.5" customHeight="1" s="220">
      <c r="A646" s="1" t="n"/>
      <c r="B646" s="1" t="n"/>
      <c r="C646" s="2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  <c r="AR646" s="1" t="n"/>
      <c r="AS646" s="1" t="n"/>
      <c r="AT646" s="1" t="n"/>
      <c r="AU646" s="1" t="n"/>
      <c r="AV646" s="1" t="n"/>
      <c r="AW646" s="1" t="n"/>
      <c r="AX646" s="1" t="n"/>
      <c r="AY646" s="1" t="n"/>
      <c r="AZ646" s="1" t="n"/>
      <c r="BA646" s="1" t="n"/>
    </row>
    <row r="647" ht="16.5" customHeight="1" s="220">
      <c r="A647" s="1" t="n"/>
      <c r="B647" s="1" t="n"/>
      <c r="C647" s="2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  <c r="AR647" s="1" t="n"/>
      <c r="AS647" s="1" t="n"/>
      <c r="AT647" s="1" t="n"/>
      <c r="AU647" s="1" t="n"/>
      <c r="AV647" s="1" t="n"/>
      <c r="AW647" s="1" t="n"/>
      <c r="AX647" s="1" t="n"/>
      <c r="AY647" s="1" t="n"/>
      <c r="AZ647" s="1" t="n"/>
      <c r="BA647" s="1" t="n"/>
    </row>
    <row r="648" ht="16.5" customHeight="1" s="220">
      <c r="A648" s="1" t="n"/>
      <c r="B648" s="1" t="n"/>
      <c r="C648" s="2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  <c r="AR648" s="1" t="n"/>
      <c r="AS648" s="1" t="n"/>
      <c r="AT648" s="1" t="n"/>
      <c r="AU648" s="1" t="n"/>
      <c r="AV648" s="1" t="n"/>
      <c r="AW648" s="1" t="n"/>
      <c r="AX648" s="1" t="n"/>
      <c r="AY648" s="1" t="n"/>
      <c r="AZ648" s="1" t="n"/>
      <c r="BA648" s="1" t="n"/>
    </row>
    <row r="649" ht="16.5" customHeight="1" s="220">
      <c r="A649" s="1" t="n"/>
      <c r="B649" s="1" t="n"/>
      <c r="C649" s="2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  <c r="AR649" s="1" t="n"/>
      <c r="AS649" s="1" t="n"/>
      <c r="AT649" s="1" t="n"/>
      <c r="AU649" s="1" t="n"/>
      <c r="AV649" s="1" t="n"/>
      <c r="AW649" s="1" t="n"/>
      <c r="AX649" s="1" t="n"/>
      <c r="AY649" s="1" t="n"/>
      <c r="AZ649" s="1" t="n"/>
      <c r="BA649" s="1" t="n"/>
    </row>
    <row r="650" ht="16.5" customHeight="1" s="220">
      <c r="A650" s="1" t="n"/>
      <c r="B650" s="1" t="n"/>
      <c r="C650" s="2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  <c r="AR650" s="1" t="n"/>
      <c r="AS650" s="1" t="n"/>
      <c r="AT650" s="1" t="n"/>
      <c r="AU650" s="1" t="n"/>
      <c r="AV650" s="1" t="n"/>
      <c r="AW650" s="1" t="n"/>
      <c r="AX650" s="1" t="n"/>
      <c r="AY650" s="1" t="n"/>
      <c r="AZ650" s="1" t="n"/>
      <c r="BA650" s="1" t="n"/>
    </row>
    <row r="651" ht="16.5" customHeight="1" s="220">
      <c r="A651" s="1" t="n"/>
      <c r="B651" s="1" t="n"/>
      <c r="C651" s="2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  <c r="AR651" s="1" t="n"/>
      <c r="AS651" s="1" t="n"/>
      <c r="AT651" s="1" t="n"/>
      <c r="AU651" s="1" t="n"/>
      <c r="AV651" s="1" t="n"/>
      <c r="AW651" s="1" t="n"/>
      <c r="AX651" s="1" t="n"/>
      <c r="AY651" s="1" t="n"/>
      <c r="AZ651" s="1" t="n"/>
      <c r="BA651" s="1" t="n"/>
    </row>
    <row r="652" ht="16.5" customHeight="1" s="220">
      <c r="A652" s="1" t="n"/>
      <c r="B652" s="1" t="n"/>
      <c r="C652" s="2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  <c r="AR652" s="1" t="n"/>
      <c r="AS652" s="1" t="n"/>
      <c r="AT652" s="1" t="n"/>
      <c r="AU652" s="1" t="n"/>
      <c r="AV652" s="1" t="n"/>
      <c r="AW652" s="1" t="n"/>
      <c r="AX652" s="1" t="n"/>
      <c r="AY652" s="1" t="n"/>
      <c r="AZ652" s="1" t="n"/>
      <c r="BA652" s="1" t="n"/>
    </row>
    <row r="653" ht="16.5" customHeight="1" s="220">
      <c r="A653" s="1" t="n"/>
      <c r="B653" s="1" t="n"/>
      <c r="C653" s="2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  <c r="AR653" s="1" t="n"/>
      <c r="AS653" s="1" t="n"/>
      <c r="AT653" s="1" t="n"/>
      <c r="AU653" s="1" t="n"/>
      <c r="AV653" s="1" t="n"/>
      <c r="AW653" s="1" t="n"/>
      <c r="AX653" s="1" t="n"/>
      <c r="AY653" s="1" t="n"/>
      <c r="AZ653" s="1" t="n"/>
      <c r="BA653" s="1" t="n"/>
    </row>
    <row r="654" ht="16.5" customHeight="1" s="220">
      <c r="A654" s="1" t="n"/>
      <c r="B654" s="1" t="n"/>
      <c r="C654" s="2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  <c r="AR654" s="1" t="n"/>
      <c r="AS654" s="1" t="n"/>
      <c r="AT654" s="1" t="n"/>
      <c r="AU654" s="1" t="n"/>
      <c r="AV654" s="1" t="n"/>
      <c r="AW654" s="1" t="n"/>
      <c r="AX654" s="1" t="n"/>
      <c r="AY654" s="1" t="n"/>
      <c r="AZ654" s="1" t="n"/>
      <c r="BA654" s="1" t="n"/>
    </row>
    <row r="655" ht="16.5" customHeight="1" s="220">
      <c r="A655" s="1" t="n"/>
      <c r="B655" s="1" t="n"/>
      <c r="C655" s="2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  <c r="AR655" s="1" t="n"/>
      <c r="AS655" s="1" t="n"/>
      <c r="AT655" s="1" t="n"/>
      <c r="AU655" s="1" t="n"/>
      <c r="AV655" s="1" t="n"/>
      <c r="AW655" s="1" t="n"/>
      <c r="AX655" s="1" t="n"/>
      <c r="AY655" s="1" t="n"/>
      <c r="AZ655" s="1" t="n"/>
      <c r="BA655" s="1" t="n"/>
    </row>
    <row r="656" ht="16.5" customHeight="1" s="220">
      <c r="A656" s="1" t="n"/>
      <c r="B656" s="1" t="n"/>
      <c r="C656" s="2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  <c r="AR656" s="1" t="n"/>
      <c r="AS656" s="1" t="n"/>
      <c r="AT656" s="1" t="n"/>
      <c r="AU656" s="1" t="n"/>
      <c r="AV656" s="1" t="n"/>
      <c r="AW656" s="1" t="n"/>
      <c r="AX656" s="1" t="n"/>
      <c r="AY656" s="1" t="n"/>
      <c r="AZ656" s="1" t="n"/>
      <c r="BA656" s="1" t="n"/>
    </row>
    <row r="657" ht="16.5" customHeight="1" s="220">
      <c r="A657" s="1" t="n"/>
      <c r="B657" s="1" t="n"/>
      <c r="C657" s="2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  <c r="AW657" s="1" t="n"/>
      <c r="AX657" s="1" t="n"/>
      <c r="AY657" s="1" t="n"/>
      <c r="AZ657" s="1" t="n"/>
      <c r="BA657" s="1" t="n"/>
    </row>
    <row r="658" ht="16.5" customHeight="1" s="220">
      <c r="A658" s="1" t="n"/>
      <c r="B658" s="1" t="n"/>
      <c r="C658" s="2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</row>
    <row r="659" ht="16.5" customHeight="1" s="220">
      <c r="A659" s="1" t="n"/>
      <c r="B659" s="1" t="n"/>
      <c r="C659" s="2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</row>
    <row r="660" ht="16.5" customHeight="1" s="220">
      <c r="A660" s="1" t="n"/>
      <c r="B660" s="1" t="n"/>
      <c r="C660" s="2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</row>
    <row r="661" ht="16.5" customHeight="1" s="220">
      <c r="A661" s="1" t="n"/>
      <c r="B661" s="1" t="n"/>
      <c r="C661" s="2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</row>
    <row r="662" ht="16.5" customHeight="1" s="220">
      <c r="A662" s="1" t="n"/>
      <c r="B662" s="1" t="n"/>
      <c r="C662" s="2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  <c r="AY662" s="1" t="n"/>
      <c r="AZ662" s="1" t="n"/>
      <c r="BA662" s="1" t="n"/>
    </row>
    <row r="663" ht="16.5" customHeight="1" s="220">
      <c r="A663" s="1" t="n"/>
      <c r="B663" s="1" t="n"/>
      <c r="C663" s="2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  <c r="AR663" s="1" t="n"/>
      <c r="AS663" s="1" t="n"/>
      <c r="AT663" s="1" t="n"/>
      <c r="AU663" s="1" t="n"/>
      <c r="AV663" s="1" t="n"/>
      <c r="AW663" s="1" t="n"/>
      <c r="AX663" s="1" t="n"/>
      <c r="AY663" s="1" t="n"/>
      <c r="AZ663" s="1" t="n"/>
      <c r="BA663" s="1" t="n"/>
    </row>
    <row r="664" ht="16.5" customHeight="1" s="220">
      <c r="A664" s="1" t="n"/>
      <c r="B664" s="1" t="n"/>
      <c r="C664" s="2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  <c r="AR664" s="1" t="n"/>
      <c r="AS664" s="1" t="n"/>
      <c r="AT664" s="1" t="n"/>
      <c r="AU664" s="1" t="n"/>
      <c r="AV664" s="1" t="n"/>
      <c r="AW664" s="1" t="n"/>
      <c r="AX664" s="1" t="n"/>
      <c r="AY664" s="1" t="n"/>
      <c r="AZ664" s="1" t="n"/>
      <c r="BA664" s="1" t="n"/>
    </row>
    <row r="665" ht="16.5" customHeight="1" s="220">
      <c r="A665" s="1" t="n"/>
      <c r="B665" s="1" t="n"/>
      <c r="C665" s="2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  <c r="AR665" s="1" t="n"/>
      <c r="AS665" s="1" t="n"/>
      <c r="AT665" s="1" t="n"/>
      <c r="AU665" s="1" t="n"/>
      <c r="AV665" s="1" t="n"/>
      <c r="AW665" s="1" t="n"/>
      <c r="AX665" s="1" t="n"/>
      <c r="AY665" s="1" t="n"/>
      <c r="AZ665" s="1" t="n"/>
      <c r="BA665" s="1" t="n"/>
    </row>
    <row r="666" ht="16.5" customHeight="1" s="220">
      <c r="A666" s="1" t="n"/>
      <c r="B666" s="1" t="n"/>
      <c r="C666" s="2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  <c r="AR666" s="1" t="n"/>
      <c r="AS666" s="1" t="n"/>
      <c r="AT666" s="1" t="n"/>
      <c r="AU666" s="1" t="n"/>
      <c r="AV666" s="1" t="n"/>
      <c r="AW666" s="1" t="n"/>
      <c r="AX666" s="1" t="n"/>
      <c r="AY666" s="1" t="n"/>
      <c r="AZ666" s="1" t="n"/>
      <c r="BA666" s="1" t="n"/>
    </row>
    <row r="667" ht="16.5" customHeight="1" s="220">
      <c r="A667" s="1" t="n"/>
      <c r="B667" s="1" t="n"/>
      <c r="C667" s="2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  <c r="AR667" s="1" t="n"/>
      <c r="AS667" s="1" t="n"/>
      <c r="AT667" s="1" t="n"/>
      <c r="AU667" s="1" t="n"/>
      <c r="AV667" s="1" t="n"/>
      <c r="AW667" s="1" t="n"/>
      <c r="AX667" s="1" t="n"/>
      <c r="AY667" s="1" t="n"/>
      <c r="AZ667" s="1" t="n"/>
      <c r="BA667" s="1" t="n"/>
    </row>
    <row r="668" ht="16.5" customHeight="1" s="220">
      <c r="A668" s="1" t="n"/>
      <c r="B668" s="1" t="n"/>
      <c r="C668" s="2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  <c r="AR668" s="1" t="n"/>
      <c r="AS668" s="1" t="n"/>
      <c r="AT668" s="1" t="n"/>
      <c r="AU668" s="1" t="n"/>
      <c r="AV668" s="1" t="n"/>
      <c r="AW668" s="1" t="n"/>
      <c r="AX668" s="1" t="n"/>
      <c r="AY668" s="1" t="n"/>
      <c r="AZ668" s="1" t="n"/>
      <c r="BA668" s="1" t="n"/>
    </row>
    <row r="669" ht="16.5" customHeight="1" s="220">
      <c r="A669" s="1" t="n"/>
      <c r="B669" s="1" t="n"/>
      <c r="C669" s="2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  <c r="AR669" s="1" t="n"/>
      <c r="AS669" s="1" t="n"/>
      <c r="AT669" s="1" t="n"/>
      <c r="AU669" s="1" t="n"/>
      <c r="AV669" s="1" t="n"/>
      <c r="AW669" s="1" t="n"/>
      <c r="AX669" s="1" t="n"/>
      <c r="AY669" s="1" t="n"/>
      <c r="AZ669" s="1" t="n"/>
      <c r="BA669" s="1" t="n"/>
    </row>
    <row r="670" ht="16.5" customHeight="1" s="220">
      <c r="A670" s="1" t="n"/>
      <c r="B670" s="1" t="n"/>
      <c r="C670" s="2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  <c r="AR670" s="1" t="n"/>
      <c r="AS670" s="1" t="n"/>
      <c r="AT670" s="1" t="n"/>
      <c r="AU670" s="1" t="n"/>
      <c r="AV670" s="1" t="n"/>
      <c r="AW670" s="1" t="n"/>
      <c r="AX670" s="1" t="n"/>
      <c r="AY670" s="1" t="n"/>
      <c r="AZ670" s="1" t="n"/>
      <c r="BA670" s="1" t="n"/>
    </row>
    <row r="671" ht="16.5" customHeight="1" s="220">
      <c r="A671" s="1" t="n"/>
      <c r="B671" s="1" t="n"/>
      <c r="C671" s="2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  <c r="AR671" s="1" t="n"/>
      <c r="AS671" s="1" t="n"/>
      <c r="AT671" s="1" t="n"/>
      <c r="AU671" s="1" t="n"/>
      <c r="AV671" s="1" t="n"/>
      <c r="AW671" s="1" t="n"/>
      <c r="AX671" s="1" t="n"/>
      <c r="AY671" s="1" t="n"/>
      <c r="AZ671" s="1" t="n"/>
      <c r="BA671" s="1" t="n"/>
    </row>
    <row r="672" ht="16.5" customHeight="1" s="220">
      <c r="A672" s="1" t="n"/>
      <c r="B672" s="1" t="n"/>
      <c r="C672" s="2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  <c r="AR672" s="1" t="n"/>
      <c r="AS672" s="1" t="n"/>
      <c r="AT672" s="1" t="n"/>
      <c r="AU672" s="1" t="n"/>
      <c r="AV672" s="1" t="n"/>
      <c r="AW672" s="1" t="n"/>
      <c r="AX672" s="1" t="n"/>
      <c r="AY672" s="1" t="n"/>
      <c r="AZ672" s="1" t="n"/>
      <c r="BA672" s="1" t="n"/>
    </row>
    <row r="673" ht="16.5" customHeight="1" s="220">
      <c r="A673" s="1" t="n"/>
      <c r="B673" s="1" t="n"/>
      <c r="C673" s="2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  <c r="AR673" s="1" t="n"/>
      <c r="AS673" s="1" t="n"/>
      <c r="AT673" s="1" t="n"/>
      <c r="AU673" s="1" t="n"/>
      <c r="AV673" s="1" t="n"/>
      <c r="AW673" s="1" t="n"/>
      <c r="AX673" s="1" t="n"/>
      <c r="AY673" s="1" t="n"/>
      <c r="AZ673" s="1" t="n"/>
      <c r="BA673" s="1" t="n"/>
    </row>
    <row r="674" ht="16.5" customHeight="1" s="220">
      <c r="A674" s="1" t="n"/>
      <c r="B674" s="1" t="n"/>
      <c r="C674" s="2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  <c r="AR674" s="1" t="n"/>
      <c r="AS674" s="1" t="n"/>
      <c r="AT674" s="1" t="n"/>
      <c r="AU674" s="1" t="n"/>
      <c r="AV674" s="1" t="n"/>
      <c r="AW674" s="1" t="n"/>
      <c r="AX674" s="1" t="n"/>
      <c r="AY674" s="1" t="n"/>
      <c r="AZ674" s="1" t="n"/>
      <c r="BA674" s="1" t="n"/>
    </row>
    <row r="675" ht="16.5" customHeight="1" s="220">
      <c r="A675" s="1" t="n"/>
      <c r="B675" s="1" t="n"/>
      <c r="C675" s="2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  <c r="AR675" s="1" t="n"/>
      <c r="AS675" s="1" t="n"/>
      <c r="AT675" s="1" t="n"/>
      <c r="AU675" s="1" t="n"/>
      <c r="AV675" s="1" t="n"/>
      <c r="AW675" s="1" t="n"/>
      <c r="AX675" s="1" t="n"/>
      <c r="AY675" s="1" t="n"/>
      <c r="AZ675" s="1" t="n"/>
      <c r="BA675" s="1" t="n"/>
    </row>
    <row r="676" ht="16.5" customHeight="1" s="220">
      <c r="A676" s="1" t="n"/>
      <c r="B676" s="1" t="n"/>
      <c r="C676" s="2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Q676" s="1" t="n"/>
      <c r="AR676" s="1" t="n"/>
      <c r="AS676" s="1" t="n"/>
      <c r="AT676" s="1" t="n"/>
      <c r="AU676" s="1" t="n"/>
      <c r="AV676" s="1" t="n"/>
      <c r="AW676" s="1" t="n"/>
      <c r="AX676" s="1" t="n"/>
      <c r="AY676" s="1" t="n"/>
      <c r="AZ676" s="1" t="n"/>
      <c r="BA676" s="1" t="n"/>
    </row>
    <row r="677" ht="16.5" customHeight="1" s="220">
      <c r="A677" s="1" t="n"/>
      <c r="B677" s="1" t="n"/>
      <c r="C677" s="2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  <c r="AR677" s="1" t="n"/>
      <c r="AS677" s="1" t="n"/>
      <c r="AT677" s="1" t="n"/>
      <c r="AU677" s="1" t="n"/>
      <c r="AV677" s="1" t="n"/>
      <c r="AW677" s="1" t="n"/>
      <c r="AX677" s="1" t="n"/>
      <c r="AY677" s="1" t="n"/>
      <c r="AZ677" s="1" t="n"/>
      <c r="BA677" s="1" t="n"/>
    </row>
    <row r="678" ht="16.5" customHeight="1" s="220">
      <c r="A678" s="1" t="n"/>
      <c r="B678" s="1" t="n"/>
      <c r="C678" s="2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  <c r="AR678" s="1" t="n"/>
      <c r="AS678" s="1" t="n"/>
      <c r="AT678" s="1" t="n"/>
      <c r="AU678" s="1" t="n"/>
      <c r="AV678" s="1" t="n"/>
      <c r="AW678" s="1" t="n"/>
      <c r="AX678" s="1" t="n"/>
      <c r="AY678" s="1" t="n"/>
      <c r="AZ678" s="1" t="n"/>
      <c r="BA678" s="1" t="n"/>
    </row>
    <row r="679" ht="16.5" customHeight="1" s="220">
      <c r="A679" s="1" t="n"/>
      <c r="B679" s="1" t="n"/>
      <c r="C679" s="2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  <c r="AR679" s="1" t="n"/>
      <c r="AS679" s="1" t="n"/>
      <c r="AT679" s="1" t="n"/>
      <c r="AU679" s="1" t="n"/>
      <c r="AV679" s="1" t="n"/>
      <c r="AW679" s="1" t="n"/>
      <c r="AX679" s="1" t="n"/>
      <c r="AY679" s="1" t="n"/>
      <c r="AZ679" s="1" t="n"/>
      <c r="BA679" s="1" t="n"/>
    </row>
    <row r="680" ht="16.5" customHeight="1" s="220">
      <c r="A680" s="1" t="n"/>
      <c r="B680" s="1" t="n"/>
      <c r="C680" s="2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Q680" s="1" t="n"/>
      <c r="AR680" s="1" t="n"/>
      <c r="AS680" s="1" t="n"/>
      <c r="AT680" s="1" t="n"/>
      <c r="AU680" s="1" t="n"/>
      <c r="AV680" s="1" t="n"/>
      <c r="AW680" s="1" t="n"/>
      <c r="AX680" s="1" t="n"/>
      <c r="AY680" s="1" t="n"/>
      <c r="AZ680" s="1" t="n"/>
      <c r="BA680" s="1" t="n"/>
    </row>
    <row r="681" ht="16.5" customHeight="1" s="220">
      <c r="A681" s="1" t="n"/>
      <c r="B681" s="1" t="n"/>
      <c r="C681" s="2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  <c r="AR681" s="1" t="n"/>
      <c r="AS681" s="1" t="n"/>
      <c r="AT681" s="1" t="n"/>
      <c r="AU681" s="1" t="n"/>
      <c r="AV681" s="1" t="n"/>
      <c r="AW681" s="1" t="n"/>
      <c r="AX681" s="1" t="n"/>
      <c r="AY681" s="1" t="n"/>
      <c r="AZ681" s="1" t="n"/>
      <c r="BA681" s="1" t="n"/>
    </row>
    <row r="682" ht="16.5" customHeight="1" s="220">
      <c r="A682" s="1" t="n"/>
      <c r="B682" s="1" t="n"/>
      <c r="C682" s="2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  <c r="AR682" s="1" t="n"/>
      <c r="AS682" s="1" t="n"/>
      <c r="AT682" s="1" t="n"/>
      <c r="AU682" s="1" t="n"/>
      <c r="AV682" s="1" t="n"/>
      <c r="AW682" s="1" t="n"/>
      <c r="AX682" s="1" t="n"/>
      <c r="AY682" s="1" t="n"/>
      <c r="AZ682" s="1" t="n"/>
      <c r="BA682" s="1" t="n"/>
    </row>
    <row r="683" ht="16.5" customHeight="1" s="220">
      <c r="A683" s="1" t="n"/>
      <c r="B683" s="1" t="n"/>
      <c r="C683" s="2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  <c r="AR683" s="1" t="n"/>
      <c r="AS683" s="1" t="n"/>
      <c r="AT683" s="1" t="n"/>
      <c r="AU683" s="1" t="n"/>
      <c r="AV683" s="1" t="n"/>
      <c r="AW683" s="1" t="n"/>
      <c r="AX683" s="1" t="n"/>
      <c r="AY683" s="1" t="n"/>
      <c r="AZ683" s="1" t="n"/>
      <c r="BA683" s="1" t="n"/>
    </row>
    <row r="684" ht="16.5" customHeight="1" s="220">
      <c r="A684" s="1" t="n"/>
      <c r="B684" s="1" t="n"/>
      <c r="C684" s="2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  <c r="AR684" s="1" t="n"/>
      <c r="AS684" s="1" t="n"/>
      <c r="AT684" s="1" t="n"/>
      <c r="AU684" s="1" t="n"/>
      <c r="AV684" s="1" t="n"/>
      <c r="AW684" s="1" t="n"/>
      <c r="AX684" s="1" t="n"/>
      <c r="AY684" s="1" t="n"/>
      <c r="AZ684" s="1" t="n"/>
      <c r="BA684" s="1" t="n"/>
    </row>
    <row r="685" ht="16.5" customHeight="1" s="220">
      <c r="A685" s="1" t="n"/>
      <c r="B685" s="1" t="n"/>
      <c r="C685" s="2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  <c r="AR685" s="1" t="n"/>
      <c r="AS685" s="1" t="n"/>
      <c r="AT685" s="1" t="n"/>
      <c r="AU685" s="1" t="n"/>
      <c r="AV685" s="1" t="n"/>
      <c r="AW685" s="1" t="n"/>
      <c r="AX685" s="1" t="n"/>
      <c r="AY685" s="1" t="n"/>
      <c r="AZ685" s="1" t="n"/>
      <c r="BA685" s="1" t="n"/>
    </row>
    <row r="686" ht="16.5" customHeight="1" s="220">
      <c r="A686" s="1" t="n"/>
      <c r="B686" s="1" t="n"/>
      <c r="C686" s="2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  <c r="AR686" s="1" t="n"/>
      <c r="AS686" s="1" t="n"/>
      <c r="AT686" s="1" t="n"/>
      <c r="AU686" s="1" t="n"/>
      <c r="AV686" s="1" t="n"/>
      <c r="AW686" s="1" t="n"/>
      <c r="AX686" s="1" t="n"/>
      <c r="AY686" s="1" t="n"/>
      <c r="AZ686" s="1" t="n"/>
      <c r="BA686" s="1" t="n"/>
    </row>
    <row r="687" ht="16.5" customHeight="1" s="220">
      <c r="A687" s="1" t="n"/>
      <c r="B687" s="1" t="n"/>
      <c r="C687" s="2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  <c r="AR687" s="1" t="n"/>
      <c r="AS687" s="1" t="n"/>
      <c r="AT687" s="1" t="n"/>
      <c r="AU687" s="1" t="n"/>
      <c r="AV687" s="1" t="n"/>
      <c r="AW687" s="1" t="n"/>
      <c r="AX687" s="1" t="n"/>
      <c r="AY687" s="1" t="n"/>
      <c r="AZ687" s="1" t="n"/>
      <c r="BA687" s="1" t="n"/>
    </row>
    <row r="688" ht="16.5" customHeight="1" s="220">
      <c r="A688" s="1" t="n"/>
      <c r="B688" s="1" t="n"/>
      <c r="C688" s="2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  <c r="AR688" s="1" t="n"/>
      <c r="AS688" s="1" t="n"/>
      <c r="AT688" s="1" t="n"/>
      <c r="AU688" s="1" t="n"/>
      <c r="AV688" s="1" t="n"/>
      <c r="AW688" s="1" t="n"/>
      <c r="AX688" s="1" t="n"/>
      <c r="AY688" s="1" t="n"/>
      <c r="AZ688" s="1" t="n"/>
      <c r="BA688" s="1" t="n"/>
    </row>
    <row r="689" ht="16.5" customHeight="1" s="220">
      <c r="A689" s="1" t="n"/>
      <c r="B689" s="1" t="n"/>
      <c r="C689" s="2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  <c r="AR689" s="1" t="n"/>
      <c r="AS689" s="1" t="n"/>
      <c r="AT689" s="1" t="n"/>
      <c r="AU689" s="1" t="n"/>
      <c r="AV689" s="1" t="n"/>
      <c r="AW689" s="1" t="n"/>
      <c r="AX689" s="1" t="n"/>
      <c r="AY689" s="1" t="n"/>
      <c r="AZ689" s="1" t="n"/>
      <c r="BA689" s="1" t="n"/>
    </row>
    <row r="690" ht="16.5" customHeight="1" s="220">
      <c r="A690" s="1" t="n"/>
      <c r="B690" s="1" t="n"/>
      <c r="C690" s="2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  <c r="AR690" s="1" t="n"/>
      <c r="AS690" s="1" t="n"/>
      <c r="AT690" s="1" t="n"/>
      <c r="AU690" s="1" t="n"/>
      <c r="AV690" s="1" t="n"/>
      <c r="AW690" s="1" t="n"/>
      <c r="AX690" s="1" t="n"/>
      <c r="AY690" s="1" t="n"/>
      <c r="AZ690" s="1" t="n"/>
      <c r="BA690" s="1" t="n"/>
    </row>
    <row r="691" ht="16.5" customHeight="1" s="220">
      <c r="A691" s="1" t="n"/>
      <c r="B691" s="1" t="n"/>
      <c r="C691" s="2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  <c r="AR691" s="1" t="n"/>
      <c r="AS691" s="1" t="n"/>
      <c r="AT691" s="1" t="n"/>
      <c r="AU691" s="1" t="n"/>
      <c r="AV691" s="1" t="n"/>
      <c r="AW691" s="1" t="n"/>
      <c r="AX691" s="1" t="n"/>
      <c r="AY691" s="1" t="n"/>
      <c r="AZ691" s="1" t="n"/>
      <c r="BA691" s="1" t="n"/>
    </row>
    <row r="692" ht="16.5" customHeight="1" s="220">
      <c r="A692" s="1" t="n"/>
      <c r="B692" s="1" t="n"/>
      <c r="C692" s="2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  <c r="AR692" s="1" t="n"/>
      <c r="AS692" s="1" t="n"/>
      <c r="AT692" s="1" t="n"/>
      <c r="AU692" s="1" t="n"/>
      <c r="AV692" s="1" t="n"/>
      <c r="AW692" s="1" t="n"/>
      <c r="AX692" s="1" t="n"/>
      <c r="AY692" s="1" t="n"/>
      <c r="AZ692" s="1" t="n"/>
      <c r="BA692" s="1" t="n"/>
    </row>
    <row r="693" ht="16.5" customHeight="1" s="220">
      <c r="A693" s="1" t="n"/>
      <c r="B693" s="1" t="n"/>
      <c r="C693" s="2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  <c r="AR693" s="1" t="n"/>
      <c r="AS693" s="1" t="n"/>
      <c r="AT693" s="1" t="n"/>
      <c r="AU693" s="1" t="n"/>
      <c r="AV693" s="1" t="n"/>
      <c r="AW693" s="1" t="n"/>
      <c r="AX693" s="1" t="n"/>
      <c r="AY693" s="1" t="n"/>
      <c r="AZ693" s="1" t="n"/>
      <c r="BA693" s="1" t="n"/>
    </row>
    <row r="694" ht="16.5" customHeight="1" s="220">
      <c r="A694" s="1" t="n"/>
      <c r="B694" s="1" t="n"/>
      <c r="C694" s="2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  <c r="AR694" s="1" t="n"/>
      <c r="AS694" s="1" t="n"/>
      <c r="AT694" s="1" t="n"/>
      <c r="AU694" s="1" t="n"/>
      <c r="AV694" s="1" t="n"/>
      <c r="AW694" s="1" t="n"/>
      <c r="AX694" s="1" t="n"/>
      <c r="AY694" s="1" t="n"/>
      <c r="AZ694" s="1" t="n"/>
      <c r="BA694" s="1" t="n"/>
    </row>
    <row r="695" ht="16.5" customHeight="1" s="220">
      <c r="A695" s="1" t="n"/>
      <c r="B695" s="1" t="n"/>
      <c r="C695" s="2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  <c r="AR695" s="1" t="n"/>
      <c r="AS695" s="1" t="n"/>
      <c r="AT695" s="1" t="n"/>
      <c r="AU695" s="1" t="n"/>
      <c r="AV695" s="1" t="n"/>
      <c r="AW695" s="1" t="n"/>
      <c r="AX695" s="1" t="n"/>
      <c r="AY695" s="1" t="n"/>
      <c r="AZ695" s="1" t="n"/>
      <c r="BA695" s="1" t="n"/>
    </row>
    <row r="696" ht="16.5" customHeight="1" s="220">
      <c r="A696" s="1" t="n"/>
      <c r="B696" s="1" t="n"/>
      <c r="C696" s="2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  <c r="AR696" s="1" t="n"/>
      <c r="AS696" s="1" t="n"/>
      <c r="AT696" s="1" t="n"/>
      <c r="AU696" s="1" t="n"/>
      <c r="AV696" s="1" t="n"/>
      <c r="AW696" s="1" t="n"/>
      <c r="AX696" s="1" t="n"/>
      <c r="AY696" s="1" t="n"/>
      <c r="AZ696" s="1" t="n"/>
      <c r="BA696" s="1" t="n"/>
    </row>
    <row r="697" ht="16.5" customHeight="1" s="220">
      <c r="A697" s="1" t="n"/>
      <c r="B697" s="1" t="n"/>
      <c r="C697" s="2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  <c r="AR697" s="1" t="n"/>
      <c r="AS697" s="1" t="n"/>
      <c r="AT697" s="1" t="n"/>
      <c r="AU697" s="1" t="n"/>
      <c r="AV697" s="1" t="n"/>
      <c r="AW697" s="1" t="n"/>
      <c r="AX697" s="1" t="n"/>
      <c r="AY697" s="1" t="n"/>
      <c r="AZ697" s="1" t="n"/>
      <c r="BA697" s="1" t="n"/>
    </row>
    <row r="698" ht="16.5" customHeight="1" s="220">
      <c r="A698" s="1" t="n"/>
      <c r="B698" s="1" t="n"/>
      <c r="C698" s="2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Q698" s="1" t="n"/>
      <c r="AR698" s="1" t="n"/>
      <c r="AS698" s="1" t="n"/>
      <c r="AT698" s="1" t="n"/>
      <c r="AU698" s="1" t="n"/>
      <c r="AV698" s="1" t="n"/>
      <c r="AW698" s="1" t="n"/>
      <c r="AX698" s="1" t="n"/>
      <c r="AY698" s="1" t="n"/>
      <c r="AZ698" s="1" t="n"/>
      <c r="BA698" s="1" t="n"/>
    </row>
    <row r="699" ht="16.5" customHeight="1" s="220">
      <c r="A699" s="1" t="n"/>
      <c r="B699" s="1" t="n"/>
      <c r="C699" s="2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  <c r="AR699" s="1" t="n"/>
      <c r="AS699" s="1" t="n"/>
      <c r="AT699" s="1" t="n"/>
      <c r="AU699" s="1" t="n"/>
      <c r="AV699" s="1" t="n"/>
      <c r="AW699" s="1" t="n"/>
      <c r="AX699" s="1" t="n"/>
      <c r="AY699" s="1" t="n"/>
      <c r="AZ699" s="1" t="n"/>
      <c r="BA699" s="1" t="n"/>
    </row>
    <row r="700" ht="16.5" customHeight="1" s="220">
      <c r="A700" s="1" t="n"/>
      <c r="B700" s="1" t="n"/>
      <c r="C700" s="2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Q700" s="1" t="n"/>
      <c r="AR700" s="1" t="n"/>
      <c r="AS700" s="1" t="n"/>
      <c r="AT700" s="1" t="n"/>
      <c r="AU700" s="1" t="n"/>
      <c r="AV700" s="1" t="n"/>
      <c r="AW700" s="1" t="n"/>
      <c r="AX700" s="1" t="n"/>
      <c r="AY700" s="1" t="n"/>
      <c r="AZ700" s="1" t="n"/>
      <c r="BA700" s="1" t="n"/>
    </row>
    <row r="701" ht="16.5" customHeight="1" s="220">
      <c r="A701" s="1" t="n"/>
      <c r="B701" s="1" t="n"/>
      <c r="C701" s="2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  <c r="AR701" s="1" t="n"/>
      <c r="AS701" s="1" t="n"/>
      <c r="AT701" s="1" t="n"/>
      <c r="AU701" s="1" t="n"/>
      <c r="AV701" s="1" t="n"/>
      <c r="AW701" s="1" t="n"/>
      <c r="AX701" s="1" t="n"/>
      <c r="AY701" s="1" t="n"/>
      <c r="AZ701" s="1" t="n"/>
      <c r="BA701" s="1" t="n"/>
    </row>
    <row r="702" ht="16.5" customHeight="1" s="220">
      <c r="A702" s="1" t="n"/>
      <c r="B702" s="1" t="n"/>
      <c r="C702" s="2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  <c r="AR702" s="1" t="n"/>
      <c r="AS702" s="1" t="n"/>
      <c r="AT702" s="1" t="n"/>
      <c r="AU702" s="1" t="n"/>
      <c r="AV702" s="1" t="n"/>
      <c r="AW702" s="1" t="n"/>
      <c r="AX702" s="1" t="n"/>
      <c r="AY702" s="1" t="n"/>
      <c r="AZ702" s="1" t="n"/>
      <c r="BA702" s="1" t="n"/>
    </row>
    <row r="703" ht="16.5" customHeight="1" s="220">
      <c r="A703" s="1" t="n"/>
      <c r="B703" s="1" t="n"/>
      <c r="C703" s="2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  <c r="AR703" s="1" t="n"/>
      <c r="AS703" s="1" t="n"/>
      <c r="AT703" s="1" t="n"/>
      <c r="AU703" s="1" t="n"/>
      <c r="AV703" s="1" t="n"/>
      <c r="AW703" s="1" t="n"/>
      <c r="AX703" s="1" t="n"/>
      <c r="AY703" s="1" t="n"/>
      <c r="AZ703" s="1" t="n"/>
      <c r="BA703" s="1" t="n"/>
    </row>
    <row r="704" ht="16.5" customHeight="1" s="220">
      <c r="A704" s="1" t="n"/>
      <c r="B704" s="1" t="n"/>
      <c r="C704" s="2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  <c r="AR704" s="1" t="n"/>
      <c r="AS704" s="1" t="n"/>
      <c r="AT704" s="1" t="n"/>
      <c r="AU704" s="1" t="n"/>
      <c r="AV704" s="1" t="n"/>
      <c r="AW704" s="1" t="n"/>
      <c r="AX704" s="1" t="n"/>
      <c r="AY704" s="1" t="n"/>
      <c r="AZ704" s="1" t="n"/>
      <c r="BA704" s="1" t="n"/>
    </row>
    <row r="705" ht="16.5" customHeight="1" s="220">
      <c r="A705" s="1" t="n"/>
      <c r="B705" s="1" t="n"/>
      <c r="C705" s="2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  <c r="AR705" s="1" t="n"/>
      <c r="AS705" s="1" t="n"/>
      <c r="AT705" s="1" t="n"/>
      <c r="AU705" s="1" t="n"/>
      <c r="AV705" s="1" t="n"/>
      <c r="AW705" s="1" t="n"/>
      <c r="AX705" s="1" t="n"/>
      <c r="AY705" s="1" t="n"/>
      <c r="AZ705" s="1" t="n"/>
      <c r="BA705" s="1" t="n"/>
    </row>
    <row r="706" ht="16.5" customHeight="1" s="220">
      <c r="A706" s="1" t="n"/>
      <c r="B706" s="1" t="n"/>
      <c r="C706" s="2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Q706" s="1" t="n"/>
      <c r="AR706" s="1" t="n"/>
      <c r="AS706" s="1" t="n"/>
      <c r="AT706" s="1" t="n"/>
      <c r="AU706" s="1" t="n"/>
      <c r="AV706" s="1" t="n"/>
      <c r="AW706" s="1" t="n"/>
      <c r="AX706" s="1" t="n"/>
      <c r="AY706" s="1" t="n"/>
      <c r="AZ706" s="1" t="n"/>
      <c r="BA706" s="1" t="n"/>
    </row>
    <row r="707" ht="16.5" customHeight="1" s="220">
      <c r="A707" s="1" t="n"/>
      <c r="B707" s="1" t="n"/>
      <c r="C707" s="2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  <c r="AR707" s="1" t="n"/>
      <c r="AS707" s="1" t="n"/>
      <c r="AT707" s="1" t="n"/>
      <c r="AU707" s="1" t="n"/>
      <c r="AV707" s="1" t="n"/>
      <c r="AW707" s="1" t="n"/>
      <c r="AX707" s="1" t="n"/>
      <c r="AY707" s="1" t="n"/>
      <c r="AZ707" s="1" t="n"/>
      <c r="BA707" s="1" t="n"/>
    </row>
    <row r="708" ht="16.5" customHeight="1" s="220">
      <c r="A708" s="1" t="n"/>
      <c r="B708" s="1" t="n"/>
      <c r="C708" s="2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  <c r="AR708" s="1" t="n"/>
      <c r="AS708" s="1" t="n"/>
      <c r="AT708" s="1" t="n"/>
      <c r="AU708" s="1" t="n"/>
      <c r="AV708" s="1" t="n"/>
      <c r="AW708" s="1" t="n"/>
      <c r="AX708" s="1" t="n"/>
      <c r="AY708" s="1" t="n"/>
      <c r="AZ708" s="1" t="n"/>
      <c r="BA708" s="1" t="n"/>
    </row>
    <row r="709" ht="16.5" customHeight="1" s="220">
      <c r="A709" s="1" t="n"/>
      <c r="B709" s="1" t="n"/>
      <c r="C709" s="2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  <c r="AR709" s="1" t="n"/>
      <c r="AS709" s="1" t="n"/>
      <c r="AT709" s="1" t="n"/>
      <c r="AU709" s="1" t="n"/>
      <c r="AV709" s="1" t="n"/>
      <c r="AW709" s="1" t="n"/>
      <c r="AX709" s="1" t="n"/>
      <c r="AY709" s="1" t="n"/>
      <c r="AZ709" s="1" t="n"/>
      <c r="BA709" s="1" t="n"/>
    </row>
    <row r="710" ht="16.5" customHeight="1" s="220">
      <c r="A710" s="1" t="n"/>
      <c r="B710" s="1" t="n"/>
      <c r="C710" s="2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  <c r="AR710" s="1" t="n"/>
      <c r="AS710" s="1" t="n"/>
      <c r="AT710" s="1" t="n"/>
      <c r="AU710" s="1" t="n"/>
      <c r="AV710" s="1" t="n"/>
      <c r="AW710" s="1" t="n"/>
      <c r="AX710" s="1" t="n"/>
      <c r="AY710" s="1" t="n"/>
      <c r="AZ710" s="1" t="n"/>
      <c r="BA710" s="1" t="n"/>
    </row>
    <row r="711" ht="16.5" customHeight="1" s="220">
      <c r="A711" s="1" t="n"/>
      <c r="B711" s="1" t="n"/>
      <c r="C711" s="2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  <c r="AR711" s="1" t="n"/>
      <c r="AS711" s="1" t="n"/>
      <c r="AT711" s="1" t="n"/>
      <c r="AU711" s="1" t="n"/>
      <c r="AV711" s="1" t="n"/>
      <c r="AW711" s="1" t="n"/>
      <c r="AX711" s="1" t="n"/>
      <c r="AY711" s="1" t="n"/>
      <c r="AZ711" s="1" t="n"/>
      <c r="BA711" s="1" t="n"/>
    </row>
    <row r="712" ht="16.5" customHeight="1" s="220">
      <c r="A712" s="1" t="n"/>
      <c r="B712" s="1" t="n"/>
      <c r="C712" s="2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  <c r="AR712" s="1" t="n"/>
      <c r="AS712" s="1" t="n"/>
      <c r="AT712" s="1" t="n"/>
      <c r="AU712" s="1" t="n"/>
      <c r="AV712" s="1" t="n"/>
      <c r="AW712" s="1" t="n"/>
      <c r="AX712" s="1" t="n"/>
      <c r="AY712" s="1" t="n"/>
      <c r="AZ712" s="1" t="n"/>
      <c r="BA712" s="1" t="n"/>
    </row>
    <row r="713" ht="16.5" customHeight="1" s="220">
      <c r="A713" s="1" t="n"/>
      <c r="B713" s="1" t="n"/>
      <c r="C713" s="2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  <c r="AR713" s="1" t="n"/>
      <c r="AS713" s="1" t="n"/>
      <c r="AT713" s="1" t="n"/>
      <c r="AU713" s="1" t="n"/>
      <c r="AV713" s="1" t="n"/>
      <c r="AW713" s="1" t="n"/>
      <c r="AX713" s="1" t="n"/>
      <c r="AY713" s="1" t="n"/>
      <c r="AZ713" s="1" t="n"/>
      <c r="BA713" s="1" t="n"/>
    </row>
    <row r="714" ht="16.5" customHeight="1" s="220">
      <c r="A714" s="1" t="n"/>
      <c r="B714" s="1" t="n"/>
      <c r="C714" s="2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  <c r="AR714" s="1" t="n"/>
      <c r="AS714" s="1" t="n"/>
      <c r="AT714" s="1" t="n"/>
      <c r="AU714" s="1" t="n"/>
      <c r="AV714" s="1" t="n"/>
      <c r="AW714" s="1" t="n"/>
      <c r="AX714" s="1" t="n"/>
      <c r="AY714" s="1" t="n"/>
      <c r="AZ714" s="1" t="n"/>
      <c r="BA714" s="1" t="n"/>
    </row>
    <row r="715" ht="16.5" customHeight="1" s="220">
      <c r="A715" s="1" t="n"/>
      <c r="B715" s="1" t="n"/>
      <c r="C715" s="2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  <c r="AR715" s="1" t="n"/>
      <c r="AS715" s="1" t="n"/>
      <c r="AT715" s="1" t="n"/>
      <c r="AU715" s="1" t="n"/>
      <c r="AV715" s="1" t="n"/>
      <c r="AW715" s="1" t="n"/>
      <c r="AX715" s="1" t="n"/>
      <c r="AY715" s="1" t="n"/>
      <c r="AZ715" s="1" t="n"/>
      <c r="BA715" s="1" t="n"/>
    </row>
    <row r="716" ht="16.5" customHeight="1" s="220">
      <c r="A716" s="1" t="n"/>
      <c r="B716" s="1" t="n"/>
      <c r="C716" s="2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  <c r="AR716" s="1" t="n"/>
      <c r="AS716" s="1" t="n"/>
      <c r="AT716" s="1" t="n"/>
      <c r="AU716" s="1" t="n"/>
      <c r="AV716" s="1" t="n"/>
      <c r="AW716" s="1" t="n"/>
      <c r="AX716" s="1" t="n"/>
      <c r="AY716" s="1" t="n"/>
      <c r="AZ716" s="1" t="n"/>
      <c r="BA716" s="1" t="n"/>
    </row>
    <row r="717" ht="16.5" customHeight="1" s="220">
      <c r="A717" s="1" t="n"/>
      <c r="B717" s="1" t="n"/>
      <c r="C717" s="2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  <c r="AR717" s="1" t="n"/>
      <c r="AS717" s="1" t="n"/>
      <c r="AT717" s="1" t="n"/>
      <c r="AU717" s="1" t="n"/>
      <c r="AV717" s="1" t="n"/>
      <c r="AW717" s="1" t="n"/>
      <c r="AX717" s="1" t="n"/>
      <c r="AY717" s="1" t="n"/>
      <c r="AZ717" s="1" t="n"/>
      <c r="BA717" s="1" t="n"/>
    </row>
    <row r="718" ht="16.5" customHeight="1" s="220">
      <c r="A718" s="1" t="n"/>
      <c r="B718" s="1" t="n"/>
      <c r="C718" s="2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  <c r="AR718" s="1" t="n"/>
      <c r="AS718" s="1" t="n"/>
      <c r="AT718" s="1" t="n"/>
      <c r="AU718" s="1" t="n"/>
      <c r="AV718" s="1" t="n"/>
      <c r="AW718" s="1" t="n"/>
      <c r="AX718" s="1" t="n"/>
      <c r="AY718" s="1" t="n"/>
      <c r="AZ718" s="1" t="n"/>
      <c r="BA718" s="1" t="n"/>
    </row>
    <row r="719" ht="16.5" customHeight="1" s="220">
      <c r="A719" s="1" t="n"/>
      <c r="B719" s="1" t="n"/>
      <c r="C719" s="2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  <c r="AR719" s="1" t="n"/>
      <c r="AS719" s="1" t="n"/>
      <c r="AT719" s="1" t="n"/>
      <c r="AU719" s="1" t="n"/>
      <c r="AV719" s="1" t="n"/>
      <c r="AW719" s="1" t="n"/>
      <c r="AX719" s="1" t="n"/>
      <c r="AY719" s="1" t="n"/>
      <c r="AZ719" s="1" t="n"/>
      <c r="BA719" s="1" t="n"/>
    </row>
    <row r="720" ht="16.5" customHeight="1" s="220">
      <c r="A720" s="1" t="n"/>
      <c r="B720" s="1" t="n"/>
      <c r="C720" s="2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  <c r="AR720" s="1" t="n"/>
      <c r="AS720" s="1" t="n"/>
      <c r="AT720" s="1" t="n"/>
      <c r="AU720" s="1" t="n"/>
      <c r="AV720" s="1" t="n"/>
      <c r="AW720" s="1" t="n"/>
      <c r="AX720" s="1" t="n"/>
      <c r="AY720" s="1" t="n"/>
      <c r="AZ720" s="1" t="n"/>
      <c r="BA720" s="1" t="n"/>
    </row>
    <row r="721" ht="16.5" customHeight="1" s="220">
      <c r="A721" s="1" t="n"/>
      <c r="B721" s="1" t="n"/>
      <c r="C721" s="2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  <c r="AR721" s="1" t="n"/>
      <c r="AS721" s="1" t="n"/>
      <c r="AT721" s="1" t="n"/>
      <c r="AU721" s="1" t="n"/>
      <c r="AV721" s="1" t="n"/>
      <c r="AW721" s="1" t="n"/>
      <c r="AX721" s="1" t="n"/>
      <c r="AY721" s="1" t="n"/>
      <c r="AZ721" s="1" t="n"/>
      <c r="BA721" s="1" t="n"/>
    </row>
    <row r="722" ht="16.5" customHeight="1" s="220">
      <c r="A722" s="1" t="n"/>
      <c r="B722" s="1" t="n"/>
      <c r="C722" s="2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  <c r="AR722" s="1" t="n"/>
      <c r="AS722" s="1" t="n"/>
      <c r="AT722" s="1" t="n"/>
      <c r="AU722" s="1" t="n"/>
      <c r="AV722" s="1" t="n"/>
      <c r="AW722" s="1" t="n"/>
      <c r="AX722" s="1" t="n"/>
      <c r="AY722" s="1" t="n"/>
      <c r="AZ722" s="1" t="n"/>
      <c r="BA722" s="1" t="n"/>
    </row>
    <row r="723" ht="16.5" customHeight="1" s="220">
      <c r="A723" s="1" t="n"/>
      <c r="B723" s="1" t="n"/>
      <c r="C723" s="2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  <c r="AR723" s="1" t="n"/>
      <c r="AS723" s="1" t="n"/>
      <c r="AT723" s="1" t="n"/>
      <c r="AU723" s="1" t="n"/>
      <c r="AV723" s="1" t="n"/>
      <c r="AW723" s="1" t="n"/>
      <c r="AX723" s="1" t="n"/>
      <c r="AY723" s="1" t="n"/>
      <c r="AZ723" s="1" t="n"/>
      <c r="BA723" s="1" t="n"/>
    </row>
    <row r="724" ht="16.5" customHeight="1" s="220">
      <c r="A724" s="1" t="n"/>
      <c r="B724" s="1" t="n"/>
      <c r="C724" s="2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  <c r="AR724" s="1" t="n"/>
      <c r="AS724" s="1" t="n"/>
      <c r="AT724" s="1" t="n"/>
      <c r="AU724" s="1" t="n"/>
      <c r="AV724" s="1" t="n"/>
      <c r="AW724" s="1" t="n"/>
      <c r="AX724" s="1" t="n"/>
      <c r="AY724" s="1" t="n"/>
      <c r="AZ724" s="1" t="n"/>
      <c r="BA724" s="1" t="n"/>
    </row>
    <row r="725" ht="16.5" customHeight="1" s="220">
      <c r="A725" s="1" t="n"/>
      <c r="B725" s="1" t="n"/>
      <c r="C725" s="2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  <c r="AR725" s="1" t="n"/>
      <c r="AS725" s="1" t="n"/>
      <c r="AT725" s="1" t="n"/>
      <c r="AU725" s="1" t="n"/>
      <c r="AV725" s="1" t="n"/>
      <c r="AW725" s="1" t="n"/>
      <c r="AX725" s="1" t="n"/>
      <c r="AY725" s="1" t="n"/>
      <c r="AZ725" s="1" t="n"/>
      <c r="BA725" s="1" t="n"/>
    </row>
    <row r="726" ht="16.5" customHeight="1" s="220">
      <c r="A726" s="1" t="n"/>
      <c r="B726" s="1" t="n"/>
      <c r="C726" s="2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  <c r="AR726" s="1" t="n"/>
      <c r="AS726" s="1" t="n"/>
      <c r="AT726" s="1" t="n"/>
      <c r="AU726" s="1" t="n"/>
      <c r="AV726" s="1" t="n"/>
      <c r="AW726" s="1" t="n"/>
      <c r="AX726" s="1" t="n"/>
      <c r="AY726" s="1" t="n"/>
      <c r="AZ726" s="1" t="n"/>
      <c r="BA726" s="1" t="n"/>
    </row>
    <row r="727" ht="16.5" customHeight="1" s="220">
      <c r="A727" s="1" t="n"/>
      <c r="B727" s="1" t="n"/>
      <c r="C727" s="2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  <c r="AR727" s="1" t="n"/>
      <c r="AS727" s="1" t="n"/>
      <c r="AT727" s="1" t="n"/>
      <c r="AU727" s="1" t="n"/>
      <c r="AV727" s="1" t="n"/>
      <c r="AW727" s="1" t="n"/>
      <c r="AX727" s="1" t="n"/>
      <c r="AY727" s="1" t="n"/>
      <c r="AZ727" s="1" t="n"/>
      <c r="BA727" s="1" t="n"/>
    </row>
    <row r="728" ht="16.5" customHeight="1" s="220">
      <c r="A728" s="1" t="n"/>
      <c r="B728" s="1" t="n"/>
      <c r="C728" s="2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  <c r="AR728" s="1" t="n"/>
      <c r="AS728" s="1" t="n"/>
      <c r="AT728" s="1" t="n"/>
      <c r="AU728" s="1" t="n"/>
      <c r="AV728" s="1" t="n"/>
      <c r="AW728" s="1" t="n"/>
      <c r="AX728" s="1" t="n"/>
      <c r="AY728" s="1" t="n"/>
      <c r="AZ728" s="1" t="n"/>
      <c r="BA728" s="1" t="n"/>
    </row>
    <row r="729" ht="16.5" customHeight="1" s="220">
      <c r="A729" s="1" t="n"/>
      <c r="B729" s="1" t="n"/>
      <c r="C729" s="2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  <c r="AR729" s="1" t="n"/>
      <c r="AS729" s="1" t="n"/>
      <c r="AT729" s="1" t="n"/>
      <c r="AU729" s="1" t="n"/>
      <c r="AV729" s="1" t="n"/>
      <c r="AW729" s="1" t="n"/>
      <c r="AX729" s="1" t="n"/>
      <c r="AY729" s="1" t="n"/>
      <c r="AZ729" s="1" t="n"/>
      <c r="BA729" s="1" t="n"/>
    </row>
    <row r="730" ht="16.5" customHeight="1" s="220">
      <c r="A730" s="1" t="n"/>
      <c r="B730" s="1" t="n"/>
      <c r="C730" s="2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  <c r="AR730" s="1" t="n"/>
      <c r="AS730" s="1" t="n"/>
      <c r="AT730" s="1" t="n"/>
      <c r="AU730" s="1" t="n"/>
      <c r="AV730" s="1" t="n"/>
      <c r="AW730" s="1" t="n"/>
      <c r="AX730" s="1" t="n"/>
      <c r="AY730" s="1" t="n"/>
      <c r="AZ730" s="1" t="n"/>
      <c r="BA730" s="1" t="n"/>
    </row>
    <row r="731" ht="16.5" customHeight="1" s="220">
      <c r="A731" s="1" t="n"/>
      <c r="B731" s="1" t="n"/>
      <c r="C731" s="2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  <c r="AR731" s="1" t="n"/>
      <c r="AS731" s="1" t="n"/>
      <c r="AT731" s="1" t="n"/>
      <c r="AU731" s="1" t="n"/>
      <c r="AV731" s="1" t="n"/>
      <c r="AW731" s="1" t="n"/>
      <c r="AX731" s="1" t="n"/>
      <c r="AY731" s="1" t="n"/>
      <c r="AZ731" s="1" t="n"/>
      <c r="BA731" s="1" t="n"/>
    </row>
    <row r="732" ht="16.5" customHeight="1" s="220">
      <c r="A732" s="1" t="n"/>
      <c r="B732" s="1" t="n"/>
      <c r="C732" s="2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Q732" s="1" t="n"/>
      <c r="AR732" s="1" t="n"/>
      <c r="AS732" s="1" t="n"/>
      <c r="AT732" s="1" t="n"/>
      <c r="AU732" s="1" t="n"/>
      <c r="AV732" s="1" t="n"/>
      <c r="AW732" s="1" t="n"/>
      <c r="AX732" s="1" t="n"/>
      <c r="AY732" s="1" t="n"/>
      <c r="AZ732" s="1" t="n"/>
      <c r="BA732" s="1" t="n"/>
    </row>
    <row r="733" ht="16.5" customHeight="1" s="220">
      <c r="A733" s="1" t="n"/>
      <c r="B733" s="1" t="n"/>
      <c r="C733" s="2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  <c r="AR733" s="1" t="n"/>
      <c r="AS733" s="1" t="n"/>
      <c r="AT733" s="1" t="n"/>
      <c r="AU733" s="1" t="n"/>
      <c r="AV733" s="1" t="n"/>
      <c r="AW733" s="1" t="n"/>
      <c r="AX733" s="1" t="n"/>
      <c r="AY733" s="1" t="n"/>
      <c r="AZ733" s="1" t="n"/>
      <c r="BA733" s="1" t="n"/>
    </row>
    <row r="734" ht="16.5" customHeight="1" s="220">
      <c r="A734" s="1" t="n"/>
      <c r="B734" s="1" t="n"/>
      <c r="C734" s="2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  <c r="AR734" s="1" t="n"/>
      <c r="AS734" s="1" t="n"/>
      <c r="AT734" s="1" t="n"/>
      <c r="AU734" s="1" t="n"/>
      <c r="AV734" s="1" t="n"/>
      <c r="AW734" s="1" t="n"/>
      <c r="AX734" s="1" t="n"/>
      <c r="AY734" s="1" t="n"/>
      <c r="AZ734" s="1" t="n"/>
      <c r="BA734" s="1" t="n"/>
    </row>
    <row r="735" ht="16.5" customHeight="1" s="220">
      <c r="A735" s="1" t="n"/>
      <c r="B735" s="1" t="n"/>
      <c r="C735" s="2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  <c r="AR735" s="1" t="n"/>
      <c r="AS735" s="1" t="n"/>
      <c r="AT735" s="1" t="n"/>
      <c r="AU735" s="1" t="n"/>
      <c r="AV735" s="1" t="n"/>
      <c r="AW735" s="1" t="n"/>
      <c r="AX735" s="1" t="n"/>
      <c r="AY735" s="1" t="n"/>
      <c r="AZ735" s="1" t="n"/>
      <c r="BA735" s="1" t="n"/>
    </row>
    <row r="736" ht="16.5" customHeight="1" s="220">
      <c r="A736" s="1" t="n"/>
      <c r="B736" s="1" t="n"/>
      <c r="C736" s="2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  <c r="AR736" s="1" t="n"/>
      <c r="AS736" s="1" t="n"/>
      <c r="AT736" s="1" t="n"/>
      <c r="AU736" s="1" t="n"/>
      <c r="AV736" s="1" t="n"/>
      <c r="AW736" s="1" t="n"/>
      <c r="AX736" s="1" t="n"/>
      <c r="AY736" s="1" t="n"/>
      <c r="AZ736" s="1" t="n"/>
      <c r="BA736" s="1" t="n"/>
    </row>
    <row r="737" ht="16.5" customHeight="1" s="220">
      <c r="A737" s="1" t="n"/>
      <c r="B737" s="1" t="n"/>
      <c r="C737" s="2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  <c r="AR737" s="1" t="n"/>
      <c r="AS737" s="1" t="n"/>
      <c r="AT737" s="1" t="n"/>
      <c r="AU737" s="1" t="n"/>
      <c r="AV737" s="1" t="n"/>
      <c r="AW737" s="1" t="n"/>
      <c r="AX737" s="1" t="n"/>
      <c r="AY737" s="1" t="n"/>
      <c r="AZ737" s="1" t="n"/>
      <c r="BA737" s="1" t="n"/>
    </row>
    <row r="738" ht="16.5" customHeight="1" s="220">
      <c r="A738" s="1" t="n"/>
      <c r="B738" s="1" t="n"/>
      <c r="C738" s="2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  <c r="AR738" s="1" t="n"/>
      <c r="AS738" s="1" t="n"/>
      <c r="AT738" s="1" t="n"/>
      <c r="AU738" s="1" t="n"/>
      <c r="AV738" s="1" t="n"/>
      <c r="AW738" s="1" t="n"/>
      <c r="AX738" s="1" t="n"/>
      <c r="AY738" s="1" t="n"/>
      <c r="AZ738" s="1" t="n"/>
      <c r="BA738" s="1" t="n"/>
    </row>
    <row r="739" ht="16.5" customHeight="1" s="220">
      <c r="A739" s="1" t="n"/>
      <c r="B739" s="1" t="n"/>
      <c r="C739" s="2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  <c r="AR739" s="1" t="n"/>
      <c r="AS739" s="1" t="n"/>
      <c r="AT739" s="1" t="n"/>
      <c r="AU739" s="1" t="n"/>
      <c r="AV739" s="1" t="n"/>
      <c r="AW739" s="1" t="n"/>
      <c r="AX739" s="1" t="n"/>
      <c r="AY739" s="1" t="n"/>
      <c r="AZ739" s="1" t="n"/>
      <c r="BA739" s="1" t="n"/>
    </row>
    <row r="740" ht="16.5" customHeight="1" s="220">
      <c r="A740" s="1" t="n"/>
      <c r="B740" s="1" t="n"/>
      <c r="C740" s="2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  <c r="AR740" s="1" t="n"/>
      <c r="AS740" s="1" t="n"/>
      <c r="AT740" s="1" t="n"/>
      <c r="AU740" s="1" t="n"/>
      <c r="AV740" s="1" t="n"/>
      <c r="AW740" s="1" t="n"/>
      <c r="AX740" s="1" t="n"/>
      <c r="AY740" s="1" t="n"/>
      <c r="AZ740" s="1" t="n"/>
      <c r="BA740" s="1" t="n"/>
    </row>
    <row r="741" ht="16.5" customHeight="1" s="220">
      <c r="A741" s="1" t="n"/>
      <c r="B741" s="1" t="n"/>
      <c r="C741" s="2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  <c r="AR741" s="1" t="n"/>
      <c r="AS741" s="1" t="n"/>
      <c r="AT741" s="1" t="n"/>
      <c r="AU741" s="1" t="n"/>
      <c r="AV741" s="1" t="n"/>
      <c r="AW741" s="1" t="n"/>
      <c r="AX741" s="1" t="n"/>
      <c r="AY741" s="1" t="n"/>
      <c r="AZ741" s="1" t="n"/>
      <c r="BA741" s="1" t="n"/>
    </row>
    <row r="742" ht="16.5" customHeight="1" s="220">
      <c r="A742" s="1" t="n"/>
      <c r="B742" s="1" t="n"/>
      <c r="C742" s="2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  <c r="AR742" s="1" t="n"/>
      <c r="AS742" s="1" t="n"/>
      <c r="AT742" s="1" t="n"/>
      <c r="AU742" s="1" t="n"/>
      <c r="AV742" s="1" t="n"/>
      <c r="AW742" s="1" t="n"/>
      <c r="AX742" s="1" t="n"/>
      <c r="AY742" s="1" t="n"/>
      <c r="AZ742" s="1" t="n"/>
      <c r="BA742" s="1" t="n"/>
    </row>
    <row r="743" ht="16.5" customHeight="1" s="220">
      <c r="A743" s="1" t="n"/>
      <c r="B743" s="1" t="n"/>
      <c r="C743" s="2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  <c r="AR743" s="1" t="n"/>
      <c r="AS743" s="1" t="n"/>
      <c r="AT743" s="1" t="n"/>
      <c r="AU743" s="1" t="n"/>
      <c r="AV743" s="1" t="n"/>
      <c r="AW743" s="1" t="n"/>
      <c r="AX743" s="1" t="n"/>
      <c r="AY743" s="1" t="n"/>
      <c r="AZ743" s="1" t="n"/>
      <c r="BA743" s="1" t="n"/>
    </row>
    <row r="744" ht="16.5" customHeight="1" s="220">
      <c r="A744" s="1" t="n"/>
      <c r="B744" s="1" t="n"/>
      <c r="C744" s="2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  <c r="AR744" s="1" t="n"/>
      <c r="AS744" s="1" t="n"/>
      <c r="AT744" s="1" t="n"/>
      <c r="AU744" s="1" t="n"/>
      <c r="AV744" s="1" t="n"/>
      <c r="AW744" s="1" t="n"/>
      <c r="AX744" s="1" t="n"/>
      <c r="AY744" s="1" t="n"/>
      <c r="AZ744" s="1" t="n"/>
      <c r="BA744" s="1" t="n"/>
    </row>
    <row r="745" ht="16.5" customHeight="1" s="220">
      <c r="A745" s="1" t="n"/>
      <c r="B745" s="1" t="n"/>
      <c r="C745" s="2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  <c r="AR745" s="1" t="n"/>
      <c r="AS745" s="1" t="n"/>
      <c r="AT745" s="1" t="n"/>
      <c r="AU745" s="1" t="n"/>
      <c r="AV745" s="1" t="n"/>
      <c r="AW745" s="1" t="n"/>
      <c r="AX745" s="1" t="n"/>
      <c r="AY745" s="1" t="n"/>
      <c r="AZ745" s="1" t="n"/>
      <c r="BA745" s="1" t="n"/>
    </row>
    <row r="746" ht="16.5" customHeight="1" s="220">
      <c r="A746" s="1" t="n"/>
      <c r="B746" s="1" t="n"/>
      <c r="C746" s="2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  <c r="AR746" s="1" t="n"/>
      <c r="AS746" s="1" t="n"/>
      <c r="AT746" s="1" t="n"/>
      <c r="AU746" s="1" t="n"/>
      <c r="AV746" s="1" t="n"/>
      <c r="AW746" s="1" t="n"/>
      <c r="AX746" s="1" t="n"/>
      <c r="AY746" s="1" t="n"/>
      <c r="AZ746" s="1" t="n"/>
      <c r="BA746" s="1" t="n"/>
    </row>
    <row r="747" ht="16.5" customHeight="1" s="220">
      <c r="A747" s="1" t="n"/>
      <c r="B747" s="1" t="n"/>
      <c r="C747" s="2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  <c r="AR747" s="1" t="n"/>
      <c r="AS747" s="1" t="n"/>
      <c r="AT747" s="1" t="n"/>
      <c r="AU747" s="1" t="n"/>
      <c r="AV747" s="1" t="n"/>
      <c r="AW747" s="1" t="n"/>
      <c r="AX747" s="1" t="n"/>
      <c r="AY747" s="1" t="n"/>
      <c r="AZ747" s="1" t="n"/>
      <c r="BA747" s="1" t="n"/>
    </row>
    <row r="748" ht="16.5" customHeight="1" s="220">
      <c r="A748" s="1" t="n"/>
      <c r="B748" s="1" t="n"/>
      <c r="C748" s="2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  <c r="AR748" s="1" t="n"/>
      <c r="AS748" s="1" t="n"/>
      <c r="AT748" s="1" t="n"/>
      <c r="AU748" s="1" t="n"/>
      <c r="AV748" s="1" t="n"/>
      <c r="AW748" s="1" t="n"/>
      <c r="AX748" s="1" t="n"/>
      <c r="AY748" s="1" t="n"/>
      <c r="AZ748" s="1" t="n"/>
      <c r="BA748" s="1" t="n"/>
    </row>
    <row r="749" ht="16.5" customHeight="1" s="220">
      <c r="A749" s="1" t="n"/>
      <c r="B749" s="1" t="n"/>
      <c r="C749" s="2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  <c r="AR749" s="1" t="n"/>
      <c r="AS749" s="1" t="n"/>
      <c r="AT749" s="1" t="n"/>
      <c r="AU749" s="1" t="n"/>
      <c r="AV749" s="1" t="n"/>
      <c r="AW749" s="1" t="n"/>
      <c r="AX749" s="1" t="n"/>
      <c r="AY749" s="1" t="n"/>
      <c r="AZ749" s="1" t="n"/>
      <c r="BA749" s="1" t="n"/>
    </row>
    <row r="750" ht="16.5" customHeight="1" s="220">
      <c r="A750" s="1" t="n"/>
      <c r="B750" s="1" t="n"/>
      <c r="C750" s="2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  <c r="AR750" s="1" t="n"/>
      <c r="AS750" s="1" t="n"/>
      <c r="AT750" s="1" t="n"/>
      <c r="AU750" s="1" t="n"/>
      <c r="AV750" s="1" t="n"/>
      <c r="AW750" s="1" t="n"/>
      <c r="AX750" s="1" t="n"/>
      <c r="AY750" s="1" t="n"/>
      <c r="AZ750" s="1" t="n"/>
      <c r="BA750" s="1" t="n"/>
    </row>
    <row r="751" ht="16.5" customHeight="1" s="220">
      <c r="A751" s="1" t="n"/>
      <c r="B751" s="1" t="n"/>
      <c r="C751" s="2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  <c r="AR751" s="1" t="n"/>
      <c r="AS751" s="1" t="n"/>
      <c r="AT751" s="1" t="n"/>
      <c r="AU751" s="1" t="n"/>
      <c r="AV751" s="1" t="n"/>
      <c r="AW751" s="1" t="n"/>
      <c r="AX751" s="1" t="n"/>
      <c r="AY751" s="1" t="n"/>
      <c r="AZ751" s="1" t="n"/>
      <c r="BA751" s="1" t="n"/>
    </row>
    <row r="752" ht="16.5" customHeight="1" s="220">
      <c r="A752" s="1" t="n"/>
      <c r="B752" s="1" t="n"/>
      <c r="C752" s="2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  <c r="AR752" s="1" t="n"/>
      <c r="AS752" s="1" t="n"/>
      <c r="AT752" s="1" t="n"/>
      <c r="AU752" s="1" t="n"/>
      <c r="AV752" s="1" t="n"/>
      <c r="AW752" s="1" t="n"/>
      <c r="AX752" s="1" t="n"/>
      <c r="AY752" s="1" t="n"/>
      <c r="AZ752" s="1" t="n"/>
      <c r="BA752" s="1" t="n"/>
    </row>
    <row r="753" ht="16.5" customHeight="1" s="220">
      <c r="A753" s="1" t="n"/>
      <c r="B753" s="1" t="n"/>
      <c r="C753" s="2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  <c r="AR753" s="1" t="n"/>
      <c r="AS753" s="1" t="n"/>
      <c r="AT753" s="1" t="n"/>
      <c r="AU753" s="1" t="n"/>
      <c r="AV753" s="1" t="n"/>
      <c r="AW753" s="1" t="n"/>
      <c r="AX753" s="1" t="n"/>
      <c r="AY753" s="1" t="n"/>
      <c r="AZ753" s="1" t="n"/>
      <c r="BA753" s="1" t="n"/>
    </row>
    <row r="754" ht="16.5" customHeight="1" s="220">
      <c r="A754" s="1" t="n"/>
      <c r="B754" s="1" t="n"/>
      <c r="C754" s="2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  <c r="AR754" s="1" t="n"/>
      <c r="AS754" s="1" t="n"/>
      <c r="AT754" s="1" t="n"/>
      <c r="AU754" s="1" t="n"/>
      <c r="AV754" s="1" t="n"/>
      <c r="AW754" s="1" t="n"/>
      <c r="AX754" s="1" t="n"/>
      <c r="AY754" s="1" t="n"/>
      <c r="AZ754" s="1" t="n"/>
      <c r="BA754" s="1" t="n"/>
    </row>
    <row r="755" ht="16.5" customHeight="1" s="220">
      <c r="A755" s="1" t="n"/>
      <c r="B755" s="1" t="n"/>
      <c r="C755" s="2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  <c r="AR755" s="1" t="n"/>
      <c r="AS755" s="1" t="n"/>
      <c r="AT755" s="1" t="n"/>
      <c r="AU755" s="1" t="n"/>
      <c r="AV755" s="1" t="n"/>
      <c r="AW755" s="1" t="n"/>
      <c r="AX755" s="1" t="n"/>
      <c r="AY755" s="1" t="n"/>
      <c r="AZ755" s="1" t="n"/>
      <c r="BA755" s="1" t="n"/>
    </row>
    <row r="756" ht="16.5" customHeight="1" s="220">
      <c r="A756" s="1" t="n"/>
      <c r="B756" s="1" t="n"/>
      <c r="C756" s="2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  <c r="AR756" s="1" t="n"/>
      <c r="AS756" s="1" t="n"/>
      <c r="AT756" s="1" t="n"/>
      <c r="AU756" s="1" t="n"/>
      <c r="AV756" s="1" t="n"/>
      <c r="AW756" s="1" t="n"/>
      <c r="AX756" s="1" t="n"/>
      <c r="AY756" s="1" t="n"/>
      <c r="AZ756" s="1" t="n"/>
      <c r="BA756" s="1" t="n"/>
    </row>
    <row r="757" ht="16.5" customHeight="1" s="220">
      <c r="A757" s="1" t="n"/>
      <c r="B757" s="1" t="n"/>
      <c r="C757" s="2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  <c r="AR757" s="1" t="n"/>
      <c r="AS757" s="1" t="n"/>
      <c r="AT757" s="1" t="n"/>
      <c r="AU757" s="1" t="n"/>
      <c r="AV757" s="1" t="n"/>
      <c r="AW757" s="1" t="n"/>
      <c r="AX757" s="1" t="n"/>
      <c r="AY757" s="1" t="n"/>
      <c r="AZ757" s="1" t="n"/>
      <c r="BA757" s="1" t="n"/>
    </row>
    <row r="758" ht="16.5" customHeight="1" s="220">
      <c r="A758" s="1" t="n"/>
      <c r="B758" s="1" t="n"/>
      <c r="C758" s="2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  <c r="AR758" s="1" t="n"/>
      <c r="AS758" s="1" t="n"/>
      <c r="AT758" s="1" t="n"/>
      <c r="AU758" s="1" t="n"/>
      <c r="AV758" s="1" t="n"/>
      <c r="AW758" s="1" t="n"/>
      <c r="AX758" s="1" t="n"/>
      <c r="AY758" s="1" t="n"/>
      <c r="AZ758" s="1" t="n"/>
      <c r="BA758" s="1" t="n"/>
    </row>
    <row r="759" ht="16.5" customHeight="1" s="220">
      <c r="A759" s="1" t="n"/>
      <c r="B759" s="1" t="n"/>
      <c r="C759" s="2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  <c r="AR759" s="1" t="n"/>
      <c r="AS759" s="1" t="n"/>
      <c r="AT759" s="1" t="n"/>
      <c r="AU759" s="1" t="n"/>
      <c r="AV759" s="1" t="n"/>
      <c r="AW759" s="1" t="n"/>
      <c r="AX759" s="1" t="n"/>
      <c r="AY759" s="1" t="n"/>
      <c r="AZ759" s="1" t="n"/>
      <c r="BA759" s="1" t="n"/>
    </row>
    <row r="760" ht="16.5" customHeight="1" s="220">
      <c r="A760" s="1" t="n"/>
      <c r="B760" s="1" t="n"/>
      <c r="C760" s="2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  <c r="AR760" s="1" t="n"/>
      <c r="AS760" s="1" t="n"/>
      <c r="AT760" s="1" t="n"/>
      <c r="AU760" s="1" t="n"/>
      <c r="AV760" s="1" t="n"/>
      <c r="AW760" s="1" t="n"/>
      <c r="AX760" s="1" t="n"/>
      <c r="AY760" s="1" t="n"/>
      <c r="AZ760" s="1" t="n"/>
      <c r="BA760" s="1" t="n"/>
    </row>
    <row r="761" ht="16.5" customHeight="1" s="220">
      <c r="A761" s="1" t="n"/>
      <c r="B761" s="1" t="n"/>
      <c r="C761" s="2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  <c r="AR761" s="1" t="n"/>
      <c r="AS761" s="1" t="n"/>
      <c r="AT761" s="1" t="n"/>
      <c r="AU761" s="1" t="n"/>
      <c r="AV761" s="1" t="n"/>
      <c r="AW761" s="1" t="n"/>
      <c r="AX761" s="1" t="n"/>
      <c r="AY761" s="1" t="n"/>
      <c r="AZ761" s="1" t="n"/>
      <c r="BA761" s="1" t="n"/>
    </row>
    <row r="762" ht="16.5" customHeight="1" s="220">
      <c r="A762" s="1" t="n"/>
      <c r="B762" s="1" t="n"/>
      <c r="C762" s="2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  <c r="AR762" s="1" t="n"/>
      <c r="AS762" s="1" t="n"/>
      <c r="AT762" s="1" t="n"/>
      <c r="AU762" s="1" t="n"/>
      <c r="AV762" s="1" t="n"/>
      <c r="AW762" s="1" t="n"/>
      <c r="AX762" s="1" t="n"/>
      <c r="AY762" s="1" t="n"/>
      <c r="AZ762" s="1" t="n"/>
      <c r="BA762" s="1" t="n"/>
    </row>
    <row r="763" ht="16.5" customHeight="1" s="220">
      <c r="A763" s="1" t="n"/>
      <c r="B763" s="1" t="n"/>
      <c r="C763" s="2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  <c r="AR763" s="1" t="n"/>
      <c r="AS763" s="1" t="n"/>
      <c r="AT763" s="1" t="n"/>
      <c r="AU763" s="1" t="n"/>
      <c r="AV763" s="1" t="n"/>
      <c r="AW763" s="1" t="n"/>
      <c r="AX763" s="1" t="n"/>
      <c r="AY763" s="1" t="n"/>
      <c r="AZ763" s="1" t="n"/>
      <c r="BA763" s="1" t="n"/>
    </row>
    <row r="764" ht="16.5" customHeight="1" s="220">
      <c r="A764" s="1" t="n"/>
      <c r="B764" s="1" t="n"/>
      <c r="C764" s="2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  <c r="AR764" s="1" t="n"/>
      <c r="AS764" s="1" t="n"/>
      <c r="AT764" s="1" t="n"/>
      <c r="AU764" s="1" t="n"/>
      <c r="AV764" s="1" t="n"/>
      <c r="AW764" s="1" t="n"/>
      <c r="AX764" s="1" t="n"/>
      <c r="AY764" s="1" t="n"/>
      <c r="AZ764" s="1" t="n"/>
      <c r="BA764" s="1" t="n"/>
    </row>
    <row r="765" ht="16.5" customHeight="1" s="220">
      <c r="A765" s="1" t="n"/>
      <c r="B765" s="1" t="n"/>
      <c r="C765" s="2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  <c r="AR765" s="1" t="n"/>
      <c r="AS765" s="1" t="n"/>
      <c r="AT765" s="1" t="n"/>
      <c r="AU765" s="1" t="n"/>
      <c r="AV765" s="1" t="n"/>
      <c r="AW765" s="1" t="n"/>
      <c r="AX765" s="1" t="n"/>
      <c r="AY765" s="1" t="n"/>
      <c r="AZ765" s="1" t="n"/>
      <c r="BA765" s="1" t="n"/>
    </row>
    <row r="766" ht="16.5" customHeight="1" s="220">
      <c r="A766" s="1" t="n"/>
      <c r="B766" s="1" t="n"/>
      <c r="C766" s="2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  <c r="AR766" s="1" t="n"/>
      <c r="AS766" s="1" t="n"/>
      <c r="AT766" s="1" t="n"/>
      <c r="AU766" s="1" t="n"/>
      <c r="AV766" s="1" t="n"/>
      <c r="AW766" s="1" t="n"/>
      <c r="AX766" s="1" t="n"/>
      <c r="AY766" s="1" t="n"/>
      <c r="AZ766" s="1" t="n"/>
      <c r="BA766" s="1" t="n"/>
    </row>
    <row r="767" ht="16.5" customHeight="1" s="220">
      <c r="A767" s="1" t="n"/>
      <c r="B767" s="1" t="n"/>
      <c r="C767" s="2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  <c r="AR767" s="1" t="n"/>
      <c r="AS767" s="1" t="n"/>
      <c r="AT767" s="1" t="n"/>
      <c r="AU767" s="1" t="n"/>
      <c r="AV767" s="1" t="n"/>
      <c r="AW767" s="1" t="n"/>
      <c r="AX767" s="1" t="n"/>
      <c r="AY767" s="1" t="n"/>
      <c r="AZ767" s="1" t="n"/>
      <c r="BA767" s="1" t="n"/>
    </row>
    <row r="768" ht="16.5" customHeight="1" s="220">
      <c r="A768" s="1" t="n"/>
      <c r="B768" s="1" t="n"/>
      <c r="C768" s="2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  <c r="AR768" s="1" t="n"/>
      <c r="AS768" s="1" t="n"/>
      <c r="AT768" s="1" t="n"/>
      <c r="AU768" s="1" t="n"/>
      <c r="AV768" s="1" t="n"/>
      <c r="AW768" s="1" t="n"/>
      <c r="AX768" s="1" t="n"/>
      <c r="AY768" s="1" t="n"/>
      <c r="AZ768" s="1" t="n"/>
      <c r="BA768" s="1" t="n"/>
    </row>
    <row r="769" ht="16.5" customHeight="1" s="220">
      <c r="A769" s="1" t="n"/>
      <c r="B769" s="1" t="n"/>
      <c r="C769" s="2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  <c r="AR769" s="1" t="n"/>
      <c r="AS769" s="1" t="n"/>
      <c r="AT769" s="1" t="n"/>
      <c r="AU769" s="1" t="n"/>
      <c r="AV769" s="1" t="n"/>
      <c r="AW769" s="1" t="n"/>
      <c r="AX769" s="1" t="n"/>
      <c r="AY769" s="1" t="n"/>
      <c r="AZ769" s="1" t="n"/>
      <c r="BA769" s="1" t="n"/>
    </row>
    <row r="770" ht="16.5" customHeight="1" s="220">
      <c r="A770" s="1" t="n"/>
      <c r="B770" s="1" t="n"/>
      <c r="C770" s="2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  <c r="AR770" s="1" t="n"/>
      <c r="AS770" s="1" t="n"/>
      <c r="AT770" s="1" t="n"/>
      <c r="AU770" s="1" t="n"/>
      <c r="AV770" s="1" t="n"/>
      <c r="AW770" s="1" t="n"/>
      <c r="AX770" s="1" t="n"/>
      <c r="AY770" s="1" t="n"/>
      <c r="AZ770" s="1" t="n"/>
      <c r="BA770" s="1" t="n"/>
    </row>
    <row r="771" ht="16.5" customHeight="1" s="220">
      <c r="A771" s="1" t="n"/>
      <c r="B771" s="1" t="n"/>
      <c r="C771" s="2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  <c r="AR771" s="1" t="n"/>
      <c r="AS771" s="1" t="n"/>
      <c r="AT771" s="1" t="n"/>
      <c r="AU771" s="1" t="n"/>
      <c r="AV771" s="1" t="n"/>
      <c r="AW771" s="1" t="n"/>
      <c r="AX771" s="1" t="n"/>
      <c r="AY771" s="1" t="n"/>
      <c r="AZ771" s="1" t="n"/>
      <c r="BA771" s="1" t="n"/>
    </row>
    <row r="772" ht="16.5" customHeight="1" s="220">
      <c r="A772" s="1" t="n"/>
      <c r="B772" s="1" t="n"/>
      <c r="C772" s="2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  <c r="AR772" s="1" t="n"/>
      <c r="AS772" s="1" t="n"/>
      <c r="AT772" s="1" t="n"/>
      <c r="AU772" s="1" t="n"/>
      <c r="AV772" s="1" t="n"/>
      <c r="AW772" s="1" t="n"/>
      <c r="AX772" s="1" t="n"/>
      <c r="AY772" s="1" t="n"/>
      <c r="AZ772" s="1" t="n"/>
      <c r="BA772" s="1" t="n"/>
    </row>
    <row r="773" ht="16.5" customHeight="1" s="220">
      <c r="A773" s="1" t="n"/>
      <c r="B773" s="1" t="n"/>
      <c r="C773" s="2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  <c r="AR773" s="1" t="n"/>
      <c r="AS773" s="1" t="n"/>
      <c r="AT773" s="1" t="n"/>
      <c r="AU773" s="1" t="n"/>
      <c r="AV773" s="1" t="n"/>
      <c r="AW773" s="1" t="n"/>
      <c r="AX773" s="1" t="n"/>
      <c r="AY773" s="1" t="n"/>
      <c r="AZ773" s="1" t="n"/>
      <c r="BA773" s="1" t="n"/>
    </row>
    <row r="774" ht="16.5" customHeight="1" s="220">
      <c r="A774" s="1" t="n"/>
      <c r="B774" s="1" t="n"/>
      <c r="C774" s="2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  <c r="AR774" s="1" t="n"/>
      <c r="AS774" s="1" t="n"/>
      <c r="AT774" s="1" t="n"/>
      <c r="AU774" s="1" t="n"/>
      <c r="AV774" s="1" t="n"/>
      <c r="AW774" s="1" t="n"/>
      <c r="AX774" s="1" t="n"/>
      <c r="AY774" s="1" t="n"/>
      <c r="AZ774" s="1" t="n"/>
      <c r="BA774" s="1" t="n"/>
    </row>
    <row r="775" ht="16.5" customHeight="1" s="220">
      <c r="A775" s="1" t="n"/>
      <c r="B775" s="1" t="n"/>
      <c r="C775" s="2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  <c r="AR775" s="1" t="n"/>
      <c r="AS775" s="1" t="n"/>
      <c r="AT775" s="1" t="n"/>
      <c r="AU775" s="1" t="n"/>
      <c r="AV775" s="1" t="n"/>
      <c r="AW775" s="1" t="n"/>
      <c r="AX775" s="1" t="n"/>
      <c r="AY775" s="1" t="n"/>
      <c r="AZ775" s="1" t="n"/>
      <c r="BA775" s="1" t="n"/>
    </row>
    <row r="776" ht="16.5" customHeight="1" s="220">
      <c r="A776" s="1" t="n"/>
      <c r="B776" s="1" t="n"/>
      <c r="C776" s="2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  <c r="AR776" s="1" t="n"/>
      <c r="AS776" s="1" t="n"/>
      <c r="AT776" s="1" t="n"/>
      <c r="AU776" s="1" t="n"/>
      <c r="AV776" s="1" t="n"/>
      <c r="AW776" s="1" t="n"/>
      <c r="AX776" s="1" t="n"/>
      <c r="AY776" s="1" t="n"/>
      <c r="AZ776" s="1" t="n"/>
      <c r="BA776" s="1" t="n"/>
    </row>
    <row r="777" ht="16.5" customHeight="1" s="220">
      <c r="A777" s="1" t="n"/>
      <c r="B777" s="1" t="n"/>
      <c r="C777" s="2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  <c r="AR777" s="1" t="n"/>
      <c r="AS777" s="1" t="n"/>
      <c r="AT777" s="1" t="n"/>
      <c r="AU777" s="1" t="n"/>
      <c r="AV777" s="1" t="n"/>
      <c r="AW777" s="1" t="n"/>
      <c r="AX777" s="1" t="n"/>
      <c r="AY777" s="1" t="n"/>
      <c r="AZ777" s="1" t="n"/>
      <c r="BA777" s="1" t="n"/>
    </row>
    <row r="778" ht="16.5" customHeight="1" s="220">
      <c r="A778" s="1" t="n"/>
      <c r="B778" s="1" t="n"/>
      <c r="C778" s="2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Q778" s="1" t="n"/>
      <c r="AR778" s="1" t="n"/>
      <c r="AS778" s="1" t="n"/>
      <c r="AT778" s="1" t="n"/>
      <c r="AU778" s="1" t="n"/>
      <c r="AV778" s="1" t="n"/>
      <c r="AW778" s="1" t="n"/>
      <c r="AX778" s="1" t="n"/>
      <c r="AY778" s="1" t="n"/>
      <c r="AZ778" s="1" t="n"/>
      <c r="BA778" s="1" t="n"/>
    </row>
    <row r="779" ht="16.5" customHeight="1" s="220">
      <c r="A779" s="1" t="n"/>
      <c r="B779" s="1" t="n"/>
      <c r="C779" s="2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  <c r="AR779" s="1" t="n"/>
      <c r="AS779" s="1" t="n"/>
      <c r="AT779" s="1" t="n"/>
      <c r="AU779" s="1" t="n"/>
      <c r="AV779" s="1" t="n"/>
      <c r="AW779" s="1" t="n"/>
      <c r="AX779" s="1" t="n"/>
      <c r="AY779" s="1" t="n"/>
      <c r="AZ779" s="1" t="n"/>
      <c r="BA779" s="1" t="n"/>
    </row>
    <row r="780" ht="16.5" customHeight="1" s="220">
      <c r="A780" s="1" t="n"/>
      <c r="B780" s="1" t="n"/>
      <c r="C780" s="2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  <c r="AR780" s="1" t="n"/>
      <c r="AS780" s="1" t="n"/>
      <c r="AT780" s="1" t="n"/>
      <c r="AU780" s="1" t="n"/>
      <c r="AV780" s="1" t="n"/>
      <c r="AW780" s="1" t="n"/>
      <c r="AX780" s="1" t="n"/>
      <c r="AY780" s="1" t="n"/>
      <c r="AZ780" s="1" t="n"/>
      <c r="BA780" s="1" t="n"/>
    </row>
    <row r="781" ht="16.5" customHeight="1" s="220">
      <c r="A781" s="1" t="n"/>
      <c r="B781" s="1" t="n"/>
      <c r="C781" s="2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  <c r="AR781" s="1" t="n"/>
      <c r="AS781" s="1" t="n"/>
      <c r="AT781" s="1" t="n"/>
      <c r="AU781" s="1" t="n"/>
      <c r="AV781" s="1" t="n"/>
      <c r="AW781" s="1" t="n"/>
      <c r="AX781" s="1" t="n"/>
      <c r="AY781" s="1" t="n"/>
      <c r="AZ781" s="1" t="n"/>
      <c r="BA781" s="1" t="n"/>
    </row>
    <row r="782" ht="16.5" customHeight="1" s="220">
      <c r="A782" s="1" t="n"/>
      <c r="B782" s="1" t="n"/>
      <c r="C782" s="2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  <c r="AR782" s="1" t="n"/>
      <c r="AS782" s="1" t="n"/>
      <c r="AT782" s="1" t="n"/>
      <c r="AU782" s="1" t="n"/>
      <c r="AV782" s="1" t="n"/>
      <c r="AW782" s="1" t="n"/>
      <c r="AX782" s="1" t="n"/>
      <c r="AY782" s="1" t="n"/>
      <c r="AZ782" s="1" t="n"/>
      <c r="BA782" s="1" t="n"/>
    </row>
    <row r="783" ht="16.5" customHeight="1" s="220">
      <c r="A783" s="1" t="n"/>
      <c r="B783" s="1" t="n"/>
      <c r="C783" s="2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  <c r="AR783" s="1" t="n"/>
      <c r="AS783" s="1" t="n"/>
      <c r="AT783" s="1" t="n"/>
      <c r="AU783" s="1" t="n"/>
      <c r="AV783" s="1" t="n"/>
      <c r="AW783" s="1" t="n"/>
      <c r="AX783" s="1" t="n"/>
      <c r="AY783" s="1" t="n"/>
      <c r="AZ783" s="1" t="n"/>
      <c r="BA783" s="1" t="n"/>
    </row>
    <row r="784" ht="16.5" customHeight="1" s="220">
      <c r="A784" s="1" t="n"/>
      <c r="B784" s="1" t="n"/>
      <c r="C784" s="2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  <c r="AR784" s="1" t="n"/>
      <c r="AS784" s="1" t="n"/>
      <c r="AT784" s="1" t="n"/>
      <c r="AU784" s="1" t="n"/>
      <c r="AV784" s="1" t="n"/>
      <c r="AW784" s="1" t="n"/>
      <c r="AX784" s="1" t="n"/>
      <c r="AY784" s="1" t="n"/>
      <c r="AZ784" s="1" t="n"/>
      <c r="BA784" s="1" t="n"/>
    </row>
    <row r="785" ht="16.5" customHeight="1" s="220">
      <c r="A785" s="1" t="n"/>
      <c r="B785" s="1" t="n"/>
      <c r="C785" s="2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  <c r="AR785" s="1" t="n"/>
      <c r="AS785" s="1" t="n"/>
      <c r="AT785" s="1" t="n"/>
      <c r="AU785" s="1" t="n"/>
      <c r="AV785" s="1" t="n"/>
      <c r="AW785" s="1" t="n"/>
      <c r="AX785" s="1" t="n"/>
      <c r="AY785" s="1" t="n"/>
      <c r="AZ785" s="1" t="n"/>
      <c r="BA785" s="1" t="n"/>
    </row>
    <row r="786" ht="16.5" customHeight="1" s="220">
      <c r="A786" s="1" t="n"/>
      <c r="B786" s="1" t="n"/>
      <c r="C786" s="2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  <c r="AR786" s="1" t="n"/>
      <c r="AS786" s="1" t="n"/>
      <c r="AT786" s="1" t="n"/>
      <c r="AU786" s="1" t="n"/>
      <c r="AV786" s="1" t="n"/>
      <c r="AW786" s="1" t="n"/>
      <c r="AX786" s="1" t="n"/>
      <c r="AY786" s="1" t="n"/>
      <c r="AZ786" s="1" t="n"/>
      <c r="BA786" s="1" t="n"/>
    </row>
    <row r="787" ht="16.5" customHeight="1" s="220">
      <c r="A787" s="1" t="n"/>
      <c r="B787" s="1" t="n"/>
      <c r="C787" s="2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  <c r="AR787" s="1" t="n"/>
      <c r="AS787" s="1" t="n"/>
      <c r="AT787" s="1" t="n"/>
      <c r="AU787" s="1" t="n"/>
      <c r="AV787" s="1" t="n"/>
      <c r="AW787" s="1" t="n"/>
      <c r="AX787" s="1" t="n"/>
      <c r="AY787" s="1" t="n"/>
      <c r="AZ787" s="1" t="n"/>
      <c r="BA787" s="1" t="n"/>
    </row>
    <row r="788" ht="16.5" customHeight="1" s="220">
      <c r="A788" s="1" t="n"/>
      <c r="B788" s="1" t="n"/>
      <c r="C788" s="2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  <c r="AR788" s="1" t="n"/>
      <c r="AS788" s="1" t="n"/>
      <c r="AT788" s="1" t="n"/>
      <c r="AU788" s="1" t="n"/>
      <c r="AV788" s="1" t="n"/>
      <c r="AW788" s="1" t="n"/>
      <c r="AX788" s="1" t="n"/>
      <c r="AY788" s="1" t="n"/>
      <c r="AZ788" s="1" t="n"/>
      <c r="BA788" s="1" t="n"/>
    </row>
    <row r="789" ht="16.5" customHeight="1" s="220">
      <c r="A789" s="1" t="n"/>
      <c r="B789" s="1" t="n"/>
      <c r="C789" s="2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  <c r="AR789" s="1" t="n"/>
      <c r="AS789" s="1" t="n"/>
      <c r="AT789" s="1" t="n"/>
      <c r="AU789" s="1" t="n"/>
      <c r="AV789" s="1" t="n"/>
      <c r="AW789" s="1" t="n"/>
      <c r="AX789" s="1" t="n"/>
      <c r="AY789" s="1" t="n"/>
      <c r="AZ789" s="1" t="n"/>
      <c r="BA789" s="1" t="n"/>
    </row>
    <row r="790" ht="16.5" customHeight="1" s="220">
      <c r="A790" s="1" t="n"/>
      <c r="B790" s="1" t="n"/>
      <c r="C790" s="2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Q790" s="1" t="n"/>
      <c r="AR790" s="1" t="n"/>
      <c r="AS790" s="1" t="n"/>
      <c r="AT790" s="1" t="n"/>
      <c r="AU790" s="1" t="n"/>
      <c r="AV790" s="1" t="n"/>
      <c r="AW790" s="1" t="n"/>
      <c r="AX790" s="1" t="n"/>
      <c r="AY790" s="1" t="n"/>
      <c r="AZ790" s="1" t="n"/>
      <c r="BA790" s="1" t="n"/>
    </row>
    <row r="791" ht="16.5" customHeight="1" s="220">
      <c r="A791" s="1" t="n"/>
      <c r="B791" s="1" t="n"/>
      <c r="C791" s="2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  <c r="AR791" s="1" t="n"/>
      <c r="AS791" s="1" t="n"/>
      <c r="AT791" s="1" t="n"/>
      <c r="AU791" s="1" t="n"/>
      <c r="AV791" s="1" t="n"/>
      <c r="AW791" s="1" t="n"/>
      <c r="AX791" s="1" t="n"/>
      <c r="AY791" s="1" t="n"/>
      <c r="AZ791" s="1" t="n"/>
      <c r="BA791" s="1" t="n"/>
    </row>
    <row r="792" ht="16.5" customHeight="1" s="220">
      <c r="A792" s="1" t="n"/>
      <c r="B792" s="1" t="n"/>
      <c r="C792" s="2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  <c r="AR792" s="1" t="n"/>
      <c r="AS792" s="1" t="n"/>
      <c r="AT792" s="1" t="n"/>
      <c r="AU792" s="1" t="n"/>
      <c r="AV792" s="1" t="n"/>
      <c r="AW792" s="1" t="n"/>
      <c r="AX792" s="1" t="n"/>
      <c r="AY792" s="1" t="n"/>
      <c r="AZ792" s="1" t="n"/>
      <c r="BA792" s="1" t="n"/>
    </row>
    <row r="793" ht="16.5" customHeight="1" s="220">
      <c r="A793" s="1" t="n"/>
      <c r="B793" s="1" t="n"/>
      <c r="C793" s="2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  <c r="AR793" s="1" t="n"/>
      <c r="AS793" s="1" t="n"/>
      <c r="AT793" s="1" t="n"/>
      <c r="AU793" s="1" t="n"/>
      <c r="AV793" s="1" t="n"/>
      <c r="AW793" s="1" t="n"/>
      <c r="AX793" s="1" t="n"/>
      <c r="AY793" s="1" t="n"/>
      <c r="AZ793" s="1" t="n"/>
      <c r="BA793" s="1" t="n"/>
    </row>
    <row r="794" ht="16.5" customHeight="1" s="220">
      <c r="A794" s="1" t="n"/>
      <c r="B794" s="1" t="n"/>
      <c r="C794" s="2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  <c r="AR794" s="1" t="n"/>
      <c r="AS794" s="1" t="n"/>
      <c r="AT794" s="1" t="n"/>
      <c r="AU794" s="1" t="n"/>
      <c r="AV794" s="1" t="n"/>
      <c r="AW794" s="1" t="n"/>
      <c r="AX794" s="1" t="n"/>
      <c r="AY794" s="1" t="n"/>
      <c r="AZ794" s="1" t="n"/>
      <c r="BA794" s="1" t="n"/>
    </row>
    <row r="795" ht="16.5" customHeight="1" s="220">
      <c r="A795" s="1" t="n"/>
      <c r="B795" s="1" t="n"/>
      <c r="C795" s="2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  <c r="AR795" s="1" t="n"/>
      <c r="AS795" s="1" t="n"/>
      <c r="AT795" s="1" t="n"/>
      <c r="AU795" s="1" t="n"/>
      <c r="AV795" s="1" t="n"/>
      <c r="AW795" s="1" t="n"/>
      <c r="AX795" s="1" t="n"/>
      <c r="AY795" s="1" t="n"/>
      <c r="AZ795" s="1" t="n"/>
      <c r="BA795" s="1" t="n"/>
    </row>
    <row r="796" ht="16.5" customHeight="1" s="220">
      <c r="A796" s="1" t="n"/>
      <c r="B796" s="1" t="n"/>
      <c r="C796" s="2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  <c r="AR796" s="1" t="n"/>
      <c r="AS796" s="1" t="n"/>
      <c r="AT796" s="1" t="n"/>
      <c r="AU796" s="1" t="n"/>
      <c r="AV796" s="1" t="n"/>
      <c r="AW796" s="1" t="n"/>
      <c r="AX796" s="1" t="n"/>
      <c r="AY796" s="1" t="n"/>
      <c r="AZ796" s="1" t="n"/>
      <c r="BA796" s="1" t="n"/>
    </row>
    <row r="797" ht="16.5" customHeight="1" s="220">
      <c r="A797" s="1" t="n"/>
      <c r="B797" s="1" t="n"/>
      <c r="C797" s="2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  <c r="AR797" s="1" t="n"/>
      <c r="AS797" s="1" t="n"/>
      <c r="AT797" s="1" t="n"/>
      <c r="AU797" s="1" t="n"/>
      <c r="AV797" s="1" t="n"/>
      <c r="AW797" s="1" t="n"/>
      <c r="AX797" s="1" t="n"/>
      <c r="AY797" s="1" t="n"/>
      <c r="AZ797" s="1" t="n"/>
      <c r="BA797" s="1" t="n"/>
    </row>
    <row r="798" ht="16.5" customHeight="1" s="220">
      <c r="A798" s="1" t="n"/>
      <c r="B798" s="1" t="n"/>
      <c r="C798" s="2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  <c r="AR798" s="1" t="n"/>
      <c r="AS798" s="1" t="n"/>
      <c r="AT798" s="1" t="n"/>
      <c r="AU798" s="1" t="n"/>
      <c r="AV798" s="1" t="n"/>
      <c r="AW798" s="1" t="n"/>
      <c r="AX798" s="1" t="n"/>
      <c r="AY798" s="1" t="n"/>
      <c r="AZ798" s="1" t="n"/>
      <c r="BA798" s="1" t="n"/>
    </row>
    <row r="799" ht="16.5" customHeight="1" s="220">
      <c r="A799" s="1" t="n"/>
      <c r="B799" s="1" t="n"/>
      <c r="C799" s="2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  <c r="AR799" s="1" t="n"/>
      <c r="AS799" s="1" t="n"/>
      <c r="AT799" s="1" t="n"/>
      <c r="AU799" s="1" t="n"/>
      <c r="AV799" s="1" t="n"/>
      <c r="AW799" s="1" t="n"/>
      <c r="AX799" s="1" t="n"/>
      <c r="AY799" s="1" t="n"/>
      <c r="AZ799" s="1" t="n"/>
      <c r="BA799" s="1" t="n"/>
    </row>
    <row r="800" ht="16.5" customHeight="1" s="220">
      <c r="A800" s="1" t="n"/>
      <c r="B800" s="1" t="n"/>
      <c r="C800" s="2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  <c r="AR800" s="1" t="n"/>
      <c r="AS800" s="1" t="n"/>
      <c r="AT800" s="1" t="n"/>
      <c r="AU800" s="1" t="n"/>
      <c r="AV800" s="1" t="n"/>
      <c r="AW800" s="1" t="n"/>
      <c r="AX800" s="1" t="n"/>
      <c r="AY800" s="1" t="n"/>
      <c r="AZ800" s="1" t="n"/>
      <c r="BA800" s="1" t="n"/>
    </row>
    <row r="801" ht="16.5" customHeight="1" s="220">
      <c r="A801" s="1" t="n"/>
      <c r="B801" s="1" t="n"/>
      <c r="C801" s="2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  <c r="AR801" s="1" t="n"/>
      <c r="AS801" s="1" t="n"/>
      <c r="AT801" s="1" t="n"/>
      <c r="AU801" s="1" t="n"/>
      <c r="AV801" s="1" t="n"/>
      <c r="AW801" s="1" t="n"/>
      <c r="AX801" s="1" t="n"/>
      <c r="AY801" s="1" t="n"/>
      <c r="AZ801" s="1" t="n"/>
      <c r="BA801" s="1" t="n"/>
    </row>
    <row r="802" ht="16.5" customHeight="1" s="220">
      <c r="A802" s="1" t="n"/>
      <c r="B802" s="1" t="n"/>
      <c r="C802" s="2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  <c r="AR802" s="1" t="n"/>
      <c r="AS802" s="1" t="n"/>
      <c r="AT802" s="1" t="n"/>
      <c r="AU802" s="1" t="n"/>
      <c r="AV802" s="1" t="n"/>
      <c r="AW802" s="1" t="n"/>
      <c r="AX802" s="1" t="n"/>
      <c r="AY802" s="1" t="n"/>
      <c r="AZ802" s="1" t="n"/>
      <c r="BA802" s="1" t="n"/>
    </row>
    <row r="803" ht="16.5" customHeight="1" s="220">
      <c r="A803" s="1" t="n"/>
      <c r="B803" s="1" t="n"/>
      <c r="C803" s="2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  <c r="AR803" s="1" t="n"/>
      <c r="AS803" s="1" t="n"/>
      <c r="AT803" s="1" t="n"/>
      <c r="AU803" s="1" t="n"/>
      <c r="AV803" s="1" t="n"/>
      <c r="AW803" s="1" t="n"/>
      <c r="AX803" s="1" t="n"/>
      <c r="AY803" s="1" t="n"/>
      <c r="AZ803" s="1" t="n"/>
      <c r="BA803" s="1" t="n"/>
    </row>
    <row r="804" ht="16.5" customHeight="1" s="220">
      <c r="A804" s="1" t="n"/>
      <c r="B804" s="1" t="n"/>
      <c r="C804" s="2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  <c r="AR804" s="1" t="n"/>
      <c r="AS804" s="1" t="n"/>
      <c r="AT804" s="1" t="n"/>
      <c r="AU804" s="1" t="n"/>
      <c r="AV804" s="1" t="n"/>
      <c r="AW804" s="1" t="n"/>
      <c r="AX804" s="1" t="n"/>
      <c r="AY804" s="1" t="n"/>
      <c r="AZ804" s="1" t="n"/>
      <c r="BA804" s="1" t="n"/>
    </row>
    <row r="805" ht="16.5" customHeight="1" s="220">
      <c r="A805" s="1" t="n"/>
      <c r="B805" s="1" t="n"/>
      <c r="C805" s="2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  <c r="AR805" s="1" t="n"/>
      <c r="AS805" s="1" t="n"/>
      <c r="AT805" s="1" t="n"/>
      <c r="AU805" s="1" t="n"/>
      <c r="AV805" s="1" t="n"/>
      <c r="AW805" s="1" t="n"/>
      <c r="AX805" s="1" t="n"/>
      <c r="AY805" s="1" t="n"/>
      <c r="AZ805" s="1" t="n"/>
      <c r="BA805" s="1" t="n"/>
    </row>
    <row r="806" ht="16.5" customHeight="1" s="220">
      <c r="A806" s="1" t="n"/>
      <c r="B806" s="1" t="n"/>
      <c r="C806" s="2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Q806" s="1" t="n"/>
      <c r="AR806" s="1" t="n"/>
      <c r="AS806" s="1" t="n"/>
      <c r="AT806" s="1" t="n"/>
      <c r="AU806" s="1" t="n"/>
      <c r="AV806" s="1" t="n"/>
      <c r="AW806" s="1" t="n"/>
      <c r="AX806" s="1" t="n"/>
      <c r="AY806" s="1" t="n"/>
      <c r="AZ806" s="1" t="n"/>
      <c r="BA806" s="1" t="n"/>
    </row>
    <row r="807" ht="16.5" customHeight="1" s="220">
      <c r="A807" s="1" t="n"/>
      <c r="B807" s="1" t="n"/>
      <c r="C807" s="2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  <c r="AR807" s="1" t="n"/>
      <c r="AS807" s="1" t="n"/>
      <c r="AT807" s="1" t="n"/>
      <c r="AU807" s="1" t="n"/>
      <c r="AV807" s="1" t="n"/>
      <c r="AW807" s="1" t="n"/>
      <c r="AX807" s="1" t="n"/>
      <c r="AY807" s="1" t="n"/>
      <c r="AZ807" s="1" t="n"/>
      <c r="BA807" s="1" t="n"/>
    </row>
    <row r="808" ht="16.5" customHeight="1" s="220">
      <c r="A808" s="1" t="n"/>
      <c r="B808" s="1" t="n"/>
      <c r="C808" s="2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  <c r="AR808" s="1" t="n"/>
      <c r="AS808" s="1" t="n"/>
      <c r="AT808" s="1" t="n"/>
      <c r="AU808" s="1" t="n"/>
      <c r="AV808" s="1" t="n"/>
      <c r="AW808" s="1" t="n"/>
      <c r="AX808" s="1" t="n"/>
      <c r="AY808" s="1" t="n"/>
      <c r="AZ808" s="1" t="n"/>
      <c r="BA808" s="1" t="n"/>
    </row>
    <row r="809" ht="16.5" customHeight="1" s="220">
      <c r="A809" s="1" t="n"/>
      <c r="B809" s="1" t="n"/>
      <c r="C809" s="2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  <c r="AR809" s="1" t="n"/>
      <c r="AS809" s="1" t="n"/>
      <c r="AT809" s="1" t="n"/>
      <c r="AU809" s="1" t="n"/>
      <c r="AV809" s="1" t="n"/>
      <c r="AW809" s="1" t="n"/>
      <c r="AX809" s="1" t="n"/>
      <c r="AY809" s="1" t="n"/>
      <c r="AZ809" s="1" t="n"/>
      <c r="BA809" s="1" t="n"/>
    </row>
    <row r="810" ht="16.5" customHeight="1" s="220">
      <c r="A810" s="1" t="n"/>
      <c r="B810" s="1" t="n"/>
      <c r="C810" s="2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  <c r="AR810" s="1" t="n"/>
      <c r="AS810" s="1" t="n"/>
      <c r="AT810" s="1" t="n"/>
      <c r="AU810" s="1" t="n"/>
      <c r="AV810" s="1" t="n"/>
      <c r="AW810" s="1" t="n"/>
      <c r="AX810" s="1" t="n"/>
      <c r="AY810" s="1" t="n"/>
      <c r="AZ810" s="1" t="n"/>
      <c r="BA810" s="1" t="n"/>
    </row>
    <row r="811" ht="16.5" customHeight="1" s="220">
      <c r="A811" s="1" t="n"/>
      <c r="B811" s="1" t="n"/>
      <c r="C811" s="2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  <c r="AR811" s="1" t="n"/>
      <c r="AS811" s="1" t="n"/>
      <c r="AT811" s="1" t="n"/>
      <c r="AU811" s="1" t="n"/>
      <c r="AV811" s="1" t="n"/>
      <c r="AW811" s="1" t="n"/>
      <c r="AX811" s="1" t="n"/>
      <c r="AY811" s="1" t="n"/>
      <c r="AZ811" s="1" t="n"/>
      <c r="BA811" s="1" t="n"/>
    </row>
    <row r="812" ht="16.5" customHeight="1" s="220">
      <c r="A812" s="1" t="n"/>
      <c r="B812" s="1" t="n"/>
      <c r="C812" s="2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  <c r="AR812" s="1" t="n"/>
      <c r="AS812" s="1" t="n"/>
      <c r="AT812" s="1" t="n"/>
      <c r="AU812" s="1" t="n"/>
      <c r="AV812" s="1" t="n"/>
      <c r="AW812" s="1" t="n"/>
      <c r="AX812" s="1" t="n"/>
      <c r="AY812" s="1" t="n"/>
      <c r="AZ812" s="1" t="n"/>
      <c r="BA812" s="1" t="n"/>
    </row>
    <row r="813" ht="16.5" customHeight="1" s="220">
      <c r="A813" s="1" t="n"/>
      <c r="B813" s="1" t="n"/>
      <c r="C813" s="2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  <c r="AR813" s="1" t="n"/>
      <c r="AS813" s="1" t="n"/>
      <c r="AT813" s="1" t="n"/>
      <c r="AU813" s="1" t="n"/>
      <c r="AV813" s="1" t="n"/>
      <c r="AW813" s="1" t="n"/>
      <c r="AX813" s="1" t="n"/>
      <c r="AY813" s="1" t="n"/>
      <c r="AZ813" s="1" t="n"/>
      <c r="BA813" s="1" t="n"/>
    </row>
    <row r="814" ht="16.5" customHeight="1" s="220">
      <c r="A814" s="1" t="n"/>
      <c r="B814" s="1" t="n"/>
      <c r="C814" s="2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  <c r="AR814" s="1" t="n"/>
      <c r="AS814" s="1" t="n"/>
      <c r="AT814" s="1" t="n"/>
      <c r="AU814" s="1" t="n"/>
      <c r="AV814" s="1" t="n"/>
      <c r="AW814" s="1" t="n"/>
      <c r="AX814" s="1" t="n"/>
      <c r="AY814" s="1" t="n"/>
      <c r="AZ814" s="1" t="n"/>
      <c r="BA814" s="1" t="n"/>
    </row>
    <row r="815" ht="16.5" customHeight="1" s="220">
      <c r="A815" s="1" t="n"/>
      <c r="B815" s="1" t="n"/>
      <c r="C815" s="2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  <c r="AR815" s="1" t="n"/>
      <c r="AS815" s="1" t="n"/>
      <c r="AT815" s="1" t="n"/>
      <c r="AU815" s="1" t="n"/>
      <c r="AV815" s="1" t="n"/>
      <c r="AW815" s="1" t="n"/>
      <c r="AX815" s="1" t="n"/>
      <c r="AY815" s="1" t="n"/>
      <c r="AZ815" s="1" t="n"/>
      <c r="BA815" s="1" t="n"/>
    </row>
    <row r="816" ht="16.5" customHeight="1" s="220">
      <c r="A816" s="1" t="n"/>
      <c r="B816" s="1" t="n"/>
      <c r="C816" s="2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  <c r="AR816" s="1" t="n"/>
      <c r="AS816" s="1" t="n"/>
      <c r="AT816" s="1" t="n"/>
      <c r="AU816" s="1" t="n"/>
      <c r="AV816" s="1" t="n"/>
      <c r="AW816" s="1" t="n"/>
      <c r="AX816" s="1" t="n"/>
      <c r="AY816" s="1" t="n"/>
      <c r="AZ816" s="1" t="n"/>
      <c r="BA816" s="1" t="n"/>
    </row>
    <row r="817" ht="16.5" customHeight="1" s="220">
      <c r="A817" s="1" t="n"/>
      <c r="B817" s="1" t="n"/>
      <c r="C817" s="2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  <c r="AR817" s="1" t="n"/>
      <c r="AS817" s="1" t="n"/>
      <c r="AT817" s="1" t="n"/>
      <c r="AU817" s="1" t="n"/>
      <c r="AV817" s="1" t="n"/>
      <c r="AW817" s="1" t="n"/>
      <c r="AX817" s="1" t="n"/>
      <c r="AY817" s="1" t="n"/>
      <c r="AZ817" s="1" t="n"/>
      <c r="BA817" s="1" t="n"/>
    </row>
    <row r="818" ht="16.5" customHeight="1" s="220">
      <c r="A818" s="1" t="n"/>
      <c r="B818" s="1" t="n"/>
      <c r="C818" s="2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Q818" s="1" t="n"/>
      <c r="AR818" s="1" t="n"/>
      <c r="AS818" s="1" t="n"/>
      <c r="AT818" s="1" t="n"/>
      <c r="AU818" s="1" t="n"/>
      <c r="AV818" s="1" t="n"/>
      <c r="AW818" s="1" t="n"/>
      <c r="AX818" s="1" t="n"/>
      <c r="AY818" s="1" t="n"/>
      <c r="AZ818" s="1" t="n"/>
      <c r="BA818" s="1" t="n"/>
    </row>
    <row r="819" ht="16.5" customHeight="1" s="220">
      <c r="A819" s="1" t="n"/>
      <c r="B819" s="1" t="n"/>
      <c r="C819" s="2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  <c r="AR819" s="1" t="n"/>
      <c r="AS819" s="1" t="n"/>
      <c r="AT819" s="1" t="n"/>
      <c r="AU819" s="1" t="n"/>
      <c r="AV819" s="1" t="n"/>
      <c r="AW819" s="1" t="n"/>
      <c r="AX819" s="1" t="n"/>
      <c r="AY819" s="1" t="n"/>
      <c r="AZ819" s="1" t="n"/>
      <c r="BA819" s="1" t="n"/>
    </row>
    <row r="820" ht="16.5" customHeight="1" s="220">
      <c r="A820" s="1" t="n"/>
      <c r="B820" s="1" t="n"/>
      <c r="C820" s="2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  <c r="AR820" s="1" t="n"/>
      <c r="AS820" s="1" t="n"/>
      <c r="AT820" s="1" t="n"/>
      <c r="AU820" s="1" t="n"/>
      <c r="AV820" s="1" t="n"/>
      <c r="AW820" s="1" t="n"/>
      <c r="AX820" s="1" t="n"/>
      <c r="AY820" s="1" t="n"/>
      <c r="AZ820" s="1" t="n"/>
      <c r="BA820" s="1" t="n"/>
    </row>
    <row r="821" ht="16.5" customHeight="1" s="220">
      <c r="A821" s="1" t="n"/>
      <c r="B821" s="1" t="n"/>
      <c r="C821" s="2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  <c r="AR821" s="1" t="n"/>
      <c r="AS821" s="1" t="n"/>
      <c r="AT821" s="1" t="n"/>
      <c r="AU821" s="1" t="n"/>
      <c r="AV821" s="1" t="n"/>
      <c r="AW821" s="1" t="n"/>
      <c r="AX821" s="1" t="n"/>
      <c r="AY821" s="1" t="n"/>
      <c r="AZ821" s="1" t="n"/>
      <c r="BA821" s="1" t="n"/>
    </row>
    <row r="822" ht="16.5" customHeight="1" s="220">
      <c r="A822" s="1" t="n"/>
      <c r="B822" s="1" t="n"/>
      <c r="C822" s="2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  <c r="AR822" s="1" t="n"/>
      <c r="AS822" s="1" t="n"/>
      <c r="AT822" s="1" t="n"/>
      <c r="AU822" s="1" t="n"/>
      <c r="AV822" s="1" t="n"/>
      <c r="AW822" s="1" t="n"/>
      <c r="AX822" s="1" t="n"/>
      <c r="AY822" s="1" t="n"/>
      <c r="AZ822" s="1" t="n"/>
      <c r="BA822" s="1" t="n"/>
    </row>
    <row r="823" ht="16.5" customHeight="1" s="220">
      <c r="A823" s="1" t="n"/>
      <c r="B823" s="1" t="n"/>
      <c r="C823" s="2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  <c r="AR823" s="1" t="n"/>
      <c r="AS823" s="1" t="n"/>
      <c r="AT823" s="1" t="n"/>
      <c r="AU823" s="1" t="n"/>
      <c r="AV823" s="1" t="n"/>
      <c r="AW823" s="1" t="n"/>
      <c r="AX823" s="1" t="n"/>
      <c r="AY823" s="1" t="n"/>
      <c r="AZ823" s="1" t="n"/>
      <c r="BA823" s="1" t="n"/>
    </row>
    <row r="824" ht="16.5" customHeight="1" s="220">
      <c r="A824" s="1" t="n"/>
      <c r="B824" s="1" t="n"/>
      <c r="C824" s="2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  <c r="AR824" s="1" t="n"/>
      <c r="AS824" s="1" t="n"/>
      <c r="AT824" s="1" t="n"/>
      <c r="AU824" s="1" t="n"/>
      <c r="AV824" s="1" t="n"/>
      <c r="AW824" s="1" t="n"/>
      <c r="AX824" s="1" t="n"/>
      <c r="AY824" s="1" t="n"/>
      <c r="AZ824" s="1" t="n"/>
      <c r="BA824" s="1" t="n"/>
    </row>
    <row r="825" ht="16.5" customHeight="1" s="220">
      <c r="A825" s="1" t="n"/>
      <c r="B825" s="1" t="n"/>
      <c r="C825" s="2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  <c r="AR825" s="1" t="n"/>
      <c r="AS825" s="1" t="n"/>
      <c r="AT825" s="1" t="n"/>
      <c r="AU825" s="1" t="n"/>
      <c r="AV825" s="1" t="n"/>
      <c r="AW825" s="1" t="n"/>
      <c r="AX825" s="1" t="n"/>
      <c r="AY825" s="1" t="n"/>
      <c r="AZ825" s="1" t="n"/>
      <c r="BA825" s="1" t="n"/>
    </row>
    <row r="826" ht="16.5" customHeight="1" s="220">
      <c r="A826" s="1" t="n"/>
      <c r="B826" s="1" t="n"/>
      <c r="C826" s="2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  <c r="AR826" s="1" t="n"/>
      <c r="AS826" s="1" t="n"/>
      <c r="AT826" s="1" t="n"/>
      <c r="AU826" s="1" t="n"/>
      <c r="AV826" s="1" t="n"/>
      <c r="AW826" s="1" t="n"/>
      <c r="AX826" s="1" t="n"/>
      <c r="AY826" s="1" t="n"/>
      <c r="AZ826" s="1" t="n"/>
      <c r="BA826" s="1" t="n"/>
    </row>
    <row r="827" ht="16.5" customHeight="1" s="220">
      <c r="A827" s="1" t="n"/>
      <c r="B827" s="1" t="n"/>
      <c r="C827" s="2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  <c r="AR827" s="1" t="n"/>
      <c r="AS827" s="1" t="n"/>
      <c r="AT827" s="1" t="n"/>
      <c r="AU827" s="1" t="n"/>
      <c r="AV827" s="1" t="n"/>
      <c r="AW827" s="1" t="n"/>
      <c r="AX827" s="1" t="n"/>
      <c r="AY827" s="1" t="n"/>
      <c r="AZ827" s="1" t="n"/>
      <c r="BA827" s="1" t="n"/>
    </row>
    <row r="828" ht="16.5" customHeight="1" s="220">
      <c r="A828" s="1" t="n"/>
      <c r="B828" s="1" t="n"/>
      <c r="C828" s="2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Q828" s="1" t="n"/>
      <c r="AR828" s="1" t="n"/>
      <c r="AS828" s="1" t="n"/>
      <c r="AT828" s="1" t="n"/>
      <c r="AU828" s="1" t="n"/>
      <c r="AV828" s="1" t="n"/>
      <c r="AW828" s="1" t="n"/>
      <c r="AX828" s="1" t="n"/>
      <c r="AY828" s="1" t="n"/>
      <c r="AZ828" s="1" t="n"/>
      <c r="BA828" s="1" t="n"/>
    </row>
    <row r="829" ht="16.5" customHeight="1" s="220">
      <c r="A829" s="1" t="n"/>
      <c r="B829" s="1" t="n"/>
      <c r="C829" s="2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  <c r="AR829" s="1" t="n"/>
      <c r="AS829" s="1" t="n"/>
      <c r="AT829" s="1" t="n"/>
      <c r="AU829" s="1" t="n"/>
      <c r="AV829" s="1" t="n"/>
      <c r="AW829" s="1" t="n"/>
      <c r="AX829" s="1" t="n"/>
      <c r="AY829" s="1" t="n"/>
      <c r="AZ829" s="1" t="n"/>
      <c r="BA829" s="1" t="n"/>
    </row>
    <row r="830" ht="16.5" customHeight="1" s="220">
      <c r="A830" s="1" t="n"/>
      <c r="B830" s="1" t="n"/>
      <c r="C830" s="2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  <c r="AR830" s="1" t="n"/>
      <c r="AS830" s="1" t="n"/>
      <c r="AT830" s="1" t="n"/>
      <c r="AU830" s="1" t="n"/>
      <c r="AV830" s="1" t="n"/>
      <c r="AW830" s="1" t="n"/>
      <c r="AX830" s="1" t="n"/>
      <c r="AY830" s="1" t="n"/>
      <c r="AZ830" s="1" t="n"/>
      <c r="BA830" s="1" t="n"/>
    </row>
    <row r="831" ht="16.5" customHeight="1" s="220">
      <c r="A831" s="1" t="n"/>
      <c r="B831" s="1" t="n"/>
      <c r="C831" s="2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  <c r="AR831" s="1" t="n"/>
      <c r="AS831" s="1" t="n"/>
      <c r="AT831" s="1" t="n"/>
      <c r="AU831" s="1" t="n"/>
      <c r="AV831" s="1" t="n"/>
      <c r="AW831" s="1" t="n"/>
      <c r="AX831" s="1" t="n"/>
      <c r="AY831" s="1" t="n"/>
      <c r="AZ831" s="1" t="n"/>
      <c r="BA831" s="1" t="n"/>
    </row>
    <row r="832" ht="16.5" customHeight="1" s="220">
      <c r="A832" s="1" t="n"/>
      <c r="B832" s="1" t="n"/>
      <c r="C832" s="2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  <c r="AR832" s="1" t="n"/>
      <c r="AS832" s="1" t="n"/>
      <c r="AT832" s="1" t="n"/>
      <c r="AU832" s="1" t="n"/>
      <c r="AV832" s="1" t="n"/>
      <c r="AW832" s="1" t="n"/>
      <c r="AX832" s="1" t="n"/>
      <c r="AY832" s="1" t="n"/>
      <c r="AZ832" s="1" t="n"/>
      <c r="BA832" s="1" t="n"/>
    </row>
    <row r="833" ht="16.5" customHeight="1" s="220">
      <c r="A833" s="1" t="n"/>
      <c r="B833" s="1" t="n"/>
      <c r="C833" s="2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  <c r="AR833" s="1" t="n"/>
      <c r="AS833" s="1" t="n"/>
      <c r="AT833" s="1" t="n"/>
      <c r="AU833" s="1" t="n"/>
      <c r="AV833" s="1" t="n"/>
      <c r="AW833" s="1" t="n"/>
      <c r="AX833" s="1" t="n"/>
      <c r="AY833" s="1" t="n"/>
      <c r="AZ833" s="1" t="n"/>
      <c r="BA833" s="1" t="n"/>
    </row>
    <row r="834" ht="16.5" customHeight="1" s="220">
      <c r="A834" s="1" t="n"/>
      <c r="B834" s="1" t="n"/>
      <c r="C834" s="2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  <c r="AR834" s="1" t="n"/>
      <c r="AS834" s="1" t="n"/>
      <c r="AT834" s="1" t="n"/>
      <c r="AU834" s="1" t="n"/>
      <c r="AV834" s="1" t="n"/>
      <c r="AW834" s="1" t="n"/>
      <c r="AX834" s="1" t="n"/>
      <c r="AY834" s="1" t="n"/>
      <c r="AZ834" s="1" t="n"/>
      <c r="BA834" s="1" t="n"/>
    </row>
    <row r="835" ht="16.5" customHeight="1" s="220">
      <c r="A835" s="1" t="n"/>
      <c r="B835" s="1" t="n"/>
      <c r="C835" s="2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  <c r="AR835" s="1" t="n"/>
      <c r="AS835" s="1" t="n"/>
      <c r="AT835" s="1" t="n"/>
      <c r="AU835" s="1" t="n"/>
      <c r="AV835" s="1" t="n"/>
      <c r="AW835" s="1" t="n"/>
      <c r="AX835" s="1" t="n"/>
      <c r="AY835" s="1" t="n"/>
      <c r="AZ835" s="1" t="n"/>
      <c r="BA835" s="1" t="n"/>
    </row>
    <row r="836" ht="16.5" customHeight="1" s="220">
      <c r="A836" s="1" t="n"/>
      <c r="B836" s="1" t="n"/>
      <c r="C836" s="2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  <c r="AR836" s="1" t="n"/>
      <c r="AS836" s="1" t="n"/>
      <c r="AT836" s="1" t="n"/>
      <c r="AU836" s="1" t="n"/>
      <c r="AV836" s="1" t="n"/>
      <c r="AW836" s="1" t="n"/>
      <c r="AX836" s="1" t="n"/>
      <c r="AY836" s="1" t="n"/>
      <c r="AZ836" s="1" t="n"/>
      <c r="BA836" s="1" t="n"/>
    </row>
    <row r="837" ht="16.5" customHeight="1" s="220">
      <c r="A837" s="1" t="n"/>
      <c r="B837" s="1" t="n"/>
      <c r="C837" s="2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  <c r="AR837" s="1" t="n"/>
      <c r="AS837" s="1" t="n"/>
      <c r="AT837" s="1" t="n"/>
      <c r="AU837" s="1" t="n"/>
      <c r="AV837" s="1" t="n"/>
      <c r="AW837" s="1" t="n"/>
      <c r="AX837" s="1" t="n"/>
      <c r="AY837" s="1" t="n"/>
      <c r="AZ837" s="1" t="n"/>
      <c r="BA837" s="1" t="n"/>
    </row>
    <row r="838" ht="16.5" customHeight="1" s="220">
      <c r="A838" s="1" t="n"/>
      <c r="B838" s="1" t="n"/>
      <c r="C838" s="2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  <c r="AR838" s="1" t="n"/>
      <c r="AS838" s="1" t="n"/>
      <c r="AT838" s="1" t="n"/>
      <c r="AU838" s="1" t="n"/>
      <c r="AV838" s="1" t="n"/>
      <c r="AW838" s="1" t="n"/>
      <c r="AX838" s="1" t="n"/>
      <c r="AY838" s="1" t="n"/>
      <c r="AZ838" s="1" t="n"/>
      <c r="BA838" s="1" t="n"/>
    </row>
    <row r="839" ht="16.5" customHeight="1" s="220">
      <c r="A839" s="1" t="n"/>
      <c r="B839" s="1" t="n"/>
      <c r="C839" s="2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  <c r="AR839" s="1" t="n"/>
      <c r="AS839" s="1" t="n"/>
      <c r="AT839" s="1" t="n"/>
      <c r="AU839" s="1" t="n"/>
      <c r="AV839" s="1" t="n"/>
      <c r="AW839" s="1" t="n"/>
      <c r="AX839" s="1" t="n"/>
      <c r="AY839" s="1" t="n"/>
      <c r="AZ839" s="1" t="n"/>
      <c r="BA839" s="1" t="n"/>
    </row>
    <row r="840" ht="16.5" customHeight="1" s="220">
      <c r="A840" s="1" t="n"/>
      <c r="B840" s="1" t="n"/>
      <c r="C840" s="2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  <c r="AR840" s="1" t="n"/>
      <c r="AS840" s="1" t="n"/>
      <c r="AT840" s="1" t="n"/>
      <c r="AU840" s="1" t="n"/>
      <c r="AV840" s="1" t="n"/>
      <c r="AW840" s="1" t="n"/>
      <c r="AX840" s="1" t="n"/>
      <c r="AY840" s="1" t="n"/>
      <c r="AZ840" s="1" t="n"/>
      <c r="BA840" s="1" t="n"/>
    </row>
    <row r="841" ht="16.5" customHeight="1" s="220">
      <c r="A841" s="1" t="n"/>
      <c r="B841" s="1" t="n"/>
      <c r="C841" s="2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  <c r="AR841" s="1" t="n"/>
      <c r="AS841" s="1" t="n"/>
      <c r="AT841" s="1" t="n"/>
      <c r="AU841" s="1" t="n"/>
      <c r="AV841" s="1" t="n"/>
      <c r="AW841" s="1" t="n"/>
      <c r="AX841" s="1" t="n"/>
      <c r="AY841" s="1" t="n"/>
      <c r="AZ841" s="1" t="n"/>
      <c r="BA841" s="1" t="n"/>
    </row>
    <row r="842" ht="16.5" customHeight="1" s="220">
      <c r="A842" s="1" t="n"/>
      <c r="B842" s="1" t="n"/>
      <c r="C842" s="2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  <c r="AR842" s="1" t="n"/>
      <c r="AS842" s="1" t="n"/>
      <c r="AT842" s="1" t="n"/>
      <c r="AU842" s="1" t="n"/>
      <c r="AV842" s="1" t="n"/>
      <c r="AW842" s="1" t="n"/>
      <c r="AX842" s="1" t="n"/>
      <c r="AY842" s="1" t="n"/>
      <c r="AZ842" s="1" t="n"/>
      <c r="BA842" s="1" t="n"/>
    </row>
    <row r="843" ht="16.5" customHeight="1" s="220">
      <c r="A843" s="1" t="n"/>
      <c r="B843" s="1" t="n"/>
      <c r="C843" s="2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  <c r="AR843" s="1" t="n"/>
      <c r="AS843" s="1" t="n"/>
      <c r="AT843" s="1" t="n"/>
      <c r="AU843" s="1" t="n"/>
      <c r="AV843" s="1" t="n"/>
      <c r="AW843" s="1" t="n"/>
      <c r="AX843" s="1" t="n"/>
      <c r="AY843" s="1" t="n"/>
      <c r="AZ843" s="1" t="n"/>
      <c r="BA843" s="1" t="n"/>
    </row>
    <row r="844" ht="16.5" customHeight="1" s="220">
      <c r="A844" s="1" t="n"/>
      <c r="B844" s="1" t="n"/>
      <c r="C844" s="2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  <c r="AR844" s="1" t="n"/>
      <c r="AS844" s="1" t="n"/>
      <c r="AT844" s="1" t="n"/>
      <c r="AU844" s="1" t="n"/>
      <c r="AV844" s="1" t="n"/>
      <c r="AW844" s="1" t="n"/>
      <c r="AX844" s="1" t="n"/>
      <c r="AY844" s="1" t="n"/>
      <c r="AZ844" s="1" t="n"/>
      <c r="BA844" s="1" t="n"/>
    </row>
    <row r="845" ht="16.5" customHeight="1" s="220">
      <c r="A845" s="1" t="n"/>
      <c r="B845" s="1" t="n"/>
      <c r="C845" s="2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  <c r="AR845" s="1" t="n"/>
      <c r="AS845" s="1" t="n"/>
      <c r="AT845" s="1" t="n"/>
      <c r="AU845" s="1" t="n"/>
      <c r="AV845" s="1" t="n"/>
      <c r="AW845" s="1" t="n"/>
      <c r="AX845" s="1" t="n"/>
      <c r="AY845" s="1" t="n"/>
      <c r="AZ845" s="1" t="n"/>
      <c r="BA845" s="1" t="n"/>
    </row>
    <row r="846" ht="16.5" customHeight="1" s="220">
      <c r="A846" s="1" t="n"/>
      <c r="B846" s="1" t="n"/>
      <c r="C846" s="2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  <c r="AR846" s="1" t="n"/>
      <c r="AS846" s="1" t="n"/>
      <c r="AT846" s="1" t="n"/>
      <c r="AU846" s="1" t="n"/>
      <c r="AV846" s="1" t="n"/>
      <c r="AW846" s="1" t="n"/>
      <c r="AX846" s="1" t="n"/>
      <c r="AY846" s="1" t="n"/>
      <c r="AZ846" s="1" t="n"/>
      <c r="BA846" s="1" t="n"/>
    </row>
    <row r="847" ht="16.5" customHeight="1" s="220">
      <c r="A847" s="1" t="n"/>
      <c r="B847" s="1" t="n"/>
      <c r="C847" s="2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  <c r="AR847" s="1" t="n"/>
      <c r="AS847" s="1" t="n"/>
      <c r="AT847" s="1" t="n"/>
      <c r="AU847" s="1" t="n"/>
      <c r="AV847" s="1" t="n"/>
      <c r="AW847" s="1" t="n"/>
      <c r="AX847" s="1" t="n"/>
      <c r="AY847" s="1" t="n"/>
      <c r="AZ847" s="1" t="n"/>
      <c r="BA847" s="1" t="n"/>
    </row>
    <row r="848" ht="16.5" customHeight="1" s="220">
      <c r="A848" s="1" t="n"/>
      <c r="B848" s="1" t="n"/>
      <c r="C848" s="2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  <c r="AR848" s="1" t="n"/>
      <c r="AS848" s="1" t="n"/>
      <c r="AT848" s="1" t="n"/>
      <c r="AU848" s="1" t="n"/>
      <c r="AV848" s="1" t="n"/>
      <c r="AW848" s="1" t="n"/>
      <c r="AX848" s="1" t="n"/>
      <c r="AY848" s="1" t="n"/>
      <c r="AZ848" s="1" t="n"/>
      <c r="BA848" s="1" t="n"/>
    </row>
    <row r="849" ht="16.5" customHeight="1" s="220">
      <c r="A849" s="1" t="n"/>
      <c r="B849" s="1" t="n"/>
      <c r="C849" s="2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  <c r="AR849" s="1" t="n"/>
      <c r="AS849" s="1" t="n"/>
      <c r="AT849" s="1" t="n"/>
      <c r="AU849" s="1" t="n"/>
      <c r="AV849" s="1" t="n"/>
      <c r="AW849" s="1" t="n"/>
      <c r="AX849" s="1" t="n"/>
      <c r="AY849" s="1" t="n"/>
      <c r="AZ849" s="1" t="n"/>
      <c r="BA849" s="1" t="n"/>
    </row>
    <row r="850" ht="16.5" customHeight="1" s="220">
      <c r="A850" s="1" t="n"/>
      <c r="B850" s="1" t="n"/>
      <c r="C850" s="2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  <c r="AR850" s="1" t="n"/>
      <c r="AS850" s="1" t="n"/>
      <c r="AT850" s="1" t="n"/>
      <c r="AU850" s="1" t="n"/>
      <c r="AV850" s="1" t="n"/>
      <c r="AW850" s="1" t="n"/>
      <c r="AX850" s="1" t="n"/>
      <c r="AY850" s="1" t="n"/>
      <c r="AZ850" s="1" t="n"/>
      <c r="BA850" s="1" t="n"/>
    </row>
    <row r="851" ht="16.5" customHeight="1" s="220">
      <c r="A851" s="1" t="n"/>
      <c r="B851" s="1" t="n"/>
      <c r="C851" s="2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  <c r="AR851" s="1" t="n"/>
      <c r="AS851" s="1" t="n"/>
      <c r="AT851" s="1" t="n"/>
      <c r="AU851" s="1" t="n"/>
      <c r="AV851" s="1" t="n"/>
      <c r="AW851" s="1" t="n"/>
      <c r="AX851" s="1" t="n"/>
      <c r="AY851" s="1" t="n"/>
      <c r="AZ851" s="1" t="n"/>
      <c r="BA851" s="1" t="n"/>
    </row>
    <row r="852" ht="16.5" customHeight="1" s="220">
      <c r="A852" s="1" t="n"/>
      <c r="B852" s="1" t="n"/>
      <c r="C852" s="2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  <c r="AR852" s="1" t="n"/>
      <c r="AS852" s="1" t="n"/>
      <c r="AT852" s="1" t="n"/>
      <c r="AU852" s="1" t="n"/>
      <c r="AV852" s="1" t="n"/>
      <c r="AW852" s="1" t="n"/>
      <c r="AX852" s="1" t="n"/>
      <c r="AY852" s="1" t="n"/>
      <c r="AZ852" s="1" t="n"/>
      <c r="BA852" s="1" t="n"/>
    </row>
    <row r="853" ht="16.5" customHeight="1" s="220">
      <c r="A853" s="1" t="n"/>
      <c r="B853" s="1" t="n"/>
      <c r="C853" s="2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  <c r="AR853" s="1" t="n"/>
      <c r="AS853" s="1" t="n"/>
      <c r="AT853" s="1" t="n"/>
      <c r="AU853" s="1" t="n"/>
      <c r="AV853" s="1" t="n"/>
      <c r="AW853" s="1" t="n"/>
      <c r="AX853" s="1" t="n"/>
      <c r="AY853" s="1" t="n"/>
      <c r="AZ853" s="1" t="n"/>
      <c r="BA853" s="1" t="n"/>
    </row>
    <row r="854" ht="16.5" customHeight="1" s="220">
      <c r="A854" s="1" t="n"/>
      <c r="B854" s="1" t="n"/>
      <c r="C854" s="2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  <c r="AR854" s="1" t="n"/>
      <c r="AS854" s="1" t="n"/>
      <c r="AT854" s="1" t="n"/>
      <c r="AU854" s="1" t="n"/>
      <c r="AV854" s="1" t="n"/>
      <c r="AW854" s="1" t="n"/>
      <c r="AX854" s="1" t="n"/>
      <c r="AY854" s="1" t="n"/>
      <c r="AZ854" s="1" t="n"/>
      <c r="BA854" s="1" t="n"/>
    </row>
    <row r="855" ht="16.5" customHeight="1" s="220">
      <c r="A855" s="1" t="n"/>
      <c r="B855" s="1" t="n"/>
      <c r="C855" s="2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  <c r="AR855" s="1" t="n"/>
      <c r="AS855" s="1" t="n"/>
      <c r="AT855" s="1" t="n"/>
      <c r="AU855" s="1" t="n"/>
      <c r="AV855" s="1" t="n"/>
      <c r="AW855" s="1" t="n"/>
      <c r="AX855" s="1" t="n"/>
      <c r="AY855" s="1" t="n"/>
      <c r="AZ855" s="1" t="n"/>
      <c r="BA855" s="1" t="n"/>
    </row>
    <row r="856" ht="16.5" customHeight="1" s="220">
      <c r="A856" s="1" t="n"/>
      <c r="B856" s="1" t="n"/>
      <c r="C856" s="2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  <c r="AR856" s="1" t="n"/>
      <c r="AS856" s="1" t="n"/>
      <c r="AT856" s="1" t="n"/>
      <c r="AU856" s="1" t="n"/>
      <c r="AV856" s="1" t="n"/>
      <c r="AW856" s="1" t="n"/>
      <c r="AX856" s="1" t="n"/>
      <c r="AY856" s="1" t="n"/>
      <c r="AZ856" s="1" t="n"/>
      <c r="BA856" s="1" t="n"/>
    </row>
    <row r="857" ht="16.5" customHeight="1" s="220">
      <c r="A857" s="1" t="n"/>
      <c r="B857" s="1" t="n"/>
      <c r="C857" s="2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  <c r="AR857" s="1" t="n"/>
      <c r="AS857" s="1" t="n"/>
      <c r="AT857" s="1" t="n"/>
      <c r="AU857" s="1" t="n"/>
      <c r="AV857" s="1" t="n"/>
      <c r="AW857" s="1" t="n"/>
      <c r="AX857" s="1" t="n"/>
      <c r="AY857" s="1" t="n"/>
      <c r="AZ857" s="1" t="n"/>
      <c r="BA857" s="1" t="n"/>
    </row>
    <row r="858" ht="16.5" customHeight="1" s="220">
      <c r="A858" s="1" t="n"/>
      <c r="B858" s="1" t="n"/>
      <c r="C858" s="2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  <c r="AR858" s="1" t="n"/>
      <c r="AS858" s="1" t="n"/>
      <c r="AT858" s="1" t="n"/>
      <c r="AU858" s="1" t="n"/>
      <c r="AV858" s="1" t="n"/>
      <c r="AW858" s="1" t="n"/>
      <c r="AX858" s="1" t="n"/>
      <c r="AY858" s="1" t="n"/>
      <c r="AZ858" s="1" t="n"/>
      <c r="BA858" s="1" t="n"/>
    </row>
    <row r="859" ht="16.5" customHeight="1" s="220">
      <c r="A859" s="1" t="n"/>
      <c r="B859" s="1" t="n"/>
      <c r="C859" s="2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  <c r="AR859" s="1" t="n"/>
      <c r="AS859" s="1" t="n"/>
      <c r="AT859" s="1" t="n"/>
      <c r="AU859" s="1" t="n"/>
      <c r="AV859" s="1" t="n"/>
      <c r="AW859" s="1" t="n"/>
      <c r="AX859" s="1" t="n"/>
      <c r="AY859" s="1" t="n"/>
      <c r="AZ859" s="1" t="n"/>
      <c r="BA859" s="1" t="n"/>
    </row>
    <row r="860" ht="16.5" customHeight="1" s="220">
      <c r="A860" s="1" t="n"/>
      <c r="B860" s="1" t="n"/>
      <c r="C860" s="2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  <c r="AW860" s="1" t="n"/>
      <c r="AX860" s="1" t="n"/>
      <c r="AY860" s="1" t="n"/>
      <c r="AZ860" s="1" t="n"/>
      <c r="BA860" s="1" t="n"/>
    </row>
    <row r="861" ht="16.5" customHeight="1" s="220">
      <c r="A861" s="1" t="n"/>
      <c r="B861" s="1" t="n"/>
      <c r="C861" s="2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  <c r="AX861" s="1" t="n"/>
      <c r="AY861" s="1" t="n"/>
      <c r="AZ861" s="1" t="n"/>
      <c r="BA861" s="1" t="n"/>
    </row>
    <row r="862" ht="16.5" customHeight="1" s="220">
      <c r="A862" s="1" t="n"/>
      <c r="B862" s="1" t="n"/>
      <c r="C862" s="2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  <c r="AW862" s="1" t="n"/>
      <c r="AX862" s="1" t="n"/>
      <c r="AY862" s="1" t="n"/>
      <c r="AZ862" s="1" t="n"/>
      <c r="BA862" s="1" t="n"/>
    </row>
    <row r="863" ht="16.5" customHeight="1" s="220">
      <c r="A863" s="1" t="n"/>
      <c r="B863" s="1" t="n"/>
      <c r="C863" s="2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  <c r="AX863" s="1" t="n"/>
      <c r="AY863" s="1" t="n"/>
      <c r="AZ863" s="1" t="n"/>
      <c r="BA863" s="1" t="n"/>
    </row>
    <row r="864" ht="16.5" customHeight="1" s="220">
      <c r="A864" s="1" t="n"/>
      <c r="B864" s="1" t="n"/>
      <c r="C864" s="2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  <c r="AS864" s="1" t="n"/>
      <c r="AT864" s="1" t="n"/>
      <c r="AU864" s="1" t="n"/>
      <c r="AV864" s="1" t="n"/>
      <c r="AW864" s="1" t="n"/>
      <c r="AX864" s="1" t="n"/>
      <c r="AY864" s="1" t="n"/>
      <c r="AZ864" s="1" t="n"/>
      <c r="BA864" s="1" t="n"/>
    </row>
    <row r="865" ht="16.5" customHeight="1" s="220">
      <c r="A865" s="1" t="n"/>
      <c r="B865" s="1" t="n"/>
      <c r="C865" s="2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  <c r="AX865" s="1" t="n"/>
      <c r="AY865" s="1" t="n"/>
      <c r="AZ865" s="1" t="n"/>
      <c r="BA865" s="1" t="n"/>
    </row>
    <row r="866" ht="16.5" customHeight="1" s="220">
      <c r="A866" s="1" t="n"/>
      <c r="B866" s="1" t="n"/>
      <c r="C866" s="2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  <c r="AS866" s="1" t="n"/>
      <c r="AT866" s="1" t="n"/>
      <c r="AU866" s="1" t="n"/>
      <c r="AV866" s="1" t="n"/>
      <c r="AW866" s="1" t="n"/>
      <c r="AX866" s="1" t="n"/>
      <c r="AY866" s="1" t="n"/>
      <c r="AZ866" s="1" t="n"/>
      <c r="BA866" s="1" t="n"/>
    </row>
    <row r="867" ht="16.5" customHeight="1" s="220">
      <c r="A867" s="1" t="n"/>
      <c r="B867" s="1" t="n"/>
      <c r="C867" s="2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  <c r="AX867" s="1" t="n"/>
      <c r="AY867" s="1" t="n"/>
      <c r="AZ867" s="1" t="n"/>
      <c r="BA867" s="1" t="n"/>
    </row>
    <row r="868" ht="16.5" customHeight="1" s="220">
      <c r="A868" s="1" t="n"/>
      <c r="B868" s="1" t="n"/>
      <c r="C868" s="2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  <c r="AS868" s="1" t="n"/>
      <c r="AT868" s="1" t="n"/>
      <c r="AU868" s="1" t="n"/>
      <c r="AV868" s="1" t="n"/>
      <c r="AW868" s="1" t="n"/>
      <c r="AX868" s="1" t="n"/>
      <c r="AY868" s="1" t="n"/>
      <c r="AZ868" s="1" t="n"/>
      <c r="BA868" s="1" t="n"/>
    </row>
    <row r="869" ht="16.5" customHeight="1" s="220">
      <c r="A869" s="1" t="n"/>
      <c r="B869" s="1" t="n"/>
      <c r="C869" s="2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  <c r="AX869" s="1" t="n"/>
      <c r="AY869" s="1" t="n"/>
      <c r="AZ869" s="1" t="n"/>
      <c r="BA869" s="1" t="n"/>
    </row>
    <row r="870" ht="16.5" customHeight="1" s="220">
      <c r="A870" s="1" t="n"/>
      <c r="B870" s="1" t="n"/>
      <c r="C870" s="2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  <c r="AS870" s="1" t="n"/>
      <c r="AT870" s="1" t="n"/>
      <c r="AU870" s="1" t="n"/>
      <c r="AV870" s="1" t="n"/>
      <c r="AW870" s="1" t="n"/>
      <c r="AX870" s="1" t="n"/>
      <c r="AY870" s="1" t="n"/>
      <c r="AZ870" s="1" t="n"/>
      <c r="BA870" s="1" t="n"/>
    </row>
    <row r="871" ht="16.5" customHeight="1" s="220">
      <c r="A871" s="1" t="n"/>
      <c r="B871" s="1" t="n"/>
      <c r="C871" s="2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  <c r="AW871" s="1" t="n"/>
      <c r="AX871" s="1" t="n"/>
      <c r="AY871" s="1" t="n"/>
      <c r="AZ871" s="1" t="n"/>
      <c r="BA871" s="1" t="n"/>
    </row>
    <row r="872" ht="16.5" customHeight="1" s="220">
      <c r="A872" s="1" t="n"/>
      <c r="B872" s="1" t="n"/>
      <c r="C872" s="2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  <c r="AS872" s="1" t="n"/>
      <c r="AT872" s="1" t="n"/>
      <c r="AU872" s="1" t="n"/>
      <c r="AV872" s="1" t="n"/>
      <c r="AW872" s="1" t="n"/>
      <c r="AX872" s="1" t="n"/>
      <c r="AY872" s="1" t="n"/>
      <c r="AZ872" s="1" t="n"/>
      <c r="BA872" s="1" t="n"/>
    </row>
    <row r="873" ht="16.5" customHeight="1" s="220">
      <c r="A873" s="1" t="n"/>
      <c r="B873" s="1" t="n"/>
      <c r="C873" s="2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  <c r="AW873" s="1" t="n"/>
      <c r="AX873" s="1" t="n"/>
      <c r="AY873" s="1" t="n"/>
      <c r="AZ873" s="1" t="n"/>
      <c r="BA873" s="1" t="n"/>
    </row>
    <row r="874" ht="16.5" customHeight="1" s="220">
      <c r="A874" s="1" t="n"/>
      <c r="B874" s="1" t="n"/>
      <c r="C874" s="2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  <c r="AS874" s="1" t="n"/>
      <c r="AT874" s="1" t="n"/>
      <c r="AU874" s="1" t="n"/>
      <c r="AV874" s="1" t="n"/>
      <c r="AW874" s="1" t="n"/>
      <c r="AX874" s="1" t="n"/>
      <c r="AY874" s="1" t="n"/>
      <c r="AZ874" s="1" t="n"/>
      <c r="BA874" s="1" t="n"/>
    </row>
    <row r="875" ht="16.5" customHeight="1" s="220">
      <c r="A875" s="1" t="n"/>
      <c r="B875" s="1" t="n"/>
      <c r="C875" s="2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  <c r="AX875" s="1" t="n"/>
      <c r="AY875" s="1" t="n"/>
      <c r="AZ875" s="1" t="n"/>
      <c r="BA875" s="1" t="n"/>
    </row>
    <row r="876" ht="16.5" customHeight="1" s="220">
      <c r="A876" s="1" t="n"/>
      <c r="B876" s="1" t="n"/>
      <c r="C876" s="2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  <c r="AS876" s="1" t="n"/>
      <c r="AT876" s="1" t="n"/>
      <c r="AU876" s="1" t="n"/>
      <c r="AV876" s="1" t="n"/>
      <c r="AW876" s="1" t="n"/>
      <c r="AX876" s="1" t="n"/>
      <c r="AY876" s="1" t="n"/>
      <c r="AZ876" s="1" t="n"/>
      <c r="BA876" s="1" t="n"/>
    </row>
    <row r="877" ht="16.5" customHeight="1" s="220">
      <c r="A877" s="1" t="n"/>
      <c r="B877" s="1" t="n"/>
      <c r="C877" s="2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  <c r="AW877" s="1" t="n"/>
      <c r="AX877" s="1" t="n"/>
      <c r="AY877" s="1" t="n"/>
      <c r="AZ877" s="1" t="n"/>
      <c r="BA877" s="1" t="n"/>
    </row>
    <row r="878" ht="16.5" customHeight="1" s="220">
      <c r="A878" s="1" t="n"/>
      <c r="B878" s="1" t="n"/>
      <c r="C878" s="2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  <c r="AS878" s="1" t="n"/>
      <c r="AT878" s="1" t="n"/>
      <c r="AU878" s="1" t="n"/>
      <c r="AV878" s="1" t="n"/>
      <c r="AW878" s="1" t="n"/>
      <c r="AX878" s="1" t="n"/>
      <c r="AY878" s="1" t="n"/>
      <c r="AZ878" s="1" t="n"/>
      <c r="BA878" s="1" t="n"/>
    </row>
    <row r="879" ht="16.5" customHeight="1" s="220">
      <c r="A879" s="1" t="n"/>
      <c r="B879" s="1" t="n"/>
      <c r="C879" s="2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  <c r="AX879" s="1" t="n"/>
      <c r="AY879" s="1" t="n"/>
      <c r="AZ879" s="1" t="n"/>
      <c r="BA879" s="1" t="n"/>
    </row>
    <row r="880" ht="16.5" customHeight="1" s="220">
      <c r="A880" s="1" t="n"/>
      <c r="B880" s="1" t="n"/>
      <c r="C880" s="2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  <c r="AS880" s="1" t="n"/>
      <c r="AT880" s="1" t="n"/>
      <c r="AU880" s="1" t="n"/>
      <c r="AV880" s="1" t="n"/>
      <c r="AW880" s="1" t="n"/>
      <c r="AX880" s="1" t="n"/>
      <c r="AY880" s="1" t="n"/>
      <c r="AZ880" s="1" t="n"/>
      <c r="BA880" s="1" t="n"/>
    </row>
    <row r="881" ht="16.5" customHeight="1" s="220">
      <c r="A881" s="1" t="n"/>
      <c r="B881" s="1" t="n"/>
      <c r="C881" s="2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  <c r="AW881" s="1" t="n"/>
      <c r="AX881" s="1" t="n"/>
      <c r="AY881" s="1" t="n"/>
      <c r="AZ881" s="1" t="n"/>
      <c r="BA881" s="1" t="n"/>
    </row>
    <row r="882" ht="16.5" customHeight="1" s="220">
      <c r="A882" s="1" t="n"/>
      <c r="B882" s="1" t="n"/>
      <c r="C882" s="2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  <c r="AS882" s="1" t="n"/>
      <c r="AT882" s="1" t="n"/>
      <c r="AU882" s="1" t="n"/>
      <c r="AV882" s="1" t="n"/>
      <c r="AW882" s="1" t="n"/>
      <c r="AX882" s="1" t="n"/>
      <c r="AY882" s="1" t="n"/>
      <c r="AZ882" s="1" t="n"/>
      <c r="BA882" s="1" t="n"/>
    </row>
    <row r="883" ht="16.5" customHeight="1" s="220">
      <c r="A883" s="1" t="n"/>
      <c r="B883" s="1" t="n"/>
      <c r="C883" s="2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  <c r="AW883" s="1" t="n"/>
      <c r="AX883" s="1" t="n"/>
      <c r="AY883" s="1" t="n"/>
      <c r="AZ883" s="1" t="n"/>
      <c r="BA883" s="1" t="n"/>
    </row>
    <row r="884" ht="16.5" customHeight="1" s="220">
      <c r="A884" s="1" t="n"/>
      <c r="B884" s="1" t="n"/>
      <c r="C884" s="2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  <c r="AS884" s="1" t="n"/>
      <c r="AT884" s="1" t="n"/>
      <c r="AU884" s="1" t="n"/>
      <c r="AV884" s="1" t="n"/>
      <c r="AW884" s="1" t="n"/>
      <c r="AX884" s="1" t="n"/>
      <c r="AY884" s="1" t="n"/>
      <c r="AZ884" s="1" t="n"/>
      <c r="BA884" s="1" t="n"/>
    </row>
    <row r="885" ht="16.5" customHeight="1" s="220">
      <c r="A885" s="1" t="n"/>
      <c r="B885" s="1" t="n"/>
      <c r="C885" s="2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  <c r="AX885" s="1" t="n"/>
      <c r="AY885" s="1" t="n"/>
      <c r="AZ885" s="1" t="n"/>
      <c r="BA885" s="1" t="n"/>
    </row>
    <row r="886" ht="16.5" customHeight="1" s="220">
      <c r="A886" s="1" t="n"/>
      <c r="B886" s="1" t="n"/>
      <c r="C886" s="2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  <c r="AS886" s="1" t="n"/>
      <c r="AT886" s="1" t="n"/>
      <c r="AU886" s="1" t="n"/>
      <c r="AV886" s="1" t="n"/>
      <c r="AW886" s="1" t="n"/>
      <c r="AX886" s="1" t="n"/>
      <c r="AY886" s="1" t="n"/>
      <c r="AZ886" s="1" t="n"/>
      <c r="BA886" s="1" t="n"/>
    </row>
    <row r="887" ht="16.5" customHeight="1" s="220">
      <c r="A887" s="1" t="n"/>
      <c r="B887" s="1" t="n"/>
      <c r="C887" s="2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  <c r="AR887" s="1" t="n"/>
      <c r="AS887" s="1" t="n"/>
      <c r="AT887" s="1" t="n"/>
      <c r="AU887" s="1" t="n"/>
      <c r="AV887" s="1" t="n"/>
      <c r="AW887" s="1" t="n"/>
      <c r="AX887" s="1" t="n"/>
      <c r="AY887" s="1" t="n"/>
      <c r="AZ887" s="1" t="n"/>
      <c r="BA887" s="1" t="n"/>
    </row>
    <row r="888" ht="16.5" customHeight="1" s="220">
      <c r="A888" s="1" t="n"/>
      <c r="B888" s="1" t="n"/>
      <c r="C888" s="2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Q888" s="1" t="n"/>
      <c r="AR888" s="1" t="n"/>
      <c r="AS888" s="1" t="n"/>
      <c r="AT888" s="1" t="n"/>
      <c r="AU888" s="1" t="n"/>
      <c r="AV888" s="1" t="n"/>
      <c r="AW888" s="1" t="n"/>
      <c r="AX888" s="1" t="n"/>
      <c r="AY888" s="1" t="n"/>
      <c r="AZ888" s="1" t="n"/>
      <c r="BA888" s="1" t="n"/>
    </row>
    <row r="889" ht="16.5" customHeight="1" s="220">
      <c r="A889" s="1" t="n"/>
      <c r="B889" s="1" t="n"/>
      <c r="C889" s="2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  <c r="AR889" s="1" t="n"/>
      <c r="AS889" s="1" t="n"/>
      <c r="AT889" s="1" t="n"/>
      <c r="AU889" s="1" t="n"/>
      <c r="AV889" s="1" t="n"/>
      <c r="AW889" s="1" t="n"/>
      <c r="AX889" s="1" t="n"/>
      <c r="AY889" s="1" t="n"/>
      <c r="AZ889" s="1" t="n"/>
      <c r="BA889" s="1" t="n"/>
    </row>
    <row r="890" ht="16.5" customHeight="1" s="220">
      <c r="A890" s="1" t="n"/>
      <c r="B890" s="1" t="n"/>
      <c r="C890" s="2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Q890" s="1" t="n"/>
      <c r="AR890" s="1" t="n"/>
      <c r="AS890" s="1" t="n"/>
      <c r="AT890" s="1" t="n"/>
      <c r="AU890" s="1" t="n"/>
      <c r="AV890" s="1" t="n"/>
      <c r="AW890" s="1" t="n"/>
      <c r="AX890" s="1" t="n"/>
      <c r="AY890" s="1" t="n"/>
      <c r="AZ890" s="1" t="n"/>
      <c r="BA890" s="1" t="n"/>
    </row>
    <row r="891" ht="16.5" customHeight="1" s="220">
      <c r="A891" s="1" t="n"/>
      <c r="B891" s="1" t="n"/>
      <c r="C891" s="2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  <c r="AR891" s="1" t="n"/>
      <c r="AS891" s="1" t="n"/>
      <c r="AT891" s="1" t="n"/>
      <c r="AU891" s="1" t="n"/>
      <c r="AV891" s="1" t="n"/>
      <c r="AW891" s="1" t="n"/>
      <c r="AX891" s="1" t="n"/>
      <c r="AY891" s="1" t="n"/>
      <c r="AZ891" s="1" t="n"/>
      <c r="BA891" s="1" t="n"/>
    </row>
    <row r="892" ht="16.5" customHeight="1" s="220">
      <c r="A892" s="1" t="n"/>
      <c r="B892" s="1" t="n"/>
      <c r="C892" s="2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Q892" s="1" t="n"/>
      <c r="AR892" s="1" t="n"/>
      <c r="AS892" s="1" t="n"/>
      <c r="AT892" s="1" t="n"/>
      <c r="AU892" s="1" t="n"/>
      <c r="AV892" s="1" t="n"/>
      <c r="AW892" s="1" t="n"/>
      <c r="AX892" s="1" t="n"/>
      <c r="AY892" s="1" t="n"/>
      <c r="AZ892" s="1" t="n"/>
      <c r="BA892" s="1" t="n"/>
    </row>
    <row r="893" ht="16.5" customHeight="1" s="220">
      <c r="A893" s="1" t="n"/>
      <c r="B893" s="1" t="n"/>
      <c r="C893" s="2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  <c r="AR893" s="1" t="n"/>
      <c r="AS893" s="1" t="n"/>
      <c r="AT893" s="1" t="n"/>
      <c r="AU893" s="1" t="n"/>
      <c r="AV893" s="1" t="n"/>
      <c r="AW893" s="1" t="n"/>
      <c r="AX893" s="1" t="n"/>
      <c r="AY893" s="1" t="n"/>
      <c r="AZ893" s="1" t="n"/>
      <c r="BA893" s="1" t="n"/>
    </row>
    <row r="894" ht="16.5" customHeight="1" s="220">
      <c r="A894" s="1" t="n"/>
      <c r="B894" s="1" t="n"/>
      <c r="C894" s="2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Q894" s="1" t="n"/>
      <c r="AR894" s="1" t="n"/>
      <c r="AS894" s="1" t="n"/>
      <c r="AT894" s="1" t="n"/>
      <c r="AU894" s="1" t="n"/>
      <c r="AV894" s="1" t="n"/>
      <c r="AW894" s="1" t="n"/>
      <c r="AX894" s="1" t="n"/>
      <c r="AY894" s="1" t="n"/>
      <c r="AZ894" s="1" t="n"/>
      <c r="BA894" s="1" t="n"/>
    </row>
    <row r="895" ht="16.5" customHeight="1" s="220">
      <c r="A895" s="1" t="n"/>
      <c r="B895" s="1" t="n"/>
      <c r="C895" s="2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  <c r="AR895" s="1" t="n"/>
      <c r="AS895" s="1" t="n"/>
      <c r="AT895" s="1" t="n"/>
      <c r="AU895" s="1" t="n"/>
      <c r="AV895" s="1" t="n"/>
      <c r="AW895" s="1" t="n"/>
      <c r="AX895" s="1" t="n"/>
      <c r="AY895" s="1" t="n"/>
      <c r="AZ895" s="1" t="n"/>
      <c r="BA895" s="1" t="n"/>
    </row>
    <row r="896" ht="16.5" customHeight="1" s="220">
      <c r="A896" s="1" t="n"/>
      <c r="B896" s="1" t="n"/>
      <c r="C896" s="2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Q896" s="1" t="n"/>
      <c r="AR896" s="1" t="n"/>
      <c r="AS896" s="1" t="n"/>
      <c r="AT896" s="1" t="n"/>
      <c r="AU896" s="1" t="n"/>
      <c r="AV896" s="1" t="n"/>
      <c r="AW896" s="1" t="n"/>
      <c r="AX896" s="1" t="n"/>
      <c r="AY896" s="1" t="n"/>
      <c r="AZ896" s="1" t="n"/>
      <c r="BA896" s="1" t="n"/>
    </row>
    <row r="897" ht="16.5" customHeight="1" s="220">
      <c r="A897" s="1" t="n"/>
      <c r="B897" s="1" t="n"/>
      <c r="C897" s="2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  <c r="AR897" s="1" t="n"/>
      <c r="AS897" s="1" t="n"/>
      <c r="AT897" s="1" t="n"/>
      <c r="AU897" s="1" t="n"/>
      <c r="AV897" s="1" t="n"/>
      <c r="AW897" s="1" t="n"/>
      <c r="AX897" s="1" t="n"/>
      <c r="AY897" s="1" t="n"/>
      <c r="AZ897" s="1" t="n"/>
      <c r="BA897" s="1" t="n"/>
    </row>
    <row r="898" ht="16.5" customHeight="1" s="220">
      <c r="A898" s="1" t="n"/>
      <c r="B898" s="1" t="n"/>
      <c r="C898" s="2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Q898" s="1" t="n"/>
      <c r="AR898" s="1" t="n"/>
      <c r="AS898" s="1" t="n"/>
      <c r="AT898" s="1" t="n"/>
      <c r="AU898" s="1" t="n"/>
      <c r="AV898" s="1" t="n"/>
      <c r="AW898" s="1" t="n"/>
      <c r="AX898" s="1" t="n"/>
      <c r="AY898" s="1" t="n"/>
      <c r="AZ898" s="1" t="n"/>
      <c r="BA898" s="1" t="n"/>
    </row>
    <row r="899" ht="16.5" customHeight="1" s="220">
      <c r="A899" s="1" t="n"/>
      <c r="B899" s="1" t="n"/>
      <c r="C899" s="2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  <c r="AR899" s="1" t="n"/>
      <c r="AS899" s="1" t="n"/>
      <c r="AT899" s="1" t="n"/>
      <c r="AU899" s="1" t="n"/>
      <c r="AV899" s="1" t="n"/>
      <c r="AW899" s="1" t="n"/>
      <c r="AX899" s="1" t="n"/>
      <c r="AY899" s="1" t="n"/>
      <c r="AZ899" s="1" t="n"/>
      <c r="BA899" s="1" t="n"/>
    </row>
    <row r="900" ht="16.5" customHeight="1" s="220">
      <c r="A900" s="1" t="n"/>
      <c r="B900" s="1" t="n"/>
      <c r="C900" s="2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Q900" s="1" t="n"/>
      <c r="AR900" s="1" t="n"/>
      <c r="AS900" s="1" t="n"/>
      <c r="AT900" s="1" t="n"/>
      <c r="AU900" s="1" t="n"/>
      <c r="AV900" s="1" t="n"/>
      <c r="AW900" s="1" t="n"/>
      <c r="AX900" s="1" t="n"/>
      <c r="AY900" s="1" t="n"/>
      <c r="AZ900" s="1" t="n"/>
      <c r="BA900" s="1" t="n"/>
    </row>
    <row r="901" ht="16.5" customHeight="1" s="220">
      <c r="A901" s="1" t="n"/>
      <c r="B901" s="1" t="n"/>
      <c r="C901" s="2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  <c r="AR901" s="1" t="n"/>
      <c r="AS901" s="1" t="n"/>
      <c r="AT901" s="1" t="n"/>
      <c r="AU901" s="1" t="n"/>
      <c r="AV901" s="1" t="n"/>
      <c r="AW901" s="1" t="n"/>
      <c r="AX901" s="1" t="n"/>
      <c r="AY901" s="1" t="n"/>
      <c r="AZ901" s="1" t="n"/>
      <c r="BA901" s="1" t="n"/>
    </row>
    <row r="902" ht="16.5" customHeight="1" s="220">
      <c r="A902" s="1" t="n"/>
      <c r="B902" s="1" t="n"/>
      <c r="C902" s="2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Q902" s="1" t="n"/>
      <c r="AR902" s="1" t="n"/>
      <c r="AS902" s="1" t="n"/>
      <c r="AT902" s="1" t="n"/>
      <c r="AU902" s="1" t="n"/>
      <c r="AV902" s="1" t="n"/>
      <c r="AW902" s="1" t="n"/>
      <c r="AX902" s="1" t="n"/>
      <c r="AY902" s="1" t="n"/>
      <c r="AZ902" s="1" t="n"/>
      <c r="BA902" s="1" t="n"/>
    </row>
    <row r="903" ht="16.5" customHeight="1" s="220">
      <c r="A903" s="1" t="n"/>
      <c r="B903" s="1" t="n"/>
      <c r="C903" s="2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  <c r="AR903" s="1" t="n"/>
      <c r="AS903" s="1" t="n"/>
      <c r="AT903" s="1" t="n"/>
      <c r="AU903" s="1" t="n"/>
      <c r="AV903" s="1" t="n"/>
      <c r="AW903" s="1" t="n"/>
      <c r="AX903" s="1" t="n"/>
      <c r="AY903" s="1" t="n"/>
      <c r="AZ903" s="1" t="n"/>
      <c r="BA903" s="1" t="n"/>
    </row>
    <row r="904" ht="16.5" customHeight="1" s="220">
      <c r="A904" s="1" t="n"/>
      <c r="B904" s="1" t="n"/>
      <c r="C904" s="2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Q904" s="1" t="n"/>
      <c r="AR904" s="1" t="n"/>
      <c r="AS904" s="1" t="n"/>
      <c r="AT904" s="1" t="n"/>
      <c r="AU904" s="1" t="n"/>
      <c r="AV904" s="1" t="n"/>
      <c r="AW904" s="1" t="n"/>
      <c r="AX904" s="1" t="n"/>
      <c r="AY904" s="1" t="n"/>
      <c r="AZ904" s="1" t="n"/>
      <c r="BA904" s="1" t="n"/>
    </row>
    <row r="905" ht="16.5" customHeight="1" s="220">
      <c r="A905" s="1" t="n"/>
      <c r="B905" s="1" t="n"/>
      <c r="C905" s="2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  <c r="AR905" s="1" t="n"/>
      <c r="AS905" s="1" t="n"/>
      <c r="AT905" s="1" t="n"/>
      <c r="AU905" s="1" t="n"/>
      <c r="AV905" s="1" t="n"/>
      <c r="AW905" s="1" t="n"/>
      <c r="AX905" s="1" t="n"/>
      <c r="AY905" s="1" t="n"/>
      <c r="AZ905" s="1" t="n"/>
      <c r="BA905" s="1" t="n"/>
    </row>
    <row r="906" ht="16.5" customHeight="1" s="220">
      <c r="A906" s="1" t="n"/>
      <c r="B906" s="1" t="n"/>
      <c r="C906" s="2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Q906" s="1" t="n"/>
      <c r="AR906" s="1" t="n"/>
      <c r="AS906" s="1" t="n"/>
      <c r="AT906" s="1" t="n"/>
      <c r="AU906" s="1" t="n"/>
      <c r="AV906" s="1" t="n"/>
      <c r="AW906" s="1" t="n"/>
      <c r="AX906" s="1" t="n"/>
      <c r="AY906" s="1" t="n"/>
      <c r="AZ906" s="1" t="n"/>
      <c r="BA906" s="1" t="n"/>
    </row>
    <row r="907" ht="16.5" customHeight="1" s="220">
      <c r="A907" s="1" t="n"/>
      <c r="B907" s="1" t="n"/>
      <c r="C907" s="2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  <c r="AR907" s="1" t="n"/>
      <c r="AS907" s="1" t="n"/>
      <c r="AT907" s="1" t="n"/>
      <c r="AU907" s="1" t="n"/>
      <c r="AV907" s="1" t="n"/>
      <c r="AW907" s="1" t="n"/>
      <c r="AX907" s="1" t="n"/>
      <c r="AY907" s="1" t="n"/>
      <c r="AZ907" s="1" t="n"/>
      <c r="BA907" s="1" t="n"/>
    </row>
    <row r="908" ht="16.5" customHeight="1" s="220">
      <c r="A908" s="1" t="n"/>
      <c r="B908" s="1" t="n"/>
      <c r="C908" s="2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Q908" s="1" t="n"/>
      <c r="AR908" s="1" t="n"/>
      <c r="AS908" s="1" t="n"/>
      <c r="AT908" s="1" t="n"/>
      <c r="AU908" s="1" t="n"/>
      <c r="AV908" s="1" t="n"/>
      <c r="AW908" s="1" t="n"/>
      <c r="AX908" s="1" t="n"/>
      <c r="AY908" s="1" t="n"/>
      <c r="AZ908" s="1" t="n"/>
      <c r="BA908" s="1" t="n"/>
    </row>
    <row r="909" ht="16.5" customHeight="1" s="220">
      <c r="A909" s="1" t="n"/>
      <c r="B909" s="1" t="n"/>
      <c r="C909" s="2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  <c r="AR909" s="1" t="n"/>
      <c r="AS909" s="1" t="n"/>
      <c r="AT909" s="1" t="n"/>
      <c r="AU909" s="1" t="n"/>
      <c r="AV909" s="1" t="n"/>
      <c r="AW909" s="1" t="n"/>
      <c r="AX909" s="1" t="n"/>
      <c r="AY909" s="1" t="n"/>
      <c r="AZ909" s="1" t="n"/>
      <c r="BA909" s="1" t="n"/>
    </row>
    <row r="910" ht="16.5" customHeight="1" s="220">
      <c r="A910" s="1" t="n"/>
      <c r="B910" s="1" t="n"/>
      <c r="C910" s="2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Q910" s="1" t="n"/>
      <c r="AR910" s="1" t="n"/>
      <c r="AS910" s="1" t="n"/>
      <c r="AT910" s="1" t="n"/>
      <c r="AU910" s="1" t="n"/>
      <c r="AV910" s="1" t="n"/>
      <c r="AW910" s="1" t="n"/>
      <c r="AX910" s="1" t="n"/>
      <c r="AY910" s="1" t="n"/>
      <c r="AZ910" s="1" t="n"/>
      <c r="BA910" s="1" t="n"/>
    </row>
    <row r="911" ht="16.5" customHeight="1" s="220">
      <c r="A911" s="1" t="n"/>
      <c r="B911" s="1" t="n"/>
      <c r="C911" s="2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  <c r="AR911" s="1" t="n"/>
      <c r="AS911" s="1" t="n"/>
      <c r="AT911" s="1" t="n"/>
      <c r="AU911" s="1" t="n"/>
      <c r="AV911" s="1" t="n"/>
      <c r="AW911" s="1" t="n"/>
      <c r="AX911" s="1" t="n"/>
      <c r="AY911" s="1" t="n"/>
      <c r="AZ911" s="1" t="n"/>
      <c r="BA911" s="1" t="n"/>
    </row>
    <row r="912" ht="16.5" customHeight="1" s="220">
      <c r="A912" s="1" t="n"/>
      <c r="B912" s="1" t="n"/>
      <c r="C912" s="2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Q912" s="1" t="n"/>
      <c r="AR912" s="1" t="n"/>
      <c r="AS912" s="1" t="n"/>
      <c r="AT912" s="1" t="n"/>
      <c r="AU912" s="1" t="n"/>
      <c r="AV912" s="1" t="n"/>
      <c r="AW912" s="1" t="n"/>
      <c r="AX912" s="1" t="n"/>
      <c r="AY912" s="1" t="n"/>
      <c r="AZ912" s="1" t="n"/>
      <c r="BA912" s="1" t="n"/>
    </row>
    <row r="913" ht="16.5" customHeight="1" s="220">
      <c r="A913" s="1" t="n"/>
      <c r="B913" s="1" t="n"/>
      <c r="C913" s="2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  <c r="AR913" s="1" t="n"/>
      <c r="AS913" s="1" t="n"/>
      <c r="AT913" s="1" t="n"/>
      <c r="AU913" s="1" t="n"/>
      <c r="AV913" s="1" t="n"/>
      <c r="AW913" s="1" t="n"/>
      <c r="AX913" s="1" t="n"/>
      <c r="AY913" s="1" t="n"/>
      <c r="AZ913" s="1" t="n"/>
      <c r="BA913" s="1" t="n"/>
    </row>
    <row r="914" ht="16.5" customHeight="1" s="220">
      <c r="A914" s="1" t="n"/>
      <c r="B914" s="1" t="n"/>
      <c r="C914" s="2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Q914" s="1" t="n"/>
      <c r="AR914" s="1" t="n"/>
      <c r="AS914" s="1" t="n"/>
      <c r="AT914" s="1" t="n"/>
      <c r="AU914" s="1" t="n"/>
      <c r="AV914" s="1" t="n"/>
      <c r="AW914" s="1" t="n"/>
      <c r="AX914" s="1" t="n"/>
      <c r="AY914" s="1" t="n"/>
      <c r="AZ914" s="1" t="n"/>
      <c r="BA914" s="1" t="n"/>
    </row>
    <row r="915" ht="16.5" customHeight="1" s="220">
      <c r="A915" s="1" t="n"/>
      <c r="B915" s="1" t="n"/>
      <c r="C915" s="2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  <c r="AR915" s="1" t="n"/>
      <c r="AS915" s="1" t="n"/>
      <c r="AT915" s="1" t="n"/>
      <c r="AU915" s="1" t="n"/>
      <c r="AV915" s="1" t="n"/>
      <c r="AW915" s="1" t="n"/>
      <c r="AX915" s="1" t="n"/>
      <c r="AY915" s="1" t="n"/>
      <c r="AZ915" s="1" t="n"/>
      <c r="BA915" s="1" t="n"/>
    </row>
    <row r="916" ht="16.5" customHeight="1" s="220">
      <c r="A916" s="1" t="n"/>
      <c r="B916" s="1" t="n"/>
      <c r="C916" s="2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Q916" s="1" t="n"/>
      <c r="AR916" s="1" t="n"/>
      <c r="AS916" s="1" t="n"/>
      <c r="AT916" s="1" t="n"/>
      <c r="AU916" s="1" t="n"/>
      <c r="AV916" s="1" t="n"/>
      <c r="AW916" s="1" t="n"/>
      <c r="AX916" s="1" t="n"/>
      <c r="AY916" s="1" t="n"/>
      <c r="AZ916" s="1" t="n"/>
      <c r="BA916" s="1" t="n"/>
    </row>
    <row r="917" ht="16.5" customHeight="1" s="220">
      <c r="A917" s="1" t="n"/>
      <c r="B917" s="1" t="n"/>
      <c r="C917" s="2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  <c r="AR917" s="1" t="n"/>
      <c r="AS917" s="1" t="n"/>
      <c r="AT917" s="1" t="n"/>
      <c r="AU917" s="1" t="n"/>
      <c r="AV917" s="1" t="n"/>
      <c r="AW917" s="1" t="n"/>
      <c r="AX917" s="1" t="n"/>
      <c r="AY917" s="1" t="n"/>
      <c r="AZ917" s="1" t="n"/>
      <c r="BA917" s="1" t="n"/>
    </row>
    <row r="918" ht="16.5" customHeight="1" s="220">
      <c r="A918" s="1" t="n"/>
      <c r="B918" s="1" t="n"/>
      <c r="C918" s="2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Q918" s="1" t="n"/>
      <c r="AR918" s="1" t="n"/>
      <c r="AS918" s="1" t="n"/>
      <c r="AT918" s="1" t="n"/>
      <c r="AU918" s="1" t="n"/>
      <c r="AV918" s="1" t="n"/>
      <c r="AW918" s="1" t="n"/>
      <c r="AX918" s="1" t="n"/>
      <c r="AY918" s="1" t="n"/>
      <c r="AZ918" s="1" t="n"/>
      <c r="BA918" s="1" t="n"/>
    </row>
    <row r="919" ht="16.5" customHeight="1" s="220">
      <c r="A919" s="1" t="n"/>
      <c r="B919" s="1" t="n"/>
      <c r="C919" s="2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  <c r="AR919" s="1" t="n"/>
      <c r="AS919" s="1" t="n"/>
      <c r="AT919" s="1" t="n"/>
      <c r="AU919" s="1" t="n"/>
      <c r="AV919" s="1" t="n"/>
      <c r="AW919" s="1" t="n"/>
      <c r="AX919" s="1" t="n"/>
      <c r="AY919" s="1" t="n"/>
      <c r="AZ919" s="1" t="n"/>
      <c r="BA919" s="1" t="n"/>
    </row>
    <row r="920" ht="16.5" customHeight="1" s="220">
      <c r="A920" s="1" t="n"/>
      <c r="B920" s="1" t="n"/>
      <c r="C920" s="2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Q920" s="1" t="n"/>
      <c r="AR920" s="1" t="n"/>
      <c r="AS920" s="1" t="n"/>
      <c r="AT920" s="1" t="n"/>
      <c r="AU920" s="1" t="n"/>
      <c r="AV920" s="1" t="n"/>
      <c r="AW920" s="1" t="n"/>
      <c r="AX920" s="1" t="n"/>
      <c r="AY920" s="1" t="n"/>
      <c r="AZ920" s="1" t="n"/>
      <c r="BA920" s="1" t="n"/>
    </row>
    <row r="921" ht="16.5" customHeight="1" s="220">
      <c r="A921" s="1" t="n"/>
      <c r="B921" s="1" t="n"/>
      <c r="C921" s="2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  <c r="AR921" s="1" t="n"/>
      <c r="AS921" s="1" t="n"/>
      <c r="AT921" s="1" t="n"/>
      <c r="AU921" s="1" t="n"/>
      <c r="AV921" s="1" t="n"/>
      <c r="AW921" s="1" t="n"/>
      <c r="AX921" s="1" t="n"/>
      <c r="AY921" s="1" t="n"/>
      <c r="AZ921" s="1" t="n"/>
      <c r="BA921" s="1" t="n"/>
    </row>
    <row r="922" ht="16.5" customHeight="1" s="220">
      <c r="A922" s="1" t="n"/>
      <c r="B922" s="1" t="n"/>
      <c r="C922" s="2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Q922" s="1" t="n"/>
      <c r="AR922" s="1" t="n"/>
      <c r="AS922" s="1" t="n"/>
      <c r="AT922" s="1" t="n"/>
      <c r="AU922" s="1" t="n"/>
      <c r="AV922" s="1" t="n"/>
      <c r="AW922" s="1" t="n"/>
      <c r="AX922" s="1" t="n"/>
      <c r="AY922" s="1" t="n"/>
      <c r="AZ922" s="1" t="n"/>
      <c r="BA922" s="1" t="n"/>
    </row>
    <row r="923" ht="16.5" customHeight="1" s="220">
      <c r="A923" s="1" t="n"/>
      <c r="B923" s="1" t="n"/>
      <c r="C923" s="2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  <c r="AR923" s="1" t="n"/>
      <c r="AS923" s="1" t="n"/>
      <c r="AT923" s="1" t="n"/>
      <c r="AU923" s="1" t="n"/>
      <c r="AV923" s="1" t="n"/>
      <c r="AW923" s="1" t="n"/>
      <c r="AX923" s="1" t="n"/>
      <c r="AY923" s="1" t="n"/>
      <c r="AZ923" s="1" t="n"/>
      <c r="BA923" s="1" t="n"/>
    </row>
    <row r="924" ht="16.5" customHeight="1" s="220">
      <c r="A924" s="1" t="n"/>
      <c r="B924" s="1" t="n"/>
      <c r="C924" s="2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Q924" s="1" t="n"/>
      <c r="AR924" s="1" t="n"/>
      <c r="AS924" s="1" t="n"/>
      <c r="AT924" s="1" t="n"/>
      <c r="AU924" s="1" t="n"/>
      <c r="AV924" s="1" t="n"/>
      <c r="AW924" s="1" t="n"/>
      <c r="AX924" s="1" t="n"/>
      <c r="AY924" s="1" t="n"/>
      <c r="AZ924" s="1" t="n"/>
      <c r="BA924" s="1" t="n"/>
    </row>
    <row r="925" ht="16.5" customHeight="1" s="220">
      <c r="A925" s="1" t="n"/>
      <c r="B925" s="1" t="n"/>
      <c r="C925" s="2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  <c r="AR925" s="1" t="n"/>
      <c r="AS925" s="1" t="n"/>
      <c r="AT925" s="1" t="n"/>
      <c r="AU925" s="1" t="n"/>
      <c r="AV925" s="1" t="n"/>
      <c r="AW925" s="1" t="n"/>
      <c r="AX925" s="1" t="n"/>
      <c r="AY925" s="1" t="n"/>
      <c r="AZ925" s="1" t="n"/>
      <c r="BA925" s="1" t="n"/>
    </row>
    <row r="926" ht="16.5" customHeight="1" s="220">
      <c r="A926" s="1" t="n"/>
      <c r="B926" s="1" t="n"/>
      <c r="C926" s="2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Q926" s="1" t="n"/>
      <c r="AR926" s="1" t="n"/>
      <c r="AS926" s="1" t="n"/>
      <c r="AT926" s="1" t="n"/>
      <c r="AU926" s="1" t="n"/>
      <c r="AV926" s="1" t="n"/>
      <c r="AW926" s="1" t="n"/>
      <c r="AX926" s="1" t="n"/>
      <c r="AY926" s="1" t="n"/>
      <c r="AZ926" s="1" t="n"/>
      <c r="BA926" s="1" t="n"/>
    </row>
    <row r="927" ht="16.5" customHeight="1" s="220">
      <c r="A927" s="1" t="n"/>
      <c r="B927" s="1" t="n"/>
      <c r="C927" s="2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  <c r="AR927" s="1" t="n"/>
      <c r="AS927" s="1" t="n"/>
      <c r="AT927" s="1" t="n"/>
      <c r="AU927" s="1" t="n"/>
      <c r="AV927" s="1" t="n"/>
      <c r="AW927" s="1" t="n"/>
      <c r="AX927" s="1" t="n"/>
      <c r="AY927" s="1" t="n"/>
      <c r="AZ927" s="1" t="n"/>
      <c r="BA927" s="1" t="n"/>
    </row>
    <row r="928" ht="16.5" customHeight="1" s="220">
      <c r="A928" s="1" t="n"/>
      <c r="B928" s="1" t="n"/>
      <c r="C928" s="2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Q928" s="1" t="n"/>
      <c r="AR928" s="1" t="n"/>
      <c r="AS928" s="1" t="n"/>
      <c r="AT928" s="1" t="n"/>
      <c r="AU928" s="1" t="n"/>
      <c r="AV928" s="1" t="n"/>
      <c r="AW928" s="1" t="n"/>
      <c r="AX928" s="1" t="n"/>
      <c r="AY928" s="1" t="n"/>
      <c r="AZ928" s="1" t="n"/>
      <c r="BA928" s="1" t="n"/>
    </row>
    <row r="929" ht="16.5" customHeight="1" s="220">
      <c r="A929" s="1" t="n"/>
      <c r="B929" s="1" t="n"/>
      <c r="C929" s="2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  <c r="AR929" s="1" t="n"/>
      <c r="AS929" s="1" t="n"/>
      <c r="AT929" s="1" t="n"/>
      <c r="AU929" s="1" t="n"/>
      <c r="AV929" s="1" t="n"/>
      <c r="AW929" s="1" t="n"/>
      <c r="AX929" s="1" t="n"/>
      <c r="AY929" s="1" t="n"/>
      <c r="AZ929" s="1" t="n"/>
      <c r="BA929" s="1" t="n"/>
    </row>
    <row r="930" ht="16.5" customHeight="1" s="220">
      <c r="A930" s="1" t="n"/>
      <c r="B930" s="1" t="n"/>
      <c r="C930" s="2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Q930" s="1" t="n"/>
      <c r="AR930" s="1" t="n"/>
      <c r="AS930" s="1" t="n"/>
      <c r="AT930" s="1" t="n"/>
      <c r="AU930" s="1" t="n"/>
      <c r="AV930" s="1" t="n"/>
      <c r="AW930" s="1" t="n"/>
      <c r="AX930" s="1" t="n"/>
      <c r="AY930" s="1" t="n"/>
      <c r="AZ930" s="1" t="n"/>
      <c r="BA930" s="1" t="n"/>
    </row>
    <row r="931" ht="16.5" customHeight="1" s="220">
      <c r="A931" s="1" t="n"/>
      <c r="B931" s="1" t="n"/>
      <c r="C931" s="2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  <c r="AR931" s="1" t="n"/>
      <c r="AS931" s="1" t="n"/>
      <c r="AT931" s="1" t="n"/>
      <c r="AU931" s="1" t="n"/>
      <c r="AV931" s="1" t="n"/>
      <c r="AW931" s="1" t="n"/>
      <c r="AX931" s="1" t="n"/>
      <c r="AY931" s="1" t="n"/>
      <c r="AZ931" s="1" t="n"/>
      <c r="BA931" s="1" t="n"/>
    </row>
    <row r="932" ht="16.5" customHeight="1" s="220">
      <c r="A932" s="1" t="n"/>
      <c r="B932" s="1" t="n"/>
      <c r="C932" s="2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Q932" s="1" t="n"/>
      <c r="AR932" s="1" t="n"/>
      <c r="AS932" s="1" t="n"/>
      <c r="AT932" s="1" t="n"/>
      <c r="AU932" s="1" t="n"/>
      <c r="AV932" s="1" t="n"/>
      <c r="AW932" s="1" t="n"/>
      <c r="AX932" s="1" t="n"/>
      <c r="AY932" s="1" t="n"/>
      <c r="AZ932" s="1" t="n"/>
      <c r="BA932" s="1" t="n"/>
    </row>
    <row r="933" ht="16.5" customHeight="1" s="220">
      <c r="A933" s="1" t="n"/>
      <c r="B933" s="1" t="n"/>
      <c r="C933" s="2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  <c r="AR933" s="1" t="n"/>
      <c r="AS933" s="1" t="n"/>
      <c r="AT933" s="1" t="n"/>
      <c r="AU933" s="1" t="n"/>
      <c r="AV933" s="1" t="n"/>
      <c r="AW933" s="1" t="n"/>
      <c r="AX933" s="1" t="n"/>
      <c r="AY933" s="1" t="n"/>
      <c r="AZ933" s="1" t="n"/>
      <c r="BA933" s="1" t="n"/>
    </row>
    <row r="934" ht="16.5" customHeight="1" s="220">
      <c r="A934" s="1" t="n"/>
      <c r="B934" s="1" t="n"/>
      <c r="C934" s="2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Q934" s="1" t="n"/>
      <c r="AR934" s="1" t="n"/>
      <c r="AS934" s="1" t="n"/>
      <c r="AT934" s="1" t="n"/>
      <c r="AU934" s="1" t="n"/>
      <c r="AV934" s="1" t="n"/>
      <c r="AW934" s="1" t="n"/>
      <c r="AX934" s="1" t="n"/>
      <c r="AY934" s="1" t="n"/>
      <c r="AZ934" s="1" t="n"/>
      <c r="BA934" s="1" t="n"/>
    </row>
    <row r="935" ht="16.5" customHeight="1" s="220">
      <c r="A935" s="1" t="n"/>
      <c r="B935" s="1" t="n"/>
      <c r="C935" s="2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  <c r="AR935" s="1" t="n"/>
      <c r="AS935" s="1" t="n"/>
      <c r="AT935" s="1" t="n"/>
      <c r="AU935" s="1" t="n"/>
      <c r="AV935" s="1" t="n"/>
      <c r="AW935" s="1" t="n"/>
      <c r="AX935" s="1" t="n"/>
      <c r="AY935" s="1" t="n"/>
      <c r="AZ935" s="1" t="n"/>
      <c r="BA935" s="1" t="n"/>
    </row>
    <row r="936" ht="16.5" customHeight="1" s="220">
      <c r="A936" s="1" t="n"/>
      <c r="B936" s="1" t="n"/>
      <c r="C936" s="2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Q936" s="1" t="n"/>
      <c r="AR936" s="1" t="n"/>
      <c r="AS936" s="1" t="n"/>
      <c r="AT936" s="1" t="n"/>
      <c r="AU936" s="1" t="n"/>
      <c r="AV936" s="1" t="n"/>
      <c r="AW936" s="1" t="n"/>
      <c r="AX936" s="1" t="n"/>
      <c r="AY936" s="1" t="n"/>
      <c r="AZ936" s="1" t="n"/>
      <c r="BA936" s="1" t="n"/>
    </row>
    <row r="937" ht="16.5" customHeight="1" s="220">
      <c r="A937" s="1" t="n"/>
      <c r="B937" s="1" t="n"/>
      <c r="C937" s="2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  <c r="AR937" s="1" t="n"/>
      <c r="AS937" s="1" t="n"/>
      <c r="AT937" s="1" t="n"/>
      <c r="AU937" s="1" t="n"/>
      <c r="AV937" s="1" t="n"/>
      <c r="AW937" s="1" t="n"/>
      <c r="AX937" s="1" t="n"/>
      <c r="AY937" s="1" t="n"/>
      <c r="AZ937" s="1" t="n"/>
      <c r="BA937" s="1" t="n"/>
    </row>
    <row r="938" ht="16.5" customHeight="1" s="220">
      <c r="A938" s="1" t="n"/>
      <c r="B938" s="1" t="n"/>
      <c r="C938" s="2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Q938" s="1" t="n"/>
      <c r="AR938" s="1" t="n"/>
      <c r="AS938" s="1" t="n"/>
      <c r="AT938" s="1" t="n"/>
      <c r="AU938" s="1" t="n"/>
      <c r="AV938" s="1" t="n"/>
      <c r="AW938" s="1" t="n"/>
      <c r="AX938" s="1" t="n"/>
      <c r="AY938" s="1" t="n"/>
      <c r="AZ938" s="1" t="n"/>
      <c r="BA938" s="1" t="n"/>
    </row>
    <row r="939" ht="16.5" customHeight="1" s="220">
      <c r="A939" s="1" t="n"/>
      <c r="B939" s="1" t="n"/>
      <c r="C939" s="2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  <c r="AR939" s="1" t="n"/>
      <c r="AS939" s="1" t="n"/>
      <c r="AT939" s="1" t="n"/>
      <c r="AU939" s="1" t="n"/>
      <c r="AV939" s="1" t="n"/>
      <c r="AW939" s="1" t="n"/>
      <c r="AX939" s="1" t="n"/>
      <c r="AY939" s="1" t="n"/>
      <c r="AZ939" s="1" t="n"/>
      <c r="BA939" s="1" t="n"/>
    </row>
    <row r="940" ht="16.5" customHeight="1" s="220">
      <c r="A940" s="1" t="n"/>
      <c r="B940" s="1" t="n"/>
      <c r="C940" s="2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Q940" s="1" t="n"/>
      <c r="AR940" s="1" t="n"/>
      <c r="AS940" s="1" t="n"/>
      <c r="AT940" s="1" t="n"/>
      <c r="AU940" s="1" t="n"/>
      <c r="AV940" s="1" t="n"/>
      <c r="AW940" s="1" t="n"/>
      <c r="AX940" s="1" t="n"/>
      <c r="AY940" s="1" t="n"/>
      <c r="AZ940" s="1" t="n"/>
      <c r="BA940" s="1" t="n"/>
    </row>
    <row r="941" ht="16.5" customHeight="1" s="220">
      <c r="A941" s="1" t="n"/>
      <c r="B941" s="1" t="n"/>
      <c r="C941" s="2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  <c r="AR941" s="1" t="n"/>
      <c r="AS941" s="1" t="n"/>
      <c r="AT941" s="1" t="n"/>
      <c r="AU941" s="1" t="n"/>
      <c r="AV941" s="1" t="n"/>
      <c r="AW941" s="1" t="n"/>
      <c r="AX941" s="1" t="n"/>
      <c r="AY941" s="1" t="n"/>
      <c r="AZ941" s="1" t="n"/>
      <c r="BA941" s="1" t="n"/>
    </row>
    <row r="942" ht="16.5" customHeight="1" s="220">
      <c r="A942" s="1" t="n"/>
      <c r="B942" s="1" t="n"/>
      <c r="C942" s="2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Q942" s="1" t="n"/>
      <c r="AR942" s="1" t="n"/>
      <c r="AS942" s="1" t="n"/>
      <c r="AT942" s="1" t="n"/>
      <c r="AU942" s="1" t="n"/>
      <c r="AV942" s="1" t="n"/>
      <c r="AW942" s="1" t="n"/>
      <c r="AX942" s="1" t="n"/>
      <c r="AY942" s="1" t="n"/>
      <c r="AZ942" s="1" t="n"/>
      <c r="BA942" s="1" t="n"/>
    </row>
    <row r="943" ht="16.5" customHeight="1" s="220">
      <c r="A943" s="1" t="n"/>
      <c r="B943" s="1" t="n"/>
      <c r="C943" s="2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  <c r="AR943" s="1" t="n"/>
      <c r="AS943" s="1" t="n"/>
      <c r="AT943" s="1" t="n"/>
      <c r="AU943" s="1" t="n"/>
      <c r="AV943" s="1" t="n"/>
      <c r="AW943" s="1" t="n"/>
      <c r="AX943" s="1" t="n"/>
      <c r="AY943" s="1" t="n"/>
      <c r="AZ943" s="1" t="n"/>
      <c r="BA943" s="1" t="n"/>
    </row>
    <row r="944" ht="16.5" customHeight="1" s="220">
      <c r="A944" s="1" t="n"/>
      <c r="B944" s="1" t="n"/>
      <c r="C944" s="2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Q944" s="1" t="n"/>
      <c r="AR944" s="1" t="n"/>
      <c r="AS944" s="1" t="n"/>
      <c r="AT944" s="1" t="n"/>
      <c r="AU944" s="1" t="n"/>
      <c r="AV944" s="1" t="n"/>
      <c r="AW944" s="1" t="n"/>
      <c r="AX944" s="1" t="n"/>
      <c r="AY944" s="1" t="n"/>
      <c r="AZ944" s="1" t="n"/>
      <c r="BA944" s="1" t="n"/>
    </row>
    <row r="945" ht="16.5" customHeight="1" s="220">
      <c r="A945" s="1" t="n"/>
      <c r="B945" s="1" t="n"/>
      <c r="C945" s="2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  <c r="AR945" s="1" t="n"/>
      <c r="AS945" s="1" t="n"/>
      <c r="AT945" s="1" t="n"/>
      <c r="AU945" s="1" t="n"/>
      <c r="AV945" s="1" t="n"/>
      <c r="AW945" s="1" t="n"/>
      <c r="AX945" s="1" t="n"/>
      <c r="AY945" s="1" t="n"/>
      <c r="AZ945" s="1" t="n"/>
      <c r="BA945" s="1" t="n"/>
    </row>
    <row r="946" ht="16.5" customHeight="1" s="220">
      <c r="A946" s="1" t="n"/>
      <c r="B946" s="1" t="n"/>
      <c r="C946" s="2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Q946" s="1" t="n"/>
      <c r="AR946" s="1" t="n"/>
      <c r="AS946" s="1" t="n"/>
      <c r="AT946" s="1" t="n"/>
      <c r="AU946" s="1" t="n"/>
      <c r="AV946" s="1" t="n"/>
      <c r="AW946" s="1" t="n"/>
      <c r="AX946" s="1" t="n"/>
      <c r="AY946" s="1" t="n"/>
      <c r="AZ946" s="1" t="n"/>
      <c r="BA946" s="1" t="n"/>
    </row>
    <row r="947" ht="16.5" customHeight="1" s="220">
      <c r="A947" s="1" t="n"/>
      <c r="B947" s="1" t="n"/>
      <c r="C947" s="2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  <c r="AR947" s="1" t="n"/>
      <c r="AS947" s="1" t="n"/>
      <c r="AT947" s="1" t="n"/>
      <c r="AU947" s="1" t="n"/>
      <c r="AV947" s="1" t="n"/>
      <c r="AW947" s="1" t="n"/>
      <c r="AX947" s="1" t="n"/>
      <c r="AY947" s="1" t="n"/>
      <c r="AZ947" s="1" t="n"/>
      <c r="BA947" s="1" t="n"/>
    </row>
    <row r="948" ht="16.5" customHeight="1" s="220">
      <c r="A948" s="1" t="n"/>
      <c r="B948" s="1" t="n"/>
      <c r="C948" s="2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Q948" s="1" t="n"/>
      <c r="AR948" s="1" t="n"/>
      <c r="AS948" s="1" t="n"/>
      <c r="AT948" s="1" t="n"/>
      <c r="AU948" s="1" t="n"/>
      <c r="AV948" s="1" t="n"/>
      <c r="AW948" s="1" t="n"/>
      <c r="AX948" s="1" t="n"/>
      <c r="AY948" s="1" t="n"/>
      <c r="AZ948" s="1" t="n"/>
      <c r="BA948" s="1" t="n"/>
    </row>
    <row r="949" ht="16.5" customHeight="1" s="220">
      <c r="A949" s="1" t="n"/>
      <c r="B949" s="1" t="n"/>
      <c r="C949" s="2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  <c r="AR949" s="1" t="n"/>
      <c r="AS949" s="1" t="n"/>
      <c r="AT949" s="1" t="n"/>
      <c r="AU949" s="1" t="n"/>
      <c r="AV949" s="1" t="n"/>
      <c r="AW949" s="1" t="n"/>
      <c r="AX949" s="1" t="n"/>
      <c r="AY949" s="1" t="n"/>
      <c r="AZ949" s="1" t="n"/>
      <c r="BA949" s="1" t="n"/>
    </row>
    <row r="950" ht="16.5" customHeight="1" s="220">
      <c r="A950" s="1" t="n"/>
      <c r="B950" s="1" t="n"/>
      <c r="C950" s="2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Q950" s="1" t="n"/>
      <c r="AR950" s="1" t="n"/>
      <c r="AS950" s="1" t="n"/>
      <c r="AT950" s="1" t="n"/>
      <c r="AU950" s="1" t="n"/>
      <c r="AV950" s="1" t="n"/>
      <c r="AW950" s="1" t="n"/>
      <c r="AX950" s="1" t="n"/>
      <c r="AY950" s="1" t="n"/>
      <c r="AZ950" s="1" t="n"/>
      <c r="BA950" s="1" t="n"/>
    </row>
    <row r="951" ht="16.5" customHeight="1" s="220">
      <c r="A951" s="1" t="n"/>
      <c r="B951" s="1" t="n"/>
      <c r="C951" s="2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  <c r="AR951" s="1" t="n"/>
      <c r="AS951" s="1" t="n"/>
      <c r="AT951" s="1" t="n"/>
      <c r="AU951" s="1" t="n"/>
      <c r="AV951" s="1" t="n"/>
      <c r="AW951" s="1" t="n"/>
      <c r="AX951" s="1" t="n"/>
      <c r="AY951" s="1" t="n"/>
      <c r="AZ951" s="1" t="n"/>
      <c r="BA951" s="1" t="n"/>
    </row>
    <row r="952" ht="16.5" customHeight="1" s="220">
      <c r="A952" s="1" t="n"/>
      <c r="B952" s="1" t="n"/>
      <c r="C952" s="2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Q952" s="1" t="n"/>
      <c r="AR952" s="1" t="n"/>
      <c r="AS952" s="1" t="n"/>
      <c r="AT952" s="1" t="n"/>
      <c r="AU952" s="1" t="n"/>
      <c r="AV952" s="1" t="n"/>
      <c r="AW952" s="1" t="n"/>
      <c r="AX952" s="1" t="n"/>
      <c r="AY952" s="1" t="n"/>
      <c r="AZ952" s="1" t="n"/>
      <c r="BA952" s="1" t="n"/>
    </row>
    <row r="953" ht="16.5" customHeight="1" s="220">
      <c r="A953" s="1" t="n"/>
      <c r="B953" s="1" t="n"/>
      <c r="C953" s="2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  <c r="AR953" s="1" t="n"/>
      <c r="AS953" s="1" t="n"/>
      <c r="AT953" s="1" t="n"/>
      <c r="AU953" s="1" t="n"/>
      <c r="AV953" s="1" t="n"/>
      <c r="AW953" s="1" t="n"/>
      <c r="AX953" s="1" t="n"/>
      <c r="AY953" s="1" t="n"/>
      <c r="AZ953" s="1" t="n"/>
      <c r="BA953" s="1" t="n"/>
    </row>
    <row r="954" ht="16.5" customHeight="1" s="220">
      <c r="A954" s="1" t="n"/>
      <c r="B954" s="1" t="n"/>
      <c r="C954" s="2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Q954" s="1" t="n"/>
      <c r="AR954" s="1" t="n"/>
      <c r="AS954" s="1" t="n"/>
      <c r="AT954" s="1" t="n"/>
      <c r="AU954" s="1" t="n"/>
      <c r="AV954" s="1" t="n"/>
      <c r="AW954" s="1" t="n"/>
      <c r="AX954" s="1" t="n"/>
      <c r="AY954" s="1" t="n"/>
      <c r="AZ954" s="1" t="n"/>
      <c r="BA954" s="1" t="n"/>
    </row>
    <row r="955" ht="16.5" customHeight="1" s="220">
      <c r="A955" s="1" t="n"/>
      <c r="B955" s="1" t="n"/>
      <c r="C955" s="2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  <c r="AR955" s="1" t="n"/>
      <c r="AS955" s="1" t="n"/>
      <c r="AT955" s="1" t="n"/>
      <c r="AU955" s="1" t="n"/>
      <c r="AV955" s="1" t="n"/>
      <c r="AW955" s="1" t="n"/>
      <c r="AX955" s="1" t="n"/>
      <c r="AY955" s="1" t="n"/>
      <c r="AZ955" s="1" t="n"/>
      <c r="BA955" s="1" t="n"/>
    </row>
    <row r="956" ht="16.5" customHeight="1" s="220">
      <c r="A956" s="1" t="n"/>
      <c r="B956" s="1" t="n"/>
      <c r="C956" s="2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Q956" s="1" t="n"/>
      <c r="AR956" s="1" t="n"/>
      <c r="AS956" s="1" t="n"/>
      <c r="AT956" s="1" t="n"/>
      <c r="AU956" s="1" t="n"/>
      <c r="AV956" s="1" t="n"/>
      <c r="AW956" s="1" t="n"/>
      <c r="AX956" s="1" t="n"/>
      <c r="AY956" s="1" t="n"/>
      <c r="AZ956" s="1" t="n"/>
      <c r="BA956" s="1" t="n"/>
    </row>
    <row r="957" ht="16.5" customHeight="1" s="220">
      <c r="A957" s="1" t="n"/>
      <c r="B957" s="1" t="n"/>
      <c r="C957" s="2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  <c r="AR957" s="1" t="n"/>
      <c r="AS957" s="1" t="n"/>
      <c r="AT957" s="1" t="n"/>
      <c r="AU957" s="1" t="n"/>
      <c r="AV957" s="1" t="n"/>
      <c r="AW957" s="1" t="n"/>
      <c r="AX957" s="1" t="n"/>
      <c r="AY957" s="1" t="n"/>
      <c r="AZ957" s="1" t="n"/>
      <c r="BA957" s="1" t="n"/>
    </row>
    <row r="958" ht="16.5" customHeight="1" s="220">
      <c r="A958" s="1" t="n"/>
      <c r="B958" s="1" t="n"/>
      <c r="C958" s="2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Q958" s="1" t="n"/>
      <c r="AR958" s="1" t="n"/>
      <c r="AS958" s="1" t="n"/>
      <c r="AT958" s="1" t="n"/>
      <c r="AU958" s="1" t="n"/>
      <c r="AV958" s="1" t="n"/>
      <c r="AW958" s="1" t="n"/>
      <c r="AX958" s="1" t="n"/>
      <c r="AY958" s="1" t="n"/>
      <c r="AZ958" s="1" t="n"/>
      <c r="BA958" s="1" t="n"/>
    </row>
    <row r="959" ht="16.5" customHeight="1" s="220">
      <c r="A959" s="1" t="n"/>
      <c r="B959" s="1" t="n"/>
      <c r="C959" s="2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  <c r="AR959" s="1" t="n"/>
      <c r="AS959" s="1" t="n"/>
      <c r="AT959" s="1" t="n"/>
      <c r="AU959" s="1" t="n"/>
      <c r="AV959" s="1" t="n"/>
      <c r="AW959" s="1" t="n"/>
      <c r="AX959" s="1" t="n"/>
      <c r="AY959" s="1" t="n"/>
      <c r="AZ959" s="1" t="n"/>
      <c r="BA959" s="1" t="n"/>
    </row>
    <row r="960" ht="16.5" customHeight="1" s="220">
      <c r="A960" s="1" t="n"/>
      <c r="B960" s="1" t="n"/>
      <c r="C960" s="2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Q960" s="1" t="n"/>
      <c r="AR960" s="1" t="n"/>
      <c r="AS960" s="1" t="n"/>
      <c r="AT960" s="1" t="n"/>
      <c r="AU960" s="1" t="n"/>
      <c r="AV960" s="1" t="n"/>
      <c r="AW960" s="1" t="n"/>
      <c r="AX960" s="1" t="n"/>
      <c r="AY960" s="1" t="n"/>
      <c r="AZ960" s="1" t="n"/>
      <c r="BA960" s="1" t="n"/>
    </row>
    <row r="961" ht="16.5" customHeight="1" s="220">
      <c r="A961" s="1" t="n"/>
      <c r="B961" s="1" t="n"/>
      <c r="C961" s="2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  <c r="AR961" s="1" t="n"/>
      <c r="AS961" s="1" t="n"/>
      <c r="AT961" s="1" t="n"/>
      <c r="AU961" s="1" t="n"/>
      <c r="AV961" s="1" t="n"/>
      <c r="AW961" s="1" t="n"/>
      <c r="AX961" s="1" t="n"/>
      <c r="AY961" s="1" t="n"/>
      <c r="AZ961" s="1" t="n"/>
      <c r="BA961" s="1" t="n"/>
    </row>
    <row r="962" ht="16.5" customHeight="1" s="220">
      <c r="A962" s="1" t="n"/>
      <c r="B962" s="1" t="n"/>
      <c r="C962" s="2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Q962" s="1" t="n"/>
      <c r="AR962" s="1" t="n"/>
      <c r="AS962" s="1" t="n"/>
      <c r="AT962" s="1" t="n"/>
      <c r="AU962" s="1" t="n"/>
      <c r="AV962" s="1" t="n"/>
      <c r="AW962" s="1" t="n"/>
      <c r="AX962" s="1" t="n"/>
      <c r="AY962" s="1" t="n"/>
      <c r="AZ962" s="1" t="n"/>
      <c r="BA962" s="1" t="n"/>
    </row>
    <row r="963" ht="16.5" customHeight="1" s="220">
      <c r="A963" s="1" t="n"/>
      <c r="B963" s="1" t="n"/>
      <c r="C963" s="2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  <c r="AR963" s="1" t="n"/>
      <c r="AS963" s="1" t="n"/>
      <c r="AT963" s="1" t="n"/>
      <c r="AU963" s="1" t="n"/>
      <c r="AV963" s="1" t="n"/>
      <c r="AW963" s="1" t="n"/>
      <c r="AX963" s="1" t="n"/>
      <c r="AY963" s="1" t="n"/>
      <c r="AZ963" s="1" t="n"/>
      <c r="BA963" s="1" t="n"/>
    </row>
    <row r="964" ht="16.5" customHeight="1" s="220">
      <c r="A964" s="1" t="n"/>
      <c r="B964" s="1" t="n"/>
      <c r="C964" s="2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Q964" s="1" t="n"/>
      <c r="AR964" s="1" t="n"/>
      <c r="AS964" s="1" t="n"/>
      <c r="AT964" s="1" t="n"/>
      <c r="AU964" s="1" t="n"/>
      <c r="AV964" s="1" t="n"/>
      <c r="AW964" s="1" t="n"/>
      <c r="AX964" s="1" t="n"/>
      <c r="AY964" s="1" t="n"/>
      <c r="AZ964" s="1" t="n"/>
      <c r="BA964" s="1" t="n"/>
    </row>
    <row r="965" ht="16.5" customHeight="1" s="220">
      <c r="A965" s="1" t="n"/>
      <c r="B965" s="1" t="n"/>
      <c r="C965" s="2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  <c r="AR965" s="1" t="n"/>
      <c r="AS965" s="1" t="n"/>
      <c r="AT965" s="1" t="n"/>
      <c r="AU965" s="1" t="n"/>
      <c r="AV965" s="1" t="n"/>
      <c r="AW965" s="1" t="n"/>
      <c r="AX965" s="1" t="n"/>
      <c r="AY965" s="1" t="n"/>
      <c r="AZ965" s="1" t="n"/>
      <c r="BA965" s="1" t="n"/>
    </row>
    <row r="966" ht="16.5" customHeight="1" s="220">
      <c r="A966" s="1" t="n"/>
      <c r="B966" s="1" t="n"/>
      <c r="C966" s="2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Q966" s="1" t="n"/>
      <c r="AR966" s="1" t="n"/>
      <c r="AS966" s="1" t="n"/>
      <c r="AT966" s="1" t="n"/>
      <c r="AU966" s="1" t="n"/>
      <c r="AV966" s="1" t="n"/>
      <c r="AW966" s="1" t="n"/>
      <c r="AX966" s="1" t="n"/>
      <c r="AY966" s="1" t="n"/>
      <c r="AZ966" s="1" t="n"/>
      <c r="BA966" s="1" t="n"/>
    </row>
    <row r="967" ht="16.5" customHeight="1" s="220">
      <c r="A967" s="1" t="n"/>
      <c r="B967" s="1" t="n"/>
      <c r="C967" s="2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  <c r="AR967" s="1" t="n"/>
      <c r="AS967" s="1" t="n"/>
      <c r="AT967" s="1" t="n"/>
      <c r="AU967" s="1" t="n"/>
      <c r="AV967" s="1" t="n"/>
      <c r="AW967" s="1" t="n"/>
      <c r="AX967" s="1" t="n"/>
      <c r="AY967" s="1" t="n"/>
      <c r="AZ967" s="1" t="n"/>
      <c r="BA967" s="1" t="n"/>
    </row>
    <row r="968" ht="16.5" customHeight="1" s="220">
      <c r="A968" s="1" t="n"/>
      <c r="B968" s="1" t="n"/>
      <c r="C968" s="2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Q968" s="1" t="n"/>
      <c r="AR968" s="1" t="n"/>
      <c r="AS968" s="1" t="n"/>
      <c r="AT968" s="1" t="n"/>
      <c r="AU968" s="1" t="n"/>
      <c r="AV968" s="1" t="n"/>
      <c r="AW968" s="1" t="n"/>
      <c r="AX968" s="1" t="n"/>
      <c r="AY968" s="1" t="n"/>
      <c r="AZ968" s="1" t="n"/>
      <c r="BA968" s="1" t="n"/>
    </row>
    <row r="969" ht="16.5" customHeight="1" s="220">
      <c r="A969" s="1" t="n"/>
      <c r="B969" s="1" t="n"/>
      <c r="C969" s="2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  <c r="AR969" s="1" t="n"/>
      <c r="AS969" s="1" t="n"/>
      <c r="AT969" s="1" t="n"/>
      <c r="AU969" s="1" t="n"/>
      <c r="AV969" s="1" t="n"/>
      <c r="AW969" s="1" t="n"/>
      <c r="AX969" s="1" t="n"/>
      <c r="AY969" s="1" t="n"/>
      <c r="AZ969" s="1" t="n"/>
      <c r="BA969" s="1" t="n"/>
    </row>
    <row r="970" ht="16.5" customHeight="1" s="220">
      <c r="A970" s="1" t="n"/>
      <c r="B970" s="1" t="n"/>
      <c r="C970" s="2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Q970" s="1" t="n"/>
      <c r="AR970" s="1" t="n"/>
      <c r="AS970" s="1" t="n"/>
      <c r="AT970" s="1" t="n"/>
      <c r="AU970" s="1" t="n"/>
      <c r="AV970" s="1" t="n"/>
      <c r="AW970" s="1" t="n"/>
      <c r="AX970" s="1" t="n"/>
      <c r="AY970" s="1" t="n"/>
      <c r="AZ970" s="1" t="n"/>
      <c r="BA970" s="1" t="n"/>
    </row>
    <row r="971" ht="16.5" customHeight="1" s="220">
      <c r="A971" s="1" t="n"/>
      <c r="B971" s="1" t="n"/>
      <c r="C971" s="2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  <c r="AR971" s="1" t="n"/>
      <c r="AS971" s="1" t="n"/>
      <c r="AT971" s="1" t="n"/>
      <c r="AU971" s="1" t="n"/>
      <c r="AV971" s="1" t="n"/>
      <c r="AW971" s="1" t="n"/>
      <c r="AX971" s="1" t="n"/>
      <c r="AY971" s="1" t="n"/>
      <c r="AZ971" s="1" t="n"/>
      <c r="BA971" s="1" t="n"/>
    </row>
    <row r="972" ht="16.5" customHeight="1" s="220">
      <c r="A972" s="1" t="n"/>
      <c r="B972" s="1" t="n"/>
      <c r="C972" s="2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Q972" s="1" t="n"/>
      <c r="AR972" s="1" t="n"/>
      <c r="AS972" s="1" t="n"/>
      <c r="AT972" s="1" t="n"/>
      <c r="AU972" s="1" t="n"/>
      <c r="AV972" s="1" t="n"/>
      <c r="AW972" s="1" t="n"/>
      <c r="AX972" s="1" t="n"/>
      <c r="AY972" s="1" t="n"/>
      <c r="AZ972" s="1" t="n"/>
      <c r="BA972" s="1" t="n"/>
    </row>
    <row r="973" ht="16.5" customHeight="1" s="220">
      <c r="A973" s="1" t="n"/>
      <c r="B973" s="1" t="n"/>
      <c r="C973" s="2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  <c r="AR973" s="1" t="n"/>
      <c r="AS973" s="1" t="n"/>
      <c r="AT973" s="1" t="n"/>
      <c r="AU973" s="1" t="n"/>
      <c r="AV973" s="1" t="n"/>
      <c r="AW973" s="1" t="n"/>
      <c r="AX973" s="1" t="n"/>
      <c r="AY973" s="1" t="n"/>
      <c r="AZ973" s="1" t="n"/>
      <c r="BA973" s="1" t="n"/>
    </row>
    <row r="974" ht="16.5" customHeight="1" s="220">
      <c r="A974" s="1" t="n"/>
      <c r="B974" s="1" t="n"/>
      <c r="C974" s="2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Q974" s="1" t="n"/>
      <c r="AR974" s="1" t="n"/>
      <c r="AS974" s="1" t="n"/>
      <c r="AT974" s="1" t="n"/>
      <c r="AU974" s="1" t="n"/>
      <c r="AV974" s="1" t="n"/>
      <c r="AW974" s="1" t="n"/>
      <c r="AX974" s="1" t="n"/>
      <c r="AY974" s="1" t="n"/>
      <c r="AZ974" s="1" t="n"/>
      <c r="BA974" s="1" t="n"/>
    </row>
    <row r="975" ht="16.5" customHeight="1" s="220">
      <c r="A975" s="1" t="n"/>
      <c r="B975" s="1" t="n"/>
      <c r="C975" s="2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  <c r="AR975" s="1" t="n"/>
      <c r="AS975" s="1" t="n"/>
      <c r="AT975" s="1" t="n"/>
      <c r="AU975" s="1" t="n"/>
      <c r="AV975" s="1" t="n"/>
      <c r="AW975" s="1" t="n"/>
      <c r="AX975" s="1" t="n"/>
      <c r="AY975" s="1" t="n"/>
      <c r="AZ975" s="1" t="n"/>
      <c r="BA975" s="1" t="n"/>
    </row>
    <row r="976" ht="16.5" customHeight="1" s="220">
      <c r="A976" s="1" t="n"/>
      <c r="B976" s="1" t="n"/>
      <c r="C976" s="2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Q976" s="1" t="n"/>
      <c r="AR976" s="1" t="n"/>
      <c r="AS976" s="1" t="n"/>
      <c r="AT976" s="1" t="n"/>
      <c r="AU976" s="1" t="n"/>
      <c r="AV976" s="1" t="n"/>
      <c r="AW976" s="1" t="n"/>
      <c r="AX976" s="1" t="n"/>
      <c r="AY976" s="1" t="n"/>
      <c r="AZ976" s="1" t="n"/>
      <c r="BA976" s="1" t="n"/>
    </row>
    <row r="977" ht="16.5" customHeight="1" s="220">
      <c r="A977" s="1" t="n"/>
      <c r="B977" s="1" t="n"/>
      <c r="C977" s="2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  <c r="AR977" s="1" t="n"/>
      <c r="AS977" s="1" t="n"/>
      <c r="AT977" s="1" t="n"/>
      <c r="AU977" s="1" t="n"/>
      <c r="AV977" s="1" t="n"/>
      <c r="AW977" s="1" t="n"/>
      <c r="AX977" s="1" t="n"/>
      <c r="AY977" s="1" t="n"/>
      <c r="AZ977" s="1" t="n"/>
      <c r="BA977" s="1" t="n"/>
    </row>
    <row r="978" ht="16.5" customHeight="1" s="220">
      <c r="A978" s="1" t="n"/>
      <c r="B978" s="1" t="n"/>
      <c r="C978" s="2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Q978" s="1" t="n"/>
      <c r="AR978" s="1" t="n"/>
      <c r="AS978" s="1" t="n"/>
      <c r="AT978" s="1" t="n"/>
      <c r="AU978" s="1" t="n"/>
      <c r="AV978" s="1" t="n"/>
      <c r="AW978" s="1" t="n"/>
      <c r="AX978" s="1" t="n"/>
      <c r="AY978" s="1" t="n"/>
      <c r="AZ978" s="1" t="n"/>
      <c r="BA978" s="1" t="n"/>
    </row>
    <row r="979" ht="16.5" customHeight="1" s="220">
      <c r="A979" s="1" t="n"/>
      <c r="B979" s="1" t="n"/>
      <c r="C979" s="2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  <c r="AR979" s="1" t="n"/>
      <c r="AS979" s="1" t="n"/>
      <c r="AT979" s="1" t="n"/>
      <c r="AU979" s="1" t="n"/>
      <c r="AV979" s="1" t="n"/>
      <c r="AW979" s="1" t="n"/>
      <c r="AX979" s="1" t="n"/>
      <c r="AY979" s="1" t="n"/>
      <c r="AZ979" s="1" t="n"/>
      <c r="BA979" s="1" t="n"/>
    </row>
    <row r="980" ht="16.5" customHeight="1" s="220">
      <c r="A980" s="1" t="n"/>
      <c r="B980" s="1" t="n"/>
      <c r="C980" s="2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Q980" s="1" t="n"/>
      <c r="AR980" s="1" t="n"/>
      <c r="AS980" s="1" t="n"/>
      <c r="AT980" s="1" t="n"/>
      <c r="AU980" s="1" t="n"/>
      <c r="AV980" s="1" t="n"/>
      <c r="AW980" s="1" t="n"/>
      <c r="AX980" s="1" t="n"/>
      <c r="AY980" s="1" t="n"/>
      <c r="AZ980" s="1" t="n"/>
      <c r="BA980" s="1" t="n"/>
    </row>
    <row r="981" ht="16.5" customHeight="1" s="220">
      <c r="A981" s="1" t="n"/>
      <c r="B981" s="1" t="n"/>
      <c r="C981" s="2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  <c r="AR981" s="1" t="n"/>
      <c r="AS981" s="1" t="n"/>
      <c r="AT981" s="1" t="n"/>
      <c r="AU981" s="1" t="n"/>
      <c r="AV981" s="1" t="n"/>
      <c r="AW981" s="1" t="n"/>
      <c r="AX981" s="1" t="n"/>
      <c r="AY981" s="1" t="n"/>
      <c r="AZ981" s="1" t="n"/>
      <c r="BA981" s="1" t="n"/>
    </row>
    <row r="982" ht="16.5" customHeight="1" s="220">
      <c r="A982" s="1" t="n"/>
      <c r="B982" s="1" t="n"/>
      <c r="C982" s="2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Q982" s="1" t="n"/>
      <c r="AR982" s="1" t="n"/>
      <c r="AS982" s="1" t="n"/>
      <c r="AT982" s="1" t="n"/>
      <c r="AU982" s="1" t="n"/>
      <c r="AV982" s="1" t="n"/>
      <c r="AW982" s="1" t="n"/>
      <c r="AX982" s="1" t="n"/>
      <c r="AY982" s="1" t="n"/>
      <c r="AZ982" s="1" t="n"/>
      <c r="BA982" s="1" t="n"/>
    </row>
    <row r="983" ht="16.5" customHeight="1" s="220">
      <c r="A983" s="1" t="n"/>
      <c r="B983" s="1" t="n"/>
      <c r="C983" s="2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  <c r="AR983" s="1" t="n"/>
      <c r="AS983" s="1" t="n"/>
      <c r="AT983" s="1" t="n"/>
      <c r="AU983" s="1" t="n"/>
      <c r="AV983" s="1" t="n"/>
      <c r="AW983" s="1" t="n"/>
      <c r="AX983" s="1" t="n"/>
      <c r="AY983" s="1" t="n"/>
      <c r="AZ983" s="1" t="n"/>
      <c r="BA983" s="1" t="n"/>
    </row>
    <row r="984" ht="16.5" customHeight="1" s="220">
      <c r="A984" s="1" t="n"/>
      <c r="B984" s="1" t="n"/>
      <c r="C984" s="2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Q984" s="1" t="n"/>
      <c r="AR984" s="1" t="n"/>
      <c r="AS984" s="1" t="n"/>
      <c r="AT984" s="1" t="n"/>
      <c r="AU984" s="1" t="n"/>
      <c r="AV984" s="1" t="n"/>
      <c r="AW984" s="1" t="n"/>
      <c r="AX984" s="1" t="n"/>
      <c r="AY984" s="1" t="n"/>
      <c r="AZ984" s="1" t="n"/>
      <c r="BA984" s="1" t="n"/>
    </row>
    <row r="985" ht="16.5" customHeight="1" s="220">
      <c r="A985" s="1" t="n"/>
      <c r="B985" s="1" t="n"/>
      <c r="C985" s="2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  <c r="AR985" s="1" t="n"/>
      <c r="AS985" s="1" t="n"/>
      <c r="AT985" s="1" t="n"/>
      <c r="AU985" s="1" t="n"/>
      <c r="AV985" s="1" t="n"/>
      <c r="AW985" s="1" t="n"/>
      <c r="AX985" s="1" t="n"/>
      <c r="AY985" s="1" t="n"/>
      <c r="AZ985" s="1" t="n"/>
      <c r="BA985" s="1" t="n"/>
    </row>
    <row r="986" ht="16.5" customHeight="1" s="220">
      <c r="A986" s="1" t="n"/>
      <c r="B986" s="1" t="n"/>
      <c r="C986" s="2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Q986" s="1" t="n"/>
      <c r="AR986" s="1" t="n"/>
      <c r="AS986" s="1" t="n"/>
      <c r="AT986" s="1" t="n"/>
      <c r="AU986" s="1" t="n"/>
      <c r="AV986" s="1" t="n"/>
      <c r="AW986" s="1" t="n"/>
      <c r="AX986" s="1" t="n"/>
      <c r="AY986" s="1" t="n"/>
      <c r="AZ986" s="1" t="n"/>
      <c r="BA986" s="1" t="n"/>
    </row>
    <row r="987" ht="16.5" customHeight="1" s="220">
      <c r="A987" s="1" t="n"/>
      <c r="B987" s="1" t="n"/>
      <c r="C987" s="2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  <c r="AR987" s="1" t="n"/>
      <c r="AS987" s="1" t="n"/>
      <c r="AT987" s="1" t="n"/>
      <c r="AU987" s="1" t="n"/>
      <c r="AV987" s="1" t="n"/>
      <c r="AW987" s="1" t="n"/>
      <c r="AX987" s="1" t="n"/>
      <c r="AY987" s="1" t="n"/>
      <c r="AZ987" s="1" t="n"/>
      <c r="BA987" s="1" t="n"/>
    </row>
    <row r="988" ht="16.5" customHeight="1" s="220">
      <c r="A988" s="1" t="n"/>
      <c r="B988" s="1" t="n"/>
      <c r="C988" s="2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Q988" s="1" t="n"/>
      <c r="AR988" s="1" t="n"/>
      <c r="AS988" s="1" t="n"/>
      <c r="AT988" s="1" t="n"/>
      <c r="AU988" s="1" t="n"/>
      <c r="AV988" s="1" t="n"/>
      <c r="AW988" s="1" t="n"/>
      <c r="AX988" s="1" t="n"/>
      <c r="AY988" s="1" t="n"/>
      <c r="AZ988" s="1" t="n"/>
      <c r="BA988" s="1" t="n"/>
    </row>
    <row r="989" ht="16.5" customHeight="1" s="220">
      <c r="A989" s="1" t="n"/>
      <c r="B989" s="1" t="n"/>
      <c r="C989" s="2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  <c r="AR989" s="1" t="n"/>
      <c r="AS989" s="1" t="n"/>
      <c r="AT989" s="1" t="n"/>
      <c r="AU989" s="1" t="n"/>
      <c r="AV989" s="1" t="n"/>
      <c r="AW989" s="1" t="n"/>
      <c r="AX989" s="1" t="n"/>
      <c r="AY989" s="1" t="n"/>
      <c r="AZ989" s="1" t="n"/>
      <c r="BA989" s="1" t="n"/>
    </row>
    <row r="990" ht="16.5" customHeight="1" s="220">
      <c r="A990" s="1" t="n"/>
      <c r="B990" s="1" t="n"/>
      <c r="C990" s="2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  <c r="AQ990" s="1" t="n"/>
      <c r="AR990" s="1" t="n"/>
      <c r="AS990" s="1" t="n"/>
      <c r="AT990" s="1" t="n"/>
      <c r="AU990" s="1" t="n"/>
      <c r="AV990" s="1" t="n"/>
      <c r="AW990" s="1" t="n"/>
      <c r="AX990" s="1" t="n"/>
      <c r="AY990" s="1" t="n"/>
      <c r="AZ990" s="1" t="n"/>
      <c r="BA990" s="1" t="n"/>
    </row>
    <row r="991" ht="16.5" customHeight="1" s="220">
      <c r="A991" s="1" t="n"/>
      <c r="B991" s="1" t="n"/>
      <c r="C991" s="2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  <c r="AR991" s="1" t="n"/>
      <c r="AS991" s="1" t="n"/>
      <c r="AT991" s="1" t="n"/>
      <c r="AU991" s="1" t="n"/>
      <c r="AV991" s="1" t="n"/>
      <c r="AW991" s="1" t="n"/>
      <c r="AX991" s="1" t="n"/>
      <c r="AY991" s="1" t="n"/>
      <c r="AZ991" s="1" t="n"/>
      <c r="BA991" s="1" t="n"/>
    </row>
    <row r="992" ht="16.5" customHeight="1" s="220">
      <c r="A992" s="1" t="n"/>
      <c r="B992" s="1" t="n"/>
      <c r="C992" s="2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  <c r="AQ992" s="1" t="n"/>
      <c r="AR992" s="1" t="n"/>
      <c r="AS992" s="1" t="n"/>
      <c r="AT992" s="1" t="n"/>
      <c r="AU992" s="1" t="n"/>
      <c r="AV992" s="1" t="n"/>
      <c r="AW992" s="1" t="n"/>
      <c r="AX992" s="1" t="n"/>
      <c r="AY992" s="1" t="n"/>
      <c r="AZ992" s="1" t="n"/>
      <c r="BA992" s="1" t="n"/>
    </row>
    <row r="993" ht="16.5" customHeight="1" s="220">
      <c r="A993" s="1" t="n"/>
      <c r="B993" s="1" t="n"/>
      <c r="C993" s="2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Q993" s="1" t="n"/>
      <c r="AR993" s="1" t="n"/>
      <c r="AS993" s="1" t="n"/>
      <c r="AT993" s="1" t="n"/>
      <c r="AU993" s="1" t="n"/>
      <c r="AV993" s="1" t="n"/>
      <c r="AW993" s="1" t="n"/>
      <c r="AX993" s="1" t="n"/>
      <c r="AY993" s="1" t="n"/>
      <c r="AZ993" s="1" t="n"/>
      <c r="BA993" s="1" t="n"/>
    </row>
    <row r="994" ht="16.5" customHeight="1" s="220">
      <c r="A994" s="1" t="n"/>
      <c r="B994" s="1" t="n"/>
      <c r="C994" s="2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Q994" s="1" t="n"/>
      <c r="AR994" s="1" t="n"/>
      <c r="AS994" s="1" t="n"/>
      <c r="AT994" s="1" t="n"/>
      <c r="AU994" s="1" t="n"/>
      <c r="AV994" s="1" t="n"/>
      <c r="AW994" s="1" t="n"/>
      <c r="AX994" s="1" t="n"/>
      <c r="AY994" s="1" t="n"/>
      <c r="AZ994" s="1" t="n"/>
      <c r="BA994" s="1" t="n"/>
    </row>
    <row r="995" ht="16.5" customHeight="1" s="220">
      <c r="A995" s="1" t="n"/>
      <c r="B995" s="1" t="n"/>
      <c r="C995" s="2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  <c r="AR995" s="1" t="n"/>
      <c r="AS995" s="1" t="n"/>
      <c r="AT995" s="1" t="n"/>
      <c r="AU995" s="1" t="n"/>
      <c r="AV995" s="1" t="n"/>
      <c r="AW995" s="1" t="n"/>
      <c r="AX995" s="1" t="n"/>
      <c r="AY995" s="1" t="n"/>
      <c r="AZ995" s="1" t="n"/>
      <c r="BA995" s="1" t="n"/>
    </row>
    <row r="996" ht="16.5" customHeight="1" s="220">
      <c r="A996" s="1" t="n"/>
      <c r="B996" s="1" t="n"/>
      <c r="C996" s="2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Q996" s="1" t="n"/>
      <c r="AR996" s="1" t="n"/>
      <c r="AS996" s="1" t="n"/>
      <c r="AT996" s="1" t="n"/>
      <c r="AU996" s="1" t="n"/>
      <c r="AV996" s="1" t="n"/>
      <c r="AW996" s="1" t="n"/>
      <c r="AX996" s="1" t="n"/>
      <c r="AY996" s="1" t="n"/>
      <c r="AZ996" s="1" t="n"/>
      <c r="BA996" s="1" t="n"/>
    </row>
    <row r="997" ht="16.5" customHeight="1" s="220">
      <c r="A997" s="1" t="n"/>
      <c r="B997" s="1" t="n"/>
      <c r="C997" s="2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  <c r="AR997" s="1" t="n"/>
      <c r="AS997" s="1" t="n"/>
      <c r="AT997" s="1" t="n"/>
      <c r="AU997" s="1" t="n"/>
      <c r="AV997" s="1" t="n"/>
      <c r="AW997" s="1" t="n"/>
      <c r="AX997" s="1" t="n"/>
      <c r="AY997" s="1" t="n"/>
      <c r="AZ997" s="1" t="n"/>
      <c r="BA997" s="1" t="n"/>
    </row>
    <row r="998" ht="16.5" customHeight="1" s="220">
      <c r="A998" s="1" t="n"/>
      <c r="B998" s="1" t="n"/>
      <c r="C998" s="2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  <c r="AQ998" s="1" t="n"/>
      <c r="AR998" s="1" t="n"/>
      <c r="AS998" s="1" t="n"/>
      <c r="AT998" s="1" t="n"/>
      <c r="AU998" s="1" t="n"/>
      <c r="AV998" s="1" t="n"/>
      <c r="AW998" s="1" t="n"/>
      <c r="AX998" s="1" t="n"/>
      <c r="AY998" s="1" t="n"/>
      <c r="AZ998" s="1" t="n"/>
      <c r="BA998" s="1" t="n"/>
    </row>
    <row r="999" ht="16.5" customHeight="1" s="220">
      <c r="A999" s="1" t="n"/>
      <c r="B999" s="1" t="n"/>
      <c r="C999" s="2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Q999" s="1" t="n"/>
      <c r="AR999" s="1" t="n"/>
      <c r="AS999" s="1" t="n"/>
      <c r="AT999" s="1" t="n"/>
      <c r="AU999" s="1" t="n"/>
      <c r="AV999" s="1" t="n"/>
      <c r="AW999" s="1" t="n"/>
      <c r="AX999" s="1" t="n"/>
      <c r="AY999" s="1" t="n"/>
      <c r="AZ999" s="1" t="n"/>
      <c r="BA999" s="1" t="n"/>
    </row>
    <row r="1000" ht="16.5" customHeight="1" s="220">
      <c r="A1000" s="1" t="n"/>
      <c r="B1000" s="1" t="n"/>
      <c r="C1000" s="2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  <c r="AQ1000" s="1" t="n"/>
      <c r="AR1000" s="1" t="n"/>
      <c r="AS1000" s="1" t="n"/>
      <c r="AT1000" s="1" t="n"/>
      <c r="AU1000" s="1" t="n"/>
      <c r="AV1000" s="1" t="n"/>
      <c r="AW1000" s="1" t="n"/>
      <c r="AX1000" s="1" t="n"/>
      <c r="AY1000" s="1" t="n"/>
      <c r="AZ1000" s="1" t="n"/>
      <c r="BA1000" s="1" t="n"/>
    </row>
  </sheetData>
  <mergeCells count="48">
    <mergeCell ref="F4:G4"/>
    <mergeCell ref="Y5:AA5"/>
    <mergeCell ref="Q5:S5"/>
    <mergeCell ref="AY3:AZ3"/>
    <mergeCell ref="B3:C3"/>
    <mergeCell ref="V33:W33"/>
    <mergeCell ref="N4:O4"/>
    <mergeCell ref="AY33:AZ33"/>
    <mergeCell ref="R4:S4"/>
    <mergeCell ref="F3:G3"/>
    <mergeCell ref="AT3:AU3"/>
    <mergeCell ref="V4:W4"/>
    <mergeCell ref="AE3:AF3"/>
    <mergeCell ref="N3:O3"/>
    <mergeCell ref="AY4:AZ4"/>
    <mergeCell ref="A5:C5"/>
    <mergeCell ref="AT33:AU33"/>
    <mergeCell ref="AO3:AP3"/>
    <mergeCell ref="I5:K5"/>
    <mergeCell ref="F33:G33"/>
    <mergeCell ref="AO33:AP33"/>
    <mergeCell ref="N33:O33"/>
    <mergeCell ref="AE33:AF33"/>
    <mergeCell ref="AT4:AU4"/>
    <mergeCell ref="Z3:AA3"/>
    <mergeCell ref="J4:K4"/>
    <mergeCell ref="AJ3:AK3"/>
    <mergeCell ref="U5:W5"/>
    <mergeCell ref="AX5:AZ5"/>
    <mergeCell ref="AI5:AK5"/>
    <mergeCell ref="AJ33:AK33"/>
    <mergeCell ref="Z33:AA33"/>
    <mergeCell ref="AS5:AU5"/>
    <mergeCell ref="R3:S3"/>
    <mergeCell ref="AO4:AP4"/>
    <mergeCell ref="J3:K3"/>
    <mergeCell ref="AJ4:AK4"/>
    <mergeCell ref="Z4:AA4"/>
    <mergeCell ref="AD5:AF5"/>
    <mergeCell ref="B33:C33"/>
    <mergeCell ref="E5:G5"/>
    <mergeCell ref="AN5:AP5"/>
    <mergeCell ref="M5:O5"/>
    <mergeCell ref="J33:K33"/>
    <mergeCell ref="R33:S33"/>
    <mergeCell ref="B4:C4"/>
    <mergeCell ref="V3:W3"/>
    <mergeCell ref="AE4:AF4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FF99CC"/>
    <outlinePr summaryBelow="1" summaryRight="1"/>
    <pageSetUpPr/>
  </sheetPr>
  <dimension ref="A1:BA1000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32.5" customWidth="1" style="220" min="1" max="1"/>
    <col width="76.13" customWidth="1" style="220" min="2" max="2"/>
    <col width="43.5" customWidth="1" style="220" min="3" max="3"/>
    <col width="27.75" customWidth="1" style="220" min="4" max="4"/>
    <col hidden="1" width="33" customWidth="1" style="220" min="5" max="5"/>
    <col hidden="1" width="56.75" customWidth="1" style="220" min="6" max="6"/>
    <col hidden="1" width="33.88" customWidth="1" style="220" min="7" max="7"/>
    <col hidden="1" width="28" customWidth="1" style="220" min="8" max="8"/>
    <col width="33" customWidth="1" style="220" min="9" max="9"/>
    <col width="56.75" customWidth="1" style="220" min="10" max="10"/>
    <col width="30.13" customWidth="1" style="220" min="11" max="11"/>
    <col width="28" customWidth="1" style="220" min="12" max="12"/>
    <col width="33.13" customWidth="1" style="220" min="13" max="13"/>
    <col width="56.75" customWidth="1" style="220" min="14" max="14"/>
    <col width="30.13" customWidth="1" style="220" min="15" max="15"/>
    <col width="41.75" customWidth="1" style="220" min="16" max="16"/>
    <col hidden="1" width="28.13" customWidth="1" style="220" min="17" max="17"/>
    <col hidden="1" width="56.75" customWidth="1" style="220" min="18" max="18"/>
    <col hidden="1" width="30.13" customWidth="1" style="220" min="19" max="19"/>
    <col hidden="1" width="27.38" customWidth="1" style="220" min="20" max="20"/>
    <col width="33.38" customWidth="1" style="220" min="21" max="21"/>
    <col width="56.75" customWidth="1" style="220" min="22" max="22"/>
    <col width="30.13" customWidth="1" style="220" min="23" max="23"/>
    <col width="47.63" customWidth="1" style="220" min="24" max="24"/>
    <col width="33.88" customWidth="1" style="220" min="25" max="25"/>
    <col width="56.75" customWidth="1" style="220" min="26" max="26"/>
    <col width="30.13" customWidth="1" style="220" min="27" max="27"/>
    <col width="22.88" customWidth="1" style="220" min="28" max="28"/>
    <col width="8.880000000000001" customWidth="1" style="220" min="29" max="29"/>
    <col width="32.75" customWidth="1" style="220" min="30" max="30"/>
    <col width="56.75" customWidth="1" style="220" min="31" max="31"/>
    <col width="30.13" customWidth="1" style="220" min="32" max="32"/>
    <col width="22.88" customWidth="1" style="220" min="33" max="33"/>
    <col width="8.880000000000001" customWidth="1" style="220" min="34" max="34"/>
    <col hidden="1" width="31.88" customWidth="1" style="220" min="35" max="35"/>
    <col hidden="1" width="52.63" customWidth="1" style="220" min="36" max="36"/>
    <col hidden="1" width="20" customWidth="1" style="220" min="37" max="37"/>
    <col hidden="1" width="19.25" customWidth="1" style="220" min="38" max="38"/>
    <col hidden="1" width="15.88" customWidth="1" style="220" min="39" max="39"/>
    <col width="31.88" customWidth="1" style="220" min="40" max="40"/>
    <col width="52.63" customWidth="1" style="220" min="41" max="41"/>
    <col width="24.5" customWidth="1" style="220" min="42" max="42"/>
    <col width="22.63" customWidth="1" style="220" min="43" max="43"/>
    <col width="8.880000000000001" customWidth="1" style="220" min="44" max="44"/>
    <col width="31.88" customWidth="1" style="220" min="45" max="45"/>
    <col width="52.63" customWidth="1" style="220" min="46" max="46"/>
    <col width="19.5" customWidth="1" style="220" min="47" max="47"/>
    <col width="11.5" customWidth="1" style="220" min="48" max="48"/>
    <col width="8.880000000000001" customWidth="1" style="220" min="49" max="49"/>
    <col width="31.88" customWidth="1" style="220" min="50" max="50"/>
    <col width="52.63" customWidth="1" style="220" min="51" max="51"/>
    <col width="19.5" customWidth="1" style="220" min="52" max="52"/>
    <col width="8.880000000000001" customWidth="1" style="220" min="53" max="53"/>
  </cols>
  <sheetData>
    <row r="1" ht="16.5" customHeight="1" s="220">
      <c r="A1" s="1" t="n"/>
      <c r="B1" s="1" t="n"/>
      <c r="C1" s="2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</row>
    <row r="2" ht="17.25" customHeight="1" s="220">
      <c r="A2" s="1" t="n"/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</row>
    <row r="3" ht="23.25" customHeight="1" s="220">
      <c r="A3" s="3" t="inlineStr">
        <is>
          <t>MONTH/YEAR:</t>
        </is>
      </c>
      <c r="B3" s="221" t="n">
        <v>46023</v>
      </c>
      <c r="C3" s="222" t="n"/>
      <c r="D3" s="1" t="n"/>
      <c r="E3" s="3" t="inlineStr">
        <is>
          <t>MONTH/YEAR:</t>
        </is>
      </c>
      <c r="F3" s="221">
        <f>B3</f>
        <v/>
      </c>
      <c r="G3" s="222" t="n"/>
      <c r="H3" s="1" t="n"/>
      <c r="I3" s="3" t="inlineStr">
        <is>
          <t>MONTH/YEAR:</t>
        </is>
      </c>
      <c r="J3" s="221">
        <f>B3</f>
        <v/>
      </c>
      <c r="K3" s="222" t="n"/>
      <c r="L3" s="1" t="n"/>
      <c r="M3" s="3" t="inlineStr">
        <is>
          <t>MONTH/YEAR:</t>
        </is>
      </c>
      <c r="N3" s="221">
        <f>B3</f>
        <v/>
      </c>
      <c r="O3" s="222" t="n"/>
      <c r="P3" s="1" t="n"/>
      <c r="Q3" s="3" t="inlineStr">
        <is>
          <t>MONTH/YEAR:</t>
        </is>
      </c>
      <c r="R3" s="221">
        <f>B3</f>
        <v/>
      </c>
      <c r="S3" s="222" t="n"/>
      <c r="T3" s="1" t="n"/>
      <c r="U3" s="3" t="inlineStr">
        <is>
          <t>MONTH/YEAR:</t>
        </is>
      </c>
      <c r="V3" s="221">
        <f>B3</f>
        <v/>
      </c>
      <c r="W3" s="222" t="n"/>
      <c r="X3" s="1" t="n"/>
      <c r="Y3" s="3" t="inlineStr">
        <is>
          <t>MONTH/YEAR:</t>
        </is>
      </c>
      <c r="Z3" s="221">
        <f>B3</f>
        <v/>
      </c>
      <c r="AA3" s="222" t="n"/>
      <c r="AB3" s="1" t="n"/>
      <c r="AC3" s="1" t="n"/>
      <c r="AD3" s="3" t="inlineStr">
        <is>
          <t>MONTH/YEAR:</t>
        </is>
      </c>
      <c r="AE3" s="221">
        <f>B3</f>
        <v/>
      </c>
      <c r="AF3" s="222" t="n"/>
      <c r="AG3" s="1" t="n"/>
      <c r="AH3" s="1" t="n"/>
      <c r="AI3" s="3" t="inlineStr">
        <is>
          <t>MONTH/YEAR:</t>
        </is>
      </c>
      <c r="AJ3" s="221">
        <f>AE3</f>
        <v/>
      </c>
      <c r="AK3" s="222" t="n"/>
      <c r="AL3" s="1" t="n"/>
      <c r="AM3" s="1" t="n"/>
      <c r="AN3" s="3" t="inlineStr">
        <is>
          <t>MONTH/YEAR:</t>
        </is>
      </c>
      <c r="AO3" s="221">
        <f>AE3</f>
        <v/>
      </c>
      <c r="AP3" s="222" t="n"/>
      <c r="AQ3" s="1" t="n"/>
      <c r="AR3" s="1" t="n"/>
      <c r="AS3" s="3" t="inlineStr">
        <is>
          <t>MONTH/YEAR:</t>
        </is>
      </c>
      <c r="AT3" s="221">
        <f>AO3</f>
        <v/>
      </c>
      <c r="AU3" s="222" t="n"/>
      <c r="AV3" s="1" t="n"/>
      <c r="AW3" s="1" t="n"/>
      <c r="AX3" s="3" t="inlineStr">
        <is>
          <t>MONTH/YEAR:</t>
        </is>
      </c>
      <c r="AY3" s="221">
        <f>V3</f>
        <v/>
      </c>
      <c r="AZ3" s="222" t="n"/>
      <c r="BA3" s="1" t="n"/>
    </row>
    <row r="4" ht="31.5" customHeight="1" s="220">
      <c r="A4" s="6" t="inlineStr">
        <is>
          <t>BRANCH:</t>
        </is>
      </c>
      <c r="B4" s="223" t="inlineStr">
        <is>
          <t>CASA DENTAL HOLLAND PTE LTD</t>
        </is>
      </c>
      <c r="C4" s="224" t="n"/>
      <c r="D4" s="1" t="n"/>
      <c r="E4" s="6" t="inlineStr">
        <is>
          <t>BRANCH:</t>
        </is>
      </c>
      <c r="F4" s="223">
        <f>B4</f>
        <v/>
      </c>
      <c r="G4" s="224" t="n"/>
      <c r="H4" s="1" t="n"/>
      <c r="I4" s="6" t="inlineStr">
        <is>
          <t>BRANCH:</t>
        </is>
      </c>
      <c r="J4" s="223">
        <f>B4</f>
        <v/>
      </c>
      <c r="K4" s="224" t="n"/>
      <c r="L4" s="1" t="n"/>
      <c r="M4" s="6" t="inlineStr">
        <is>
          <t>BRANCH:</t>
        </is>
      </c>
      <c r="N4" s="223">
        <f>B4</f>
        <v/>
      </c>
      <c r="O4" s="224" t="n"/>
      <c r="P4" s="1" t="n"/>
      <c r="Q4" s="6" t="inlineStr">
        <is>
          <t>BRANCH:</t>
        </is>
      </c>
      <c r="R4" s="223" t="inlineStr">
        <is>
          <t>CASA DENTAL AMK PTE LTD</t>
        </is>
      </c>
      <c r="S4" s="224" t="n"/>
      <c r="T4" s="1" t="n"/>
      <c r="U4" s="6" t="inlineStr">
        <is>
          <t>BRANCH:</t>
        </is>
      </c>
      <c r="V4" s="223">
        <f>B4</f>
        <v/>
      </c>
      <c r="W4" s="224" t="n"/>
      <c r="X4" s="1" t="n"/>
      <c r="Y4" s="6" t="inlineStr">
        <is>
          <t>BRANCH:</t>
        </is>
      </c>
      <c r="Z4" s="223">
        <f>B4</f>
        <v/>
      </c>
      <c r="AA4" s="224" t="n"/>
      <c r="AB4" s="1" t="n"/>
      <c r="AC4" s="1" t="n"/>
      <c r="AD4" s="6" t="inlineStr">
        <is>
          <t>BRANCH:</t>
        </is>
      </c>
      <c r="AE4" s="223">
        <f>B4</f>
        <v/>
      </c>
      <c r="AF4" s="224" t="n"/>
      <c r="AG4" s="1" t="n"/>
      <c r="AH4" s="1" t="n"/>
      <c r="AI4" s="6" t="inlineStr">
        <is>
          <t>BRANCH:</t>
        </is>
      </c>
      <c r="AJ4" s="223" t="inlineStr">
        <is>
          <t>CASA DENTAL AMK PTE LTD</t>
        </is>
      </c>
      <c r="AK4" s="224" t="n"/>
      <c r="AL4" s="1" t="n"/>
      <c r="AM4" s="1" t="n"/>
      <c r="AN4" s="6" t="inlineStr">
        <is>
          <t>BRANCH:</t>
        </is>
      </c>
      <c r="AO4" s="223">
        <f>AE4</f>
        <v/>
      </c>
      <c r="AP4" s="224" t="n"/>
      <c r="AQ4" s="1" t="n"/>
      <c r="AR4" s="1" t="n"/>
      <c r="AS4" s="6" t="inlineStr">
        <is>
          <t>BRANCH:</t>
        </is>
      </c>
      <c r="AT4" s="223">
        <f>AO4</f>
        <v/>
      </c>
      <c r="AU4" s="224" t="n"/>
      <c r="AV4" s="1" t="n"/>
      <c r="AW4" s="1" t="n"/>
      <c r="AX4" s="6" t="inlineStr">
        <is>
          <t>BRANCH:</t>
        </is>
      </c>
      <c r="AY4" s="223">
        <f>V4</f>
        <v/>
      </c>
      <c r="AZ4" s="224" t="n"/>
      <c r="BA4" s="1" t="n"/>
    </row>
    <row r="5" ht="34.5" customHeight="1" s="220">
      <c r="A5" s="225" t="inlineStr">
        <is>
          <t>ALL PROVIDERS SETTLEMENT</t>
        </is>
      </c>
      <c r="C5" s="226" t="n"/>
      <c r="D5" s="1" t="n"/>
      <c r="E5" s="227" t="inlineStr">
        <is>
          <t>DR CHAN KC</t>
        </is>
      </c>
      <c r="F5" s="228" t="n"/>
      <c r="G5" s="229" t="n"/>
      <c r="H5" s="1" t="n"/>
      <c r="I5" s="227" t="inlineStr">
        <is>
          <t>DR JASMINE LEE</t>
        </is>
      </c>
      <c r="J5" s="228" t="n"/>
      <c r="K5" s="229" t="n"/>
      <c r="L5" s="1" t="n"/>
      <c r="M5" s="227" t="inlineStr">
        <is>
          <t>DR ANDREW YIN</t>
        </is>
      </c>
      <c r="N5" s="228" t="n"/>
      <c r="O5" s="229" t="n"/>
      <c r="P5" s="1" t="n"/>
      <c r="Q5" s="227" t="inlineStr">
        <is>
          <t xml:space="preserve">DR KALIE </t>
        </is>
      </c>
      <c r="R5" s="228" t="n"/>
      <c r="S5" s="229" t="n"/>
      <c r="T5" s="1" t="n"/>
      <c r="U5" s="233" t="inlineStr">
        <is>
          <t>DR CHARLENE YAP</t>
        </is>
      </c>
      <c r="V5" s="228" t="n"/>
      <c r="W5" s="229" t="n"/>
      <c r="X5" s="1" t="n"/>
      <c r="Y5" s="227" t="inlineStr">
        <is>
          <t>DR JEAN CHONG</t>
        </is>
      </c>
      <c r="Z5" s="228" t="n"/>
      <c r="AA5" s="229" t="n"/>
      <c r="AB5" s="1" t="n"/>
      <c r="AC5" s="1" t="n"/>
      <c r="AD5" s="227" t="inlineStr">
        <is>
          <t>DR NG WAN TING</t>
        </is>
      </c>
      <c r="AE5" s="228" t="n"/>
      <c r="AF5" s="229" t="n"/>
      <c r="AG5" s="1" t="n"/>
      <c r="AH5" s="1" t="n"/>
      <c r="AI5" s="227" t="inlineStr">
        <is>
          <t>DR ANDREW YIN</t>
        </is>
      </c>
      <c r="AJ5" s="228" t="n"/>
      <c r="AK5" s="229" t="n"/>
      <c r="AL5" s="1" t="n"/>
      <c r="AM5" s="1" t="n"/>
      <c r="AN5" s="233" t="inlineStr">
        <is>
          <t>DR KAREN LEONG</t>
        </is>
      </c>
      <c r="AO5" s="228" t="n"/>
      <c r="AP5" s="229" t="n"/>
      <c r="AQ5" s="1" t="n"/>
      <c r="AR5" s="1" t="n"/>
      <c r="AS5" s="234" t="inlineStr">
        <is>
          <t>DR NICHOLAS LIEW</t>
        </is>
      </c>
      <c r="AT5" s="228" t="n"/>
      <c r="AU5" s="229" t="n"/>
      <c r="AV5" s="1" t="n"/>
      <c r="AW5" s="1" t="n"/>
      <c r="AX5" s="227" t="inlineStr">
        <is>
          <t>DR ROLAND FOO</t>
        </is>
      </c>
      <c r="AY5" s="228" t="n"/>
      <c r="AZ5" s="229" t="n"/>
      <c r="BA5" s="1" t="n"/>
    </row>
    <row r="6" ht="18.75" customHeight="1" s="220">
      <c r="A6" s="14" t="n"/>
      <c r="B6" s="15" t="n"/>
      <c r="C6" s="16" t="inlineStr">
        <is>
          <t>ADMIN CHARGES</t>
        </is>
      </c>
      <c r="D6" s="17" t="n"/>
      <c r="E6" s="18" t="n"/>
      <c r="F6" s="15" t="n"/>
      <c r="G6" s="16" t="inlineStr">
        <is>
          <t>ADMIN CHARGES</t>
        </is>
      </c>
      <c r="H6" s="17" t="n"/>
      <c r="I6" s="19" t="n"/>
      <c r="J6" s="15" t="inlineStr">
        <is>
          <t>TOTALS</t>
        </is>
      </c>
      <c r="K6" s="20" t="inlineStr">
        <is>
          <t>ADMIN CHARGES</t>
        </is>
      </c>
      <c r="L6" s="17" t="n"/>
      <c r="M6" s="21" t="n"/>
      <c r="N6" s="22" t="n"/>
      <c r="O6" s="16" t="inlineStr">
        <is>
          <t>ADMIN CHARGES</t>
        </is>
      </c>
      <c r="P6" s="1" t="n"/>
      <c r="Q6" s="23" t="n"/>
      <c r="R6" s="24" t="n"/>
      <c r="S6" s="25" t="inlineStr">
        <is>
          <t>ADMIN CHARGES</t>
        </is>
      </c>
      <c r="T6" s="1" t="n"/>
      <c r="U6" s="26" t="n"/>
      <c r="V6" s="164" t="n"/>
      <c r="W6" s="27" t="inlineStr">
        <is>
          <t>ADMIN CHARGES</t>
        </is>
      </c>
      <c r="X6" s="28" t="n"/>
      <c r="Y6" s="14" t="n"/>
      <c r="Z6" s="29" t="n"/>
      <c r="AA6" s="22" t="inlineStr">
        <is>
          <t>ADMIN CHARGES</t>
        </is>
      </c>
      <c r="AB6" s="1" t="n"/>
      <c r="AC6" s="1" t="n"/>
      <c r="AD6" s="26" t="n"/>
      <c r="AE6" s="27" t="n"/>
      <c r="AF6" s="27" t="inlineStr">
        <is>
          <t>ADMIN CHARGES</t>
        </is>
      </c>
      <c r="AG6" s="30" t="n"/>
      <c r="AH6" s="1" t="n"/>
      <c r="AI6" s="23" t="n"/>
      <c r="AJ6" s="25" t="n"/>
      <c r="AK6" s="25" t="inlineStr">
        <is>
          <t>ADMIN CHARGES</t>
        </is>
      </c>
      <c r="AL6" s="1" t="n"/>
      <c r="AM6" s="1" t="n"/>
      <c r="AN6" s="26" t="n"/>
      <c r="AO6" s="27" t="n"/>
      <c r="AP6" s="27" t="inlineStr">
        <is>
          <t>ADMIN CHARGES</t>
        </is>
      </c>
      <c r="AQ6" s="30" t="n"/>
      <c r="AR6" s="1" t="n"/>
      <c r="AS6" s="26" t="n"/>
      <c r="AT6" s="27" t="n"/>
      <c r="AU6" s="27" t="inlineStr">
        <is>
          <t>ADMIN CHARGES</t>
        </is>
      </c>
      <c r="AV6" s="30" t="n"/>
      <c r="AW6" s="1" t="n"/>
      <c r="AX6" s="26" t="n"/>
      <c r="AY6" s="27" t="n"/>
      <c r="AZ6" s="27" t="inlineStr">
        <is>
          <t>ADMIN CHARGES</t>
        </is>
      </c>
      <c r="BA6" s="30" t="n"/>
    </row>
    <row r="7" ht="27.75" customHeight="1" s="220">
      <c r="A7" s="31" t="inlineStr">
        <is>
          <t>AIA</t>
        </is>
      </c>
      <c r="B7" s="185" t="n"/>
      <c r="C7" s="33">
        <f>B7*0.05*1.09</f>
        <v/>
      </c>
      <c r="D7" s="34" t="n"/>
      <c r="E7" s="35" t="inlineStr">
        <is>
          <t>AIA</t>
        </is>
      </c>
      <c r="F7" s="36" t="n"/>
      <c r="G7" s="33">
        <f>F7*0.05*1.09</f>
        <v/>
      </c>
      <c r="H7" s="37" t="n"/>
      <c r="I7" s="35" t="inlineStr">
        <is>
          <t>AIA</t>
        </is>
      </c>
      <c r="J7" s="36" t="n"/>
      <c r="K7" s="33">
        <f>J7*0.05*1.09</f>
        <v/>
      </c>
      <c r="L7" s="37" t="n"/>
      <c r="M7" s="35" t="inlineStr">
        <is>
          <t>AIA</t>
        </is>
      </c>
      <c r="N7" s="174" t="n"/>
      <c r="O7" s="33">
        <f>N7*0.05*1.09</f>
        <v/>
      </c>
      <c r="P7" s="38" t="n"/>
      <c r="Q7" s="31" t="inlineStr">
        <is>
          <t>AIA</t>
        </is>
      </c>
      <c r="R7" s="39" t="n"/>
      <c r="S7" s="40">
        <f>R7*0.05*1.09</f>
        <v/>
      </c>
      <c r="T7" s="38" t="n"/>
      <c r="U7" s="41" t="inlineStr">
        <is>
          <t>AIA</t>
        </is>
      </c>
      <c r="V7" s="173" t="n"/>
      <c r="W7" s="43">
        <f>V7*0.05*1.09</f>
        <v/>
      </c>
      <c r="X7" s="44" t="n"/>
      <c r="Y7" s="31" t="inlineStr">
        <is>
          <t>AIA</t>
        </is>
      </c>
      <c r="Z7" s="173" t="n"/>
      <c r="AA7" s="45">
        <f>Z7*0.05*1.09</f>
        <v/>
      </c>
      <c r="AB7" s="46" t="n"/>
      <c r="AC7" s="46" t="n"/>
      <c r="AD7" s="41" t="inlineStr">
        <is>
          <t>AIA</t>
        </is>
      </c>
      <c r="AE7" s="47" t="n"/>
      <c r="AF7" s="43">
        <f>AE7*0.05*1.09</f>
        <v/>
      </c>
      <c r="AG7" s="48" t="n"/>
      <c r="AH7" s="46" t="n"/>
      <c r="AI7" s="31" t="inlineStr">
        <is>
          <t>AIA</t>
        </is>
      </c>
      <c r="AJ7" s="39" t="n"/>
      <c r="AK7" s="40">
        <f>AJ7*0.05*1.09</f>
        <v/>
      </c>
      <c r="AL7" s="46" t="n"/>
      <c r="AM7" s="46" t="n"/>
      <c r="AN7" s="41" t="inlineStr">
        <is>
          <t>AIA</t>
        </is>
      </c>
      <c r="AO7" s="173" t="n"/>
      <c r="AP7" s="43">
        <f>AO7*0.05*1.09</f>
        <v/>
      </c>
      <c r="AQ7" s="48" t="n"/>
      <c r="AR7" s="46" t="n"/>
      <c r="AS7" s="41" t="inlineStr">
        <is>
          <t>AIA</t>
        </is>
      </c>
      <c r="AT7" s="173" t="n"/>
      <c r="AU7" s="43">
        <f>AT7*0.05*1.09</f>
        <v/>
      </c>
      <c r="AV7" s="48" t="n"/>
      <c r="AW7" s="46" t="n"/>
      <c r="AX7" s="41" t="inlineStr">
        <is>
          <t>AIA</t>
        </is>
      </c>
      <c r="AY7" s="173" t="n"/>
      <c r="AZ7" s="43">
        <f>AY7*0.05*1.09</f>
        <v/>
      </c>
      <c r="BA7" s="48" t="n"/>
    </row>
    <row r="8" ht="27.75" customHeight="1" s="220">
      <c r="A8" s="31" t="inlineStr">
        <is>
          <t>ALLIANCE</t>
        </is>
      </c>
      <c r="B8" s="185" t="n"/>
      <c r="C8" s="33">
        <f>B8*0.05*1.09</f>
        <v/>
      </c>
      <c r="D8" s="34" t="n"/>
      <c r="E8" s="35" t="inlineStr">
        <is>
          <t>ALLIANCE</t>
        </is>
      </c>
      <c r="F8" s="36" t="n"/>
      <c r="G8" s="33">
        <f>F8*0.05*1.09</f>
        <v/>
      </c>
      <c r="H8" s="37" t="n"/>
      <c r="I8" s="35" t="inlineStr">
        <is>
          <t>ALLIANCE</t>
        </is>
      </c>
      <c r="J8" s="36" t="n"/>
      <c r="K8" s="33">
        <f>J8*0.05*1.09</f>
        <v/>
      </c>
      <c r="L8" s="37" t="n"/>
      <c r="M8" s="35" t="inlineStr">
        <is>
          <t>ALLIANCE</t>
        </is>
      </c>
      <c r="N8" s="174" t="n"/>
      <c r="O8" s="33">
        <f>N8*0.05*1.09</f>
        <v/>
      </c>
      <c r="P8" s="38" t="n"/>
      <c r="Q8" s="31" t="n"/>
      <c r="R8" s="39" t="n"/>
      <c r="S8" s="40" t="n"/>
      <c r="T8" s="38" t="n"/>
      <c r="U8" s="41" t="inlineStr">
        <is>
          <t>ALLIANCE</t>
        </is>
      </c>
      <c r="V8" s="173" t="n"/>
      <c r="W8" s="43">
        <f>V8*0.05*1.09</f>
        <v/>
      </c>
      <c r="X8" s="44" t="n"/>
      <c r="Y8" s="31" t="inlineStr">
        <is>
          <t>ALLIANCE</t>
        </is>
      </c>
      <c r="Z8" s="173" t="n"/>
      <c r="AA8" s="45">
        <f>Z8*0.05*1.09</f>
        <v/>
      </c>
      <c r="AB8" s="46" t="n"/>
      <c r="AC8" s="46" t="n"/>
      <c r="AD8" s="41" t="inlineStr">
        <is>
          <t>ALLIANCE</t>
        </is>
      </c>
      <c r="AE8" s="173" t="n"/>
      <c r="AF8" s="43">
        <f>AE8*0.05*1.09</f>
        <v/>
      </c>
      <c r="AG8" s="48" t="n"/>
      <c r="AH8" s="46" t="n"/>
      <c r="AI8" s="31" t="n"/>
      <c r="AJ8" s="39" t="n"/>
      <c r="AK8" s="40" t="n"/>
      <c r="AL8" s="46" t="n"/>
      <c r="AM8" s="46" t="n"/>
      <c r="AN8" s="41" t="inlineStr">
        <is>
          <t>ALLIANCE</t>
        </is>
      </c>
      <c r="AO8" s="173" t="n"/>
      <c r="AP8" s="43">
        <f>AO8*0.05*1.09</f>
        <v/>
      </c>
      <c r="AQ8" s="48" t="n"/>
      <c r="AR8" s="46" t="n"/>
      <c r="AS8" s="41" t="inlineStr">
        <is>
          <t>ALLIANCE</t>
        </is>
      </c>
      <c r="AT8" s="173" t="n"/>
      <c r="AU8" s="43">
        <f>AT8*0.05*1.09</f>
        <v/>
      </c>
      <c r="AV8" s="48" t="n"/>
      <c r="AW8" s="46" t="n"/>
      <c r="AX8" s="41" t="inlineStr">
        <is>
          <t>ALLIANCE</t>
        </is>
      </c>
      <c r="AY8" s="173" t="n"/>
      <c r="AZ8" s="43">
        <f>AY8*0.05*1.09</f>
        <v/>
      </c>
      <c r="BA8" s="48" t="n"/>
    </row>
    <row r="9" ht="27.75" customHeight="1" s="220">
      <c r="A9" s="31" t="inlineStr">
        <is>
          <t>AMEX</t>
        </is>
      </c>
      <c r="B9" s="185" t="n"/>
      <c r="C9" s="33">
        <f>B9*0.0195</f>
        <v/>
      </c>
      <c r="D9" s="34" t="n"/>
      <c r="E9" s="35" t="inlineStr">
        <is>
          <t>AMEX</t>
        </is>
      </c>
      <c r="F9" s="36" t="n"/>
      <c r="G9" s="33">
        <f>F9*0.0195</f>
        <v/>
      </c>
      <c r="H9" s="34" t="n"/>
      <c r="I9" s="35" t="inlineStr">
        <is>
          <t>AMEX</t>
        </is>
      </c>
      <c r="J9" s="36" t="n"/>
      <c r="K9" s="33">
        <f>J9*0.0195</f>
        <v/>
      </c>
      <c r="L9" s="34" t="n"/>
      <c r="M9" s="35" t="inlineStr">
        <is>
          <t>AMEX</t>
        </is>
      </c>
      <c r="N9" s="174" t="n"/>
      <c r="O9" s="33">
        <f>N9*0.0195</f>
        <v/>
      </c>
      <c r="P9" s="46" t="n"/>
      <c r="Q9" s="31" t="inlineStr">
        <is>
          <t>AMEX</t>
        </is>
      </c>
      <c r="R9" s="39" t="n"/>
      <c r="S9" s="40">
        <f>R9*0.0195</f>
        <v/>
      </c>
      <c r="T9" s="46" t="n"/>
      <c r="U9" s="41" t="inlineStr">
        <is>
          <t>AMEX</t>
        </is>
      </c>
      <c r="V9" s="173" t="n"/>
      <c r="W9" s="43">
        <f>V9*0.0195</f>
        <v/>
      </c>
      <c r="X9" s="49" t="n"/>
      <c r="Y9" s="31" t="inlineStr">
        <is>
          <t>AMEX</t>
        </is>
      </c>
      <c r="Z9" s="36" t="n"/>
      <c r="AA9" s="45">
        <f>Z9*0.0195</f>
        <v/>
      </c>
      <c r="AB9" s="46" t="n"/>
      <c r="AC9" s="46" t="n"/>
      <c r="AD9" s="41" t="inlineStr">
        <is>
          <t>AMEX</t>
        </is>
      </c>
      <c r="AE9" s="173" t="n"/>
      <c r="AF9" s="43">
        <f>AE9*0.0195</f>
        <v/>
      </c>
      <c r="AG9" s="48" t="n"/>
      <c r="AH9" s="46" t="n"/>
      <c r="AI9" s="31" t="inlineStr">
        <is>
          <t>AMEX</t>
        </is>
      </c>
      <c r="AJ9" s="39" t="n"/>
      <c r="AK9" s="40">
        <f>AJ9*0.0195</f>
        <v/>
      </c>
      <c r="AL9" s="46" t="n"/>
      <c r="AM9" s="46" t="n"/>
      <c r="AN9" s="41" t="inlineStr">
        <is>
          <t>AMEX</t>
        </is>
      </c>
      <c r="AO9" s="173" t="n"/>
      <c r="AP9" s="43">
        <f>AO9*0.0195</f>
        <v/>
      </c>
      <c r="AQ9" s="48" t="n"/>
      <c r="AR9" s="46" t="n"/>
      <c r="AS9" s="41" t="inlineStr">
        <is>
          <t>AMEX</t>
        </is>
      </c>
      <c r="AT9" s="173" t="n"/>
      <c r="AU9" s="43">
        <f>AT9*0.0195</f>
        <v/>
      </c>
      <c r="AV9" s="48" t="n"/>
      <c r="AW9" s="46" t="n"/>
      <c r="AX9" s="41" t="inlineStr">
        <is>
          <t>AMEX</t>
        </is>
      </c>
      <c r="AY9" s="173" t="n"/>
      <c r="AZ9" s="43">
        <f>AY9*0.0195</f>
        <v/>
      </c>
      <c r="BA9" s="48" t="n"/>
    </row>
    <row r="10" ht="27.75" customHeight="1" s="220">
      <c r="A10" s="31" t="inlineStr">
        <is>
          <t>BABYBONUS</t>
        </is>
      </c>
      <c r="B10" s="172" t="n"/>
      <c r="C10" s="33">
        <f>B10*0.008</f>
        <v/>
      </c>
      <c r="D10" s="34" t="n"/>
      <c r="E10" s="35" t="inlineStr">
        <is>
          <t>BABYBONUS</t>
        </is>
      </c>
      <c r="F10" s="50" t="n"/>
      <c r="G10" s="33">
        <f>F10*0.008</f>
        <v/>
      </c>
      <c r="H10" s="34" t="n"/>
      <c r="I10" s="35" t="inlineStr">
        <is>
          <t>BABYBONUS</t>
        </is>
      </c>
      <c r="J10" s="50" t="n"/>
      <c r="K10" s="33">
        <f>J10*0.008</f>
        <v/>
      </c>
      <c r="L10" s="34" t="n"/>
      <c r="M10" s="35" t="inlineStr">
        <is>
          <t>BABYBONUS</t>
        </is>
      </c>
      <c r="N10" s="36" t="n"/>
      <c r="O10" s="33">
        <f>N10*0.008</f>
        <v/>
      </c>
      <c r="P10" s="46" t="n"/>
      <c r="Q10" s="31" t="n"/>
      <c r="R10" s="39" t="n"/>
      <c r="S10" s="40" t="n"/>
      <c r="T10" s="46" t="n"/>
      <c r="U10" s="41" t="inlineStr">
        <is>
          <t>BABYBONUS</t>
        </is>
      </c>
      <c r="V10" s="51" t="n"/>
      <c r="W10" s="33">
        <f>V10*0.008</f>
        <v/>
      </c>
      <c r="X10" s="49" t="n"/>
      <c r="Y10" s="31" t="inlineStr">
        <is>
          <t>BABYBONUS</t>
        </is>
      </c>
      <c r="Z10" s="36" t="n"/>
      <c r="AA10" s="45">
        <f>Z10*0.008</f>
        <v/>
      </c>
      <c r="AB10" s="46" t="n"/>
      <c r="AC10" s="46" t="n"/>
      <c r="AD10" s="41" t="inlineStr">
        <is>
          <t>BABYBONUS</t>
        </is>
      </c>
      <c r="AE10" s="47" t="n"/>
      <c r="AF10" s="43">
        <f>AE10*0.008</f>
        <v/>
      </c>
      <c r="AG10" s="48" t="n"/>
      <c r="AH10" s="46" t="n"/>
      <c r="AI10" s="31" t="n"/>
      <c r="AJ10" s="39" t="n"/>
      <c r="AK10" s="40" t="n"/>
      <c r="AL10" s="46" t="n"/>
      <c r="AM10" s="46" t="n"/>
      <c r="AN10" s="41" t="inlineStr">
        <is>
          <t>BABYBONUS</t>
        </is>
      </c>
      <c r="AO10" s="36" t="n"/>
      <c r="AP10" s="43">
        <f>AO10*0.008</f>
        <v/>
      </c>
      <c r="AQ10" s="48" t="n"/>
      <c r="AR10" s="46" t="n"/>
      <c r="AS10" s="41" t="inlineStr">
        <is>
          <t>BABYBONUS</t>
        </is>
      </c>
      <c r="AT10" s="36" t="n"/>
      <c r="AU10" s="43">
        <f>AT10*0.008</f>
        <v/>
      </c>
      <c r="AV10" s="48" t="n"/>
      <c r="AW10" s="46" t="n"/>
      <c r="AX10" s="41" t="inlineStr">
        <is>
          <t>BABYBONUS</t>
        </is>
      </c>
      <c r="AY10" s="36" t="n"/>
      <c r="AZ10" s="43">
        <f>AY10*0.008</f>
        <v/>
      </c>
      <c r="BA10" s="48" t="n"/>
    </row>
    <row r="11" ht="27.75" customHeight="1" s="220">
      <c r="A11" s="31" t="inlineStr">
        <is>
          <t>CASH</t>
        </is>
      </c>
      <c r="B11" s="185" t="n"/>
      <c r="C11" s="33" t="n"/>
      <c r="D11" s="34" t="n"/>
      <c r="E11" s="35" t="inlineStr">
        <is>
          <t>CASH</t>
        </is>
      </c>
      <c r="F11" s="36" t="n"/>
      <c r="G11" s="33" t="n"/>
      <c r="H11" s="34" t="n"/>
      <c r="I11" s="35" t="inlineStr">
        <is>
          <t>CASH</t>
        </is>
      </c>
      <c r="J11" s="173" t="n"/>
      <c r="K11" s="33" t="n"/>
      <c r="L11" s="34" t="n"/>
      <c r="M11" s="35" t="inlineStr">
        <is>
          <t>CASH</t>
        </is>
      </c>
      <c r="N11" s="186" t="n"/>
      <c r="O11" s="33" t="n"/>
      <c r="P11" s="46" t="n"/>
      <c r="Q11" s="31" t="inlineStr">
        <is>
          <t>ALLIANCE</t>
        </is>
      </c>
      <c r="R11" s="39" t="n"/>
      <c r="S11" s="40">
        <f>R11*0.05*1.09</f>
        <v/>
      </c>
      <c r="T11" s="46" t="n"/>
      <c r="U11" s="41" t="inlineStr">
        <is>
          <t>CASH</t>
        </is>
      </c>
      <c r="V11" s="173" t="n"/>
      <c r="W11" s="33" t="n"/>
      <c r="X11" s="49" t="n"/>
      <c r="Y11" s="31" t="inlineStr">
        <is>
          <t>CASH</t>
        </is>
      </c>
      <c r="Z11" s="173" t="n"/>
      <c r="AA11" s="45" t="n"/>
      <c r="AB11" s="46" t="n"/>
      <c r="AC11" s="46" t="n"/>
      <c r="AD11" s="41" t="inlineStr">
        <is>
          <t>CASH</t>
        </is>
      </c>
      <c r="AE11" s="173" t="n"/>
      <c r="AF11" s="43" t="n"/>
      <c r="AG11" s="48" t="n"/>
      <c r="AH11" s="46" t="n"/>
      <c r="AI11" s="31" t="inlineStr">
        <is>
          <t>ALLIANCE</t>
        </is>
      </c>
      <c r="AJ11" s="39" t="n"/>
      <c r="AK11" s="40">
        <f>AJ11*0.05*1.09</f>
        <v/>
      </c>
      <c r="AL11" s="46" t="n"/>
      <c r="AM11" s="46" t="n"/>
      <c r="AN11" s="41" t="inlineStr">
        <is>
          <t>CASH</t>
        </is>
      </c>
      <c r="AO11" s="173" t="n"/>
      <c r="AP11" s="43" t="n"/>
      <c r="AQ11" s="48" t="n"/>
      <c r="AR11" s="46" t="n"/>
      <c r="AS11" s="41" t="inlineStr">
        <is>
          <t>CASH</t>
        </is>
      </c>
      <c r="AT11" s="173" t="n"/>
      <c r="AU11" s="43" t="n"/>
      <c r="AV11" s="48" t="n"/>
      <c r="AW11" s="46" t="n"/>
      <c r="AX11" s="41" t="inlineStr">
        <is>
          <t>CASH</t>
        </is>
      </c>
      <c r="AY11" s="173" t="n"/>
      <c r="AZ11" s="43" t="n"/>
      <c r="BA11" s="48" t="n"/>
    </row>
    <row r="12" ht="27.75" customHeight="1" s="220">
      <c r="A12" s="31" t="inlineStr">
        <is>
          <t>CASA VOUCHER</t>
        </is>
      </c>
      <c r="B12" s="32" t="n"/>
      <c r="C12" s="33" t="n"/>
      <c r="D12" s="34" t="n"/>
      <c r="E12" s="35" t="inlineStr">
        <is>
          <t>CASA VOUCHER</t>
        </is>
      </c>
      <c r="F12" s="36" t="n"/>
      <c r="G12" s="33" t="n"/>
      <c r="H12" s="34" t="n"/>
      <c r="I12" s="35" t="inlineStr">
        <is>
          <t>CASA VOUCHER</t>
        </is>
      </c>
      <c r="J12" s="36" t="n"/>
      <c r="K12" s="33" t="n"/>
      <c r="L12" s="34" t="n"/>
      <c r="M12" s="41" t="inlineStr">
        <is>
          <t>CASA VOUCHER</t>
        </is>
      </c>
      <c r="N12" s="36" t="n"/>
      <c r="O12" s="33" t="n"/>
      <c r="P12" s="46" t="n"/>
      <c r="Q12" s="31" t="inlineStr">
        <is>
          <t>CASH</t>
        </is>
      </c>
      <c r="R12" s="39" t="n"/>
      <c r="S12" s="40" t="n"/>
      <c r="T12" s="46" t="n"/>
      <c r="U12" s="35" t="inlineStr">
        <is>
          <t>CASA VOUCHER</t>
        </is>
      </c>
      <c r="V12" s="51" t="n"/>
      <c r="W12" s="33" t="n"/>
      <c r="X12" s="49" t="n"/>
      <c r="Y12" s="31" t="inlineStr">
        <is>
          <t>CASA VOUCHER</t>
        </is>
      </c>
      <c r="Z12" s="36" t="n"/>
      <c r="AA12" s="45" t="n"/>
      <c r="AB12" s="46" t="n"/>
      <c r="AC12" s="46" t="n"/>
      <c r="AD12" s="35" t="inlineStr">
        <is>
          <t>CASA VOUCHER</t>
        </is>
      </c>
      <c r="AE12" s="47" t="n"/>
      <c r="AF12" s="43" t="n"/>
      <c r="AG12" s="48" t="n"/>
      <c r="AH12" s="46" t="n"/>
      <c r="AI12" s="31" t="inlineStr">
        <is>
          <t>CASH</t>
        </is>
      </c>
      <c r="AJ12" s="39" t="n"/>
      <c r="AK12" s="40" t="n"/>
      <c r="AL12" s="46" t="n"/>
      <c r="AM12" s="46" t="n"/>
      <c r="AN12" s="41" t="inlineStr">
        <is>
          <t>CASA VOUCHER</t>
        </is>
      </c>
      <c r="AO12" s="36" t="n"/>
      <c r="AP12" s="43" t="n"/>
      <c r="AQ12" s="48" t="n"/>
      <c r="AR12" s="46" t="n"/>
      <c r="AS12" s="41" t="inlineStr">
        <is>
          <t>CASA VOUCHER</t>
        </is>
      </c>
      <c r="AT12" s="36" t="n"/>
      <c r="AU12" s="43" t="n"/>
      <c r="AV12" s="48" t="n"/>
      <c r="AW12" s="46" t="n"/>
      <c r="AX12" s="41" t="inlineStr">
        <is>
          <t>CASA VOUCHER</t>
        </is>
      </c>
      <c r="AY12" s="36" t="n"/>
      <c r="AZ12" s="43" t="n"/>
      <c r="BA12" s="48" t="n"/>
    </row>
    <row r="13" ht="27.75" customHeight="1" s="220">
      <c r="A13" s="52" t="inlineStr">
        <is>
          <t>CDC VOUCHER</t>
        </is>
      </c>
      <c r="B13" s="185" t="n"/>
      <c r="C13" s="54" t="n"/>
      <c r="D13" s="34" t="n"/>
      <c r="E13" s="35" t="inlineStr">
        <is>
          <t>CDC VOUCHER</t>
        </is>
      </c>
      <c r="F13" s="36" t="n"/>
      <c r="G13" s="33" t="n"/>
      <c r="H13" s="34" t="n"/>
      <c r="I13" s="35" t="inlineStr">
        <is>
          <t>CDC VOUCHER</t>
        </is>
      </c>
      <c r="J13" s="36" t="n"/>
      <c r="K13" s="33" t="n"/>
      <c r="L13" s="34" t="n"/>
      <c r="M13" s="41" t="inlineStr">
        <is>
          <t>CDC VOUCHER</t>
        </is>
      </c>
      <c r="N13" s="173" t="n"/>
      <c r="O13" s="33" t="n"/>
      <c r="P13" s="46" t="n"/>
      <c r="Q13" s="31" t="inlineStr">
        <is>
          <t>CASA VOUCHER</t>
        </is>
      </c>
      <c r="R13" s="39" t="n"/>
      <c r="S13" s="40" t="n"/>
      <c r="T13" s="46" t="n"/>
      <c r="U13" s="35" t="inlineStr">
        <is>
          <t>CDC VOUCHER</t>
        </is>
      </c>
      <c r="V13" s="174" t="n"/>
      <c r="W13" s="33" t="n"/>
      <c r="X13" s="49" t="n"/>
      <c r="Y13" s="52" t="inlineStr">
        <is>
          <t>CDC VOUCHER</t>
        </is>
      </c>
      <c r="Z13" s="55" t="n"/>
      <c r="AA13" s="56" t="n"/>
      <c r="AB13" s="46" t="n"/>
      <c r="AC13" s="46" t="n"/>
      <c r="AD13" s="57" t="inlineStr">
        <is>
          <t>CDC VOUCHER</t>
        </is>
      </c>
      <c r="AE13" s="173" t="n"/>
      <c r="AF13" s="59" t="n"/>
      <c r="AG13" s="48" t="n"/>
      <c r="AH13" s="46" t="n"/>
      <c r="AI13" s="31" t="inlineStr">
        <is>
          <t>CASA VOUCHER</t>
        </is>
      </c>
      <c r="AJ13" s="39" t="n"/>
      <c r="AK13" s="40" t="n"/>
      <c r="AL13" s="46" t="n"/>
      <c r="AM13" s="46" t="n"/>
      <c r="AN13" s="187" t="inlineStr">
        <is>
          <t>CDC VOUCHER</t>
        </is>
      </c>
      <c r="AO13" s="173" t="n"/>
      <c r="AP13" s="59" t="n"/>
      <c r="AQ13" s="48" t="n"/>
      <c r="AR13" s="46" t="n"/>
      <c r="AS13" s="57" t="inlineStr">
        <is>
          <t>CDC VOUCHER</t>
        </is>
      </c>
      <c r="AT13" s="175" t="n"/>
      <c r="AU13" s="59" t="n"/>
      <c r="AV13" s="48" t="n"/>
      <c r="AW13" s="46" t="n"/>
      <c r="AX13" s="187" t="inlineStr">
        <is>
          <t>CDC VOUCHER</t>
        </is>
      </c>
      <c r="AY13" s="173" t="n"/>
      <c r="AZ13" s="59" t="n"/>
      <c r="BA13" s="48" t="n"/>
    </row>
    <row r="14" ht="27.75" customHeight="1" s="220">
      <c r="A14" s="31" t="inlineStr">
        <is>
          <t>CHAS</t>
        </is>
      </c>
      <c r="B14" s="185" t="n"/>
      <c r="C14" s="33" t="n"/>
      <c r="D14" s="34" t="n"/>
      <c r="E14" s="35" t="inlineStr">
        <is>
          <t>CHAS</t>
        </is>
      </c>
      <c r="F14" s="36" t="n"/>
      <c r="G14" s="33" t="n"/>
      <c r="H14" s="34" t="n"/>
      <c r="I14" s="35" t="inlineStr">
        <is>
          <t>CHAS</t>
        </is>
      </c>
      <c r="J14" s="36" t="n"/>
      <c r="K14" s="33" t="n"/>
      <c r="L14" s="34" t="n"/>
      <c r="M14" s="41" t="inlineStr">
        <is>
          <t>CHAS</t>
        </is>
      </c>
      <c r="N14" s="173" t="n"/>
      <c r="O14" s="33" t="n"/>
      <c r="P14" s="46" t="n"/>
      <c r="Q14" s="31" t="n"/>
      <c r="R14" s="39" t="n"/>
      <c r="S14" s="40" t="n"/>
      <c r="T14" s="46" t="n"/>
      <c r="U14" s="35" t="inlineStr">
        <is>
          <t>CHAS</t>
        </is>
      </c>
      <c r="V14" s="174" t="n"/>
      <c r="W14" s="33" t="n"/>
      <c r="X14" s="49" t="n"/>
      <c r="Y14" s="31" t="inlineStr">
        <is>
          <t>CHAS</t>
        </is>
      </c>
      <c r="Z14" s="173" t="n"/>
      <c r="AA14" s="45" t="n"/>
      <c r="AB14" s="46" t="n"/>
      <c r="AC14" s="46" t="n"/>
      <c r="AD14" s="35" t="inlineStr">
        <is>
          <t>CHAS</t>
        </is>
      </c>
      <c r="AE14" s="173" t="n"/>
      <c r="AF14" s="43" t="n"/>
      <c r="AG14" s="48" t="n"/>
      <c r="AH14" s="46" t="n"/>
      <c r="AI14" s="31" t="n"/>
      <c r="AJ14" s="39" t="n"/>
      <c r="AK14" s="40" t="n"/>
      <c r="AL14" s="46" t="n"/>
      <c r="AM14" s="46" t="n"/>
      <c r="AN14" s="41" t="inlineStr">
        <is>
          <t>CHAS</t>
        </is>
      </c>
      <c r="AO14" s="173" t="n"/>
      <c r="AP14" s="43" t="n"/>
      <c r="AQ14" s="48" t="n"/>
      <c r="AR14" s="46" t="n"/>
      <c r="AS14" s="35" t="inlineStr">
        <is>
          <t>CHAS</t>
        </is>
      </c>
      <c r="AT14" s="174" t="n"/>
      <c r="AU14" s="43" t="n"/>
      <c r="AV14" s="48" t="n"/>
      <c r="AW14" s="46" t="n"/>
      <c r="AX14" s="41" t="inlineStr">
        <is>
          <t>CHAS</t>
        </is>
      </c>
      <c r="AY14" s="173" t="n"/>
      <c r="AZ14" s="43" t="n"/>
      <c r="BA14" s="48" t="n"/>
    </row>
    <row r="15" ht="27.75" customHeight="1" s="220">
      <c r="A15" s="31" t="inlineStr">
        <is>
          <t>CYNERGY</t>
        </is>
      </c>
      <c r="B15" s="173" t="n"/>
      <c r="C15" s="33" t="n"/>
      <c r="D15" s="34" t="n"/>
      <c r="E15" s="35" t="inlineStr">
        <is>
          <t>CYNERGY</t>
        </is>
      </c>
      <c r="F15" s="36" t="n"/>
      <c r="G15" s="33" t="n"/>
      <c r="H15" s="34" t="n"/>
      <c r="I15" s="35" t="inlineStr">
        <is>
          <t>CYNERGY</t>
        </is>
      </c>
      <c r="J15" s="36" t="n"/>
      <c r="K15" s="33" t="n"/>
      <c r="L15" s="34" t="n"/>
      <c r="M15" s="41" t="inlineStr">
        <is>
          <t>CYNERGY</t>
        </is>
      </c>
      <c r="N15" s="173" t="n"/>
      <c r="O15" s="33" t="n"/>
      <c r="P15" s="46" t="n"/>
      <c r="Q15" s="31" t="n"/>
      <c r="R15" s="39" t="n"/>
      <c r="S15" s="40" t="n"/>
      <c r="T15" s="46" t="n"/>
      <c r="U15" s="35" t="inlineStr">
        <is>
          <t>CYNERGY</t>
        </is>
      </c>
      <c r="V15" s="174" t="n"/>
      <c r="W15" s="33" t="n"/>
      <c r="X15" s="49" t="n"/>
      <c r="Y15" s="31" t="inlineStr">
        <is>
          <t>CYNERGY</t>
        </is>
      </c>
      <c r="Z15" s="36" t="n"/>
      <c r="AA15" s="45" t="n"/>
      <c r="AB15" s="46" t="n"/>
      <c r="AC15" s="46" t="n"/>
      <c r="AD15" s="35" t="inlineStr">
        <is>
          <t>CYNERGY</t>
        </is>
      </c>
      <c r="AE15" s="173" t="n"/>
      <c r="AF15" s="43" t="n"/>
      <c r="AG15" s="48" t="n"/>
      <c r="AH15" s="46" t="n"/>
      <c r="AI15" s="31" t="n"/>
      <c r="AJ15" s="39" t="n"/>
      <c r="AK15" s="40" t="n"/>
      <c r="AL15" s="46" t="n"/>
      <c r="AM15" s="46" t="n"/>
      <c r="AN15" s="41" t="inlineStr">
        <is>
          <t>CYNERGY</t>
        </is>
      </c>
      <c r="AO15" s="173" t="n"/>
      <c r="AP15" s="43" t="n"/>
      <c r="AQ15" s="48" t="n"/>
      <c r="AR15" s="46" t="n"/>
      <c r="AS15" s="35" t="inlineStr">
        <is>
          <t>CYNERGY</t>
        </is>
      </c>
      <c r="AT15" s="173" t="n"/>
      <c r="AU15" s="43" t="n"/>
      <c r="AV15" s="48" t="n"/>
      <c r="AW15" s="46" t="n"/>
      <c r="AX15" s="41" t="inlineStr">
        <is>
          <t>CYNERGY</t>
        </is>
      </c>
      <c r="AY15" s="173" t="n"/>
      <c r="AZ15" s="43" t="n"/>
      <c r="BA15" s="48" t="n"/>
    </row>
    <row r="16" ht="27.75" customHeight="1" s="220">
      <c r="A16" s="35" t="inlineStr">
        <is>
          <t>DA ADEPT HEALTH</t>
        </is>
      </c>
      <c r="B16" s="50" t="n"/>
      <c r="C16" s="33">
        <f>B16*8%</f>
        <v/>
      </c>
      <c r="D16" s="34" t="n"/>
      <c r="E16" s="35" t="inlineStr">
        <is>
          <t>DA ADEPT HEALTH</t>
        </is>
      </c>
      <c r="F16" s="36" t="n"/>
      <c r="G16" s="33">
        <f>F16*8%</f>
        <v/>
      </c>
      <c r="H16" s="34" t="n"/>
      <c r="I16" s="35" t="inlineStr">
        <is>
          <t>DA ADEPT HEALTH</t>
        </is>
      </c>
      <c r="J16" s="36" t="n"/>
      <c r="K16" s="33">
        <f>J16*8%</f>
        <v/>
      </c>
      <c r="L16" s="34" t="n"/>
      <c r="M16" s="41" t="inlineStr">
        <is>
          <t>DA ADEPT HEALTH</t>
        </is>
      </c>
      <c r="N16" s="36" t="n"/>
      <c r="O16" s="33">
        <f>N16*8%</f>
        <v/>
      </c>
      <c r="P16" s="46" t="n"/>
      <c r="Q16" s="31" t="n"/>
      <c r="R16" s="39" t="n"/>
      <c r="S16" s="40" t="n"/>
      <c r="T16" s="46" t="n"/>
      <c r="U16" s="35" t="inlineStr">
        <is>
          <t>DA ADEPT HEALTH</t>
        </is>
      </c>
      <c r="V16" s="51" t="n"/>
      <c r="W16" s="33">
        <f>V16*8%</f>
        <v/>
      </c>
      <c r="X16" s="49" t="n"/>
      <c r="Y16" s="52" t="inlineStr">
        <is>
          <t>DA ADEPT HEALTH</t>
        </is>
      </c>
      <c r="Z16" s="55" t="n"/>
      <c r="AA16" s="56">
        <f>Z16*8%</f>
        <v/>
      </c>
      <c r="AB16" s="46" t="n"/>
      <c r="AC16" s="46" t="n"/>
      <c r="AD16" s="57" t="inlineStr">
        <is>
          <t>DA ADEPT HEALTH</t>
        </is>
      </c>
      <c r="AE16" s="58" t="n"/>
      <c r="AF16" s="59">
        <f>AE16*8%</f>
        <v/>
      </c>
      <c r="AG16" s="48" t="n"/>
      <c r="AH16" s="46" t="n"/>
      <c r="AI16" s="31" t="n"/>
      <c r="AJ16" s="39" t="n"/>
      <c r="AK16" s="40" t="n"/>
      <c r="AL16" s="46" t="n"/>
      <c r="AM16" s="46" t="n"/>
      <c r="AN16" s="57" t="inlineStr">
        <is>
          <t>DA ADEPT HEALTH</t>
        </is>
      </c>
      <c r="AO16" s="58" t="n"/>
      <c r="AP16" s="59">
        <f>AO16*8%</f>
        <v/>
      </c>
      <c r="AQ16" s="48" t="n"/>
      <c r="AR16" s="46" t="n"/>
      <c r="AS16" s="57" t="inlineStr">
        <is>
          <t>DA ADEPT HEALTH</t>
        </is>
      </c>
      <c r="AT16" s="58" t="n"/>
      <c r="AU16" s="59">
        <f>AT16*8%</f>
        <v/>
      </c>
      <c r="AV16" s="48" t="n"/>
      <c r="AW16" s="46" t="n"/>
      <c r="AX16" s="57" t="inlineStr">
        <is>
          <t>DA ADEPT HEALTH</t>
        </is>
      </c>
      <c r="AY16" s="58" t="n"/>
      <c r="AZ16" s="59">
        <f>AY16*8%</f>
        <v/>
      </c>
      <c r="BA16" s="48" t="n"/>
    </row>
    <row r="17" ht="27.75" customHeight="1" s="220">
      <c r="A17" s="60" t="inlineStr">
        <is>
          <t>DEPOSIT</t>
        </is>
      </c>
      <c r="B17" s="185" t="n"/>
      <c r="C17" s="33">
        <f>G17+K17+O17+O17+S17+W17+AA17+AF17+AP17+AU17+AZ17</f>
        <v/>
      </c>
      <c r="D17" s="34" t="n"/>
      <c r="E17" s="61" t="inlineStr">
        <is>
          <t>DEPOSIT</t>
        </is>
      </c>
      <c r="F17" s="36" t="n"/>
      <c r="G17" s="33" t="n"/>
      <c r="H17" s="34" t="n"/>
      <c r="I17" s="61" t="inlineStr">
        <is>
          <t>DEPOSIT</t>
        </is>
      </c>
      <c r="J17" s="36" t="n"/>
      <c r="K17" s="33" t="n"/>
      <c r="L17" s="34" t="n"/>
      <c r="M17" s="176" t="inlineStr">
        <is>
          <t>DEPOSIT</t>
        </is>
      </c>
      <c r="N17" s="173" t="n"/>
      <c r="O17" s="33" t="n"/>
      <c r="P17" s="46" t="n"/>
      <c r="Q17" s="31" t="inlineStr">
        <is>
          <t>DEPOSIT</t>
        </is>
      </c>
      <c r="R17" s="39" t="n"/>
      <c r="S17" s="40" t="n">
        <v>0</v>
      </c>
      <c r="T17" s="46" t="n"/>
      <c r="U17" s="61" t="inlineStr">
        <is>
          <t>DEPOSIT</t>
        </is>
      </c>
      <c r="V17" s="51" t="n"/>
      <c r="W17" s="33" t="n"/>
      <c r="X17" s="49" t="n"/>
      <c r="Y17" s="60" t="inlineStr">
        <is>
          <t>DEPOSIT</t>
        </is>
      </c>
      <c r="Z17" s="36" t="n"/>
      <c r="AA17" s="45" t="n"/>
      <c r="AB17" s="46" t="n"/>
      <c r="AC17" s="46" t="n"/>
      <c r="AD17" s="61" t="inlineStr">
        <is>
          <t>DEPOSIT</t>
        </is>
      </c>
      <c r="AE17" s="47" t="n"/>
      <c r="AF17" s="43" t="n"/>
      <c r="AG17" s="48" t="n"/>
      <c r="AH17" s="46" t="n"/>
      <c r="AI17" s="60" t="inlineStr">
        <is>
          <t>DEPOSIT</t>
        </is>
      </c>
      <c r="AJ17" s="39" t="n"/>
      <c r="AK17" s="40" t="n"/>
      <c r="AL17" s="46" t="n"/>
      <c r="AM17" s="46" t="n"/>
      <c r="AN17" s="61" t="inlineStr">
        <is>
          <t>DEPOSIT</t>
        </is>
      </c>
      <c r="AO17" s="174" t="n"/>
      <c r="AP17" s="43" t="n"/>
      <c r="AQ17" s="48" t="n"/>
      <c r="AR17" s="46" t="n"/>
      <c r="AS17" s="61" t="inlineStr">
        <is>
          <t>DEPOSIT</t>
        </is>
      </c>
      <c r="AT17" s="47" t="n"/>
      <c r="AU17" s="43" t="n"/>
      <c r="AV17" s="48" t="n"/>
      <c r="AW17" s="46" t="n"/>
      <c r="AX17" s="61" t="inlineStr">
        <is>
          <t>DEPOSIT</t>
        </is>
      </c>
      <c r="AY17" s="47" t="n"/>
      <c r="AZ17" s="43" t="n"/>
      <c r="BA17" s="48" t="n"/>
    </row>
    <row r="18" ht="27.75" customHeight="1" s="220">
      <c r="A18" s="31" t="inlineStr">
        <is>
          <t>IHP</t>
        </is>
      </c>
      <c r="B18" s="185" t="n"/>
      <c r="C18" s="33">
        <f>B18*0.051*1.09</f>
        <v/>
      </c>
      <c r="D18" s="34" t="n"/>
      <c r="E18" s="35" t="inlineStr">
        <is>
          <t>IHP</t>
        </is>
      </c>
      <c r="F18" s="36" t="n"/>
      <c r="G18" s="33">
        <f>F18*0.051*1.09</f>
        <v/>
      </c>
      <c r="H18" s="34" t="n"/>
      <c r="I18" s="35" t="inlineStr">
        <is>
          <t>IHP</t>
        </is>
      </c>
      <c r="J18" s="36" t="n"/>
      <c r="K18" s="33">
        <f>J18*0.051*1.09</f>
        <v/>
      </c>
      <c r="L18" s="34" t="n"/>
      <c r="M18" s="41" t="inlineStr">
        <is>
          <t>IHP</t>
        </is>
      </c>
      <c r="N18" s="173" t="n"/>
      <c r="O18" s="33">
        <f>N18*0.051*1.09</f>
        <v/>
      </c>
      <c r="P18" s="46" t="n"/>
      <c r="Q18" s="31" t="n"/>
      <c r="R18" s="39" t="n"/>
      <c r="S18" s="40" t="n"/>
      <c r="T18" s="46" t="n"/>
      <c r="U18" s="35" t="inlineStr">
        <is>
          <t>IHP</t>
        </is>
      </c>
      <c r="V18" s="174" t="n"/>
      <c r="W18" s="33">
        <f>V18*0.051*1.09</f>
        <v/>
      </c>
      <c r="X18" s="49" t="n"/>
      <c r="Y18" s="31" t="inlineStr">
        <is>
          <t>IHP</t>
        </is>
      </c>
      <c r="Z18" s="173" t="n"/>
      <c r="AA18" s="45">
        <f>Z18*0.051*1.09</f>
        <v/>
      </c>
      <c r="AB18" s="46" t="n"/>
      <c r="AC18" s="46" t="n"/>
      <c r="AD18" s="35" t="inlineStr">
        <is>
          <t>IHP</t>
        </is>
      </c>
      <c r="AE18" s="173" t="n"/>
      <c r="AF18" s="43">
        <f>AE18*0.051*1.09</f>
        <v/>
      </c>
      <c r="AG18" s="48" t="n"/>
      <c r="AH18" s="46" t="n"/>
      <c r="AI18" s="60" t="n"/>
      <c r="AJ18" s="39" t="n"/>
      <c r="AK18" s="40" t="n"/>
      <c r="AL18" s="46" t="n"/>
      <c r="AM18" s="46" t="n"/>
      <c r="AN18" s="35" t="inlineStr">
        <is>
          <t>IHP</t>
        </is>
      </c>
      <c r="AO18" s="174" t="n"/>
      <c r="AP18" s="43">
        <f>AO18*0.051*1.09</f>
        <v/>
      </c>
      <c r="AQ18" s="48" t="n"/>
      <c r="AR18" s="46" t="n"/>
      <c r="AS18" s="35" t="inlineStr">
        <is>
          <t>IHP</t>
        </is>
      </c>
      <c r="AT18" s="173" t="n"/>
      <c r="AU18" s="43">
        <f>AT18*0.051*1.09</f>
        <v/>
      </c>
      <c r="AV18" s="48" t="n"/>
      <c r="AW18" s="46" t="n"/>
      <c r="AX18" s="35" t="inlineStr">
        <is>
          <t>IHP</t>
        </is>
      </c>
      <c r="AY18" s="174" t="n"/>
      <c r="AZ18" s="43">
        <f>AY18*0.051*1.09</f>
        <v/>
      </c>
      <c r="BA18" s="48" t="n"/>
    </row>
    <row r="19" ht="27.75" customHeight="1" s="220">
      <c r="A19" s="31" t="inlineStr">
        <is>
          <t>JCB</t>
        </is>
      </c>
      <c r="B19" s="32" t="n"/>
      <c r="C19" s="33">
        <f>B19*0.15*1.09</f>
        <v/>
      </c>
      <c r="D19" s="34" t="n"/>
      <c r="E19" s="35" t="inlineStr">
        <is>
          <t>JCB</t>
        </is>
      </c>
      <c r="F19" s="50" t="n"/>
      <c r="G19" s="33">
        <f>F19*0.15*1.09</f>
        <v/>
      </c>
      <c r="H19" s="34" t="n"/>
      <c r="I19" s="35" t="inlineStr">
        <is>
          <t>JCB</t>
        </is>
      </c>
      <c r="J19" s="50" t="n"/>
      <c r="K19" s="33">
        <f>J19*0.15*1.09</f>
        <v/>
      </c>
      <c r="L19" s="34" t="n"/>
      <c r="M19" s="41" t="inlineStr">
        <is>
          <t>JCB</t>
        </is>
      </c>
      <c r="N19" s="50" t="n"/>
      <c r="O19" s="33">
        <f>N19*0.15*1.09</f>
        <v/>
      </c>
      <c r="P19" s="46" t="n"/>
      <c r="Q19" s="31" t="n"/>
      <c r="R19" s="39" t="n"/>
      <c r="S19" s="40" t="n"/>
      <c r="T19" s="46" t="n"/>
      <c r="U19" s="35" t="inlineStr">
        <is>
          <t>JCB</t>
        </is>
      </c>
      <c r="V19" s="50" t="n"/>
      <c r="W19" s="33">
        <f>V19*0.15*1.09</f>
        <v/>
      </c>
      <c r="X19" s="49" t="n"/>
      <c r="Y19" s="31" t="inlineStr">
        <is>
          <t>JCB</t>
        </is>
      </c>
      <c r="Z19" s="50" t="n"/>
      <c r="AA19" s="45">
        <f>Z19*0.15*1.09</f>
        <v/>
      </c>
      <c r="AB19" s="46" t="n"/>
      <c r="AC19" s="46" t="n"/>
      <c r="AD19" s="35" t="inlineStr">
        <is>
          <t>JCB</t>
        </is>
      </c>
      <c r="AE19" s="62" t="n"/>
      <c r="AF19" s="43">
        <f>AE19*0.15*1.09</f>
        <v/>
      </c>
      <c r="AG19" s="48" t="n"/>
      <c r="AH19" s="46" t="n"/>
      <c r="AI19" s="60" t="n"/>
      <c r="AJ19" s="39" t="n"/>
      <c r="AK19" s="40" t="n"/>
      <c r="AL19" s="46" t="n"/>
      <c r="AM19" s="46" t="n"/>
      <c r="AN19" s="35" t="inlineStr">
        <is>
          <t>JCB</t>
        </is>
      </c>
      <c r="AO19" s="62" t="n"/>
      <c r="AP19" s="43">
        <f>AO19*0.15*1.09</f>
        <v/>
      </c>
      <c r="AQ19" s="48" t="n"/>
      <c r="AR19" s="46" t="n"/>
      <c r="AS19" s="35" t="inlineStr">
        <is>
          <t>JCB</t>
        </is>
      </c>
      <c r="AT19" s="62" t="n"/>
      <c r="AU19" s="43">
        <f>AT19*0.15*1.09</f>
        <v/>
      </c>
      <c r="AV19" s="48" t="n"/>
      <c r="AW19" s="46" t="n"/>
      <c r="AX19" s="35" t="inlineStr">
        <is>
          <t>JCB</t>
        </is>
      </c>
      <c r="AY19" s="62" t="n"/>
      <c r="AZ19" s="43">
        <f>AY19*0.15*1.09</f>
        <v/>
      </c>
      <c r="BA19" s="48" t="n"/>
    </row>
    <row r="20" ht="27.75" customHeight="1" s="220">
      <c r="A20" s="31" t="inlineStr">
        <is>
          <t>MASTER</t>
        </is>
      </c>
      <c r="B20" s="185" t="n"/>
      <c r="C20" s="33">
        <f>B20*0.021</f>
        <v/>
      </c>
      <c r="D20" s="34" t="n"/>
      <c r="E20" s="35" t="inlineStr">
        <is>
          <t>MASTER</t>
        </is>
      </c>
      <c r="F20" s="36" t="n"/>
      <c r="G20" s="33">
        <f>F20*0.021</f>
        <v/>
      </c>
      <c r="H20" s="34" t="n"/>
      <c r="I20" s="35" t="inlineStr">
        <is>
          <t>MASTER</t>
        </is>
      </c>
      <c r="J20" s="173" t="n"/>
      <c r="K20" s="33">
        <f>J20*0.021</f>
        <v/>
      </c>
      <c r="L20" s="34" t="n"/>
      <c r="M20" s="41" t="inlineStr">
        <is>
          <t>MASTER</t>
        </is>
      </c>
      <c r="N20" s="173" t="n"/>
      <c r="O20" s="33">
        <f>N20*0.021</f>
        <v/>
      </c>
      <c r="P20" s="46" t="n"/>
      <c r="Q20" s="31" t="n"/>
      <c r="R20" s="39" t="n"/>
      <c r="S20" s="40" t="n"/>
      <c r="T20" s="46" t="n"/>
      <c r="U20" s="35" t="inlineStr">
        <is>
          <t>MASTER</t>
        </is>
      </c>
      <c r="V20" s="174" t="n"/>
      <c r="W20" s="33">
        <f>V20*0.021</f>
        <v/>
      </c>
      <c r="X20" s="49" t="n"/>
      <c r="Y20" s="31" t="inlineStr">
        <is>
          <t>MASTER</t>
        </is>
      </c>
      <c r="Z20" s="173" t="n"/>
      <c r="AA20" s="45">
        <f>Z20*0.021</f>
        <v/>
      </c>
      <c r="AB20" s="46" t="n"/>
      <c r="AC20" s="46" t="n"/>
      <c r="AD20" s="35" t="inlineStr">
        <is>
          <t>MASTER</t>
        </is>
      </c>
      <c r="AE20" s="173" t="n"/>
      <c r="AF20" s="43">
        <f>AE20*0.021</f>
        <v/>
      </c>
      <c r="AG20" s="48" t="n"/>
      <c r="AH20" s="46" t="n"/>
      <c r="AI20" s="60" t="n"/>
      <c r="AJ20" s="39" t="n"/>
      <c r="AK20" s="40" t="n"/>
      <c r="AL20" s="46" t="n"/>
      <c r="AM20" s="46" t="n"/>
      <c r="AN20" s="35" t="inlineStr">
        <is>
          <t>MASTER</t>
        </is>
      </c>
      <c r="AO20" s="174" t="n"/>
      <c r="AP20" s="43">
        <f>AO20*0.021</f>
        <v/>
      </c>
      <c r="AQ20" s="48" t="n"/>
      <c r="AR20" s="46" t="n"/>
      <c r="AS20" s="35" t="inlineStr">
        <is>
          <t>MASTER</t>
        </is>
      </c>
      <c r="AT20" s="174" t="n"/>
      <c r="AU20" s="43">
        <f>AT20*0.021</f>
        <v/>
      </c>
      <c r="AV20" s="48" t="n"/>
      <c r="AW20" s="46" t="n"/>
      <c r="AX20" s="35" t="inlineStr">
        <is>
          <t>MASTER</t>
        </is>
      </c>
      <c r="AY20" s="174" t="n"/>
      <c r="AZ20" s="43">
        <f>AY20*0.021</f>
        <v/>
      </c>
      <c r="BA20" s="48" t="n"/>
    </row>
    <row r="21" ht="27.75" customHeight="1" s="220">
      <c r="A21" s="31" t="inlineStr">
        <is>
          <t>MEDISAVE</t>
        </is>
      </c>
      <c r="B21" s="185" t="n"/>
      <c r="C21" s="33" t="n"/>
      <c r="D21" s="34" t="n"/>
      <c r="E21" s="35" t="inlineStr">
        <is>
          <t>MEDISAVE</t>
        </is>
      </c>
      <c r="F21" s="36" t="n"/>
      <c r="G21" s="33" t="n"/>
      <c r="H21" s="34" t="n"/>
      <c r="I21" s="35" t="inlineStr">
        <is>
          <t>MEDISAVE</t>
        </is>
      </c>
      <c r="J21" s="36" t="n"/>
      <c r="K21" s="33" t="n"/>
      <c r="L21" s="34" t="n"/>
      <c r="M21" s="41" t="inlineStr">
        <is>
          <t>MEDISAVE</t>
        </is>
      </c>
      <c r="N21" s="173" t="n"/>
      <c r="O21" s="33" t="n"/>
      <c r="P21" s="46" t="n"/>
      <c r="Q21" s="31" t="n"/>
      <c r="R21" s="39" t="n"/>
      <c r="S21" s="40" t="n"/>
      <c r="T21" s="46" t="n"/>
      <c r="U21" s="35" t="inlineStr">
        <is>
          <t>MEDISAVE</t>
        </is>
      </c>
      <c r="V21" s="174" t="n"/>
      <c r="W21" s="33" t="n"/>
      <c r="X21" s="49" t="n"/>
      <c r="Y21" s="31" t="inlineStr">
        <is>
          <t>MEDISAVE</t>
        </is>
      </c>
      <c r="Z21" s="173" t="n"/>
      <c r="AA21" s="45" t="n"/>
      <c r="AB21" s="46" t="n"/>
      <c r="AC21" s="46" t="n"/>
      <c r="AD21" s="35" t="inlineStr">
        <is>
          <t>MEDISAVE</t>
        </is>
      </c>
      <c r="AE21" s="173" t="n"/>
      <c r="AF21" s="43" t="n"/>
      <c r="AG21" s="48" t="n"/>
      <c r="AH21" s="46" t="n"/>
      <c r="AI21" s="60" t="n"/>
      <c r="AJ21" s="39" t="n"/>
      <c r="AK21" s="40" t="n"/>
      <c r="AL21" s="46" t="n"/>
      <c r="AM21" s="46" t="n"/>
      <c r="AN21" s="35" t="inlineStr">
        <is>
          <t>MEDISAVE</t>
        </is>
      </c>
      <c r="AO21" s="174" t="n"/>
      <c r="AP21" s="43" t="n"/>
      <c r="AQ21" s="48" t="n"/>
      <c r="AR21" s="46" t="n"/>
      <c r="AS21" s="35" t="inlineStr">
        <is>
          <t>MEDISAVE</t>
        </is>
      </c>
      <c r="AT21" s="174" t="n"/>
      <c r="AU21" s="43" t="n"/>
      <c r="AV21" s="48" t="n"/>
      <c r="AW21" s="46" t="n"/>
      <c r="AX21" s="35" t="inlineStr">
        <is>
          <t>MEDISAVE</t>
        </is>
      </c>
      <c r="AY21" s="174" t="n"/>
      <c r="AZ21" s="43" t="n"/>
      <c r="BA21" s="48" t="n"/>
    </row>
    <row r="22" ht="27.75" customHeight="1" s="220">
      <c r="A22" s="52" t="inlineStr">
        <is>
          <t>mednefits</t>
        </is>
      </c>
      <c r="B22" s="53" t="n"/>
      <c r="C22" s="54">
        <f>B22*20%</f>
        <v/>
      </c>
      <c r="D22" s="34" t="n"/>
      <c r="E22" s="35" t="inlineStr">
        <is>
          <t>mednefits</t>
        </is>
      </c>
      <c r="F22" s="50" t="n"/>
      <c r="G22" s="33">
        <f>F22*20%</f>
        <v/>
      </c>
      <c r="H22" s="34" t="n"/>
      <c r="I22" s="35" t="inlineStr">
        <is>
          <t>mednefits</t>
        </is>
      </c>
      <c r="J22" s="50" t="n"/>
      <c r="K22" s="33">
        <f>J22*20%</f>
        <v/>
      </c>
      <c r="L22" s="34" t="n"/>
      <c r="M22" s="41" t="inlineStr">
        <is>
          <t>mednefits</t>
        </is>
      </c>
      <c r="N22" s="36" t="n"/>
      <c r="O22" s="33">
        <f>N22*20%</f>
        <v/>
      </c>
      <c r="P22" s="46" t="n"/>
      <c r="Q22" s="31" t="n"/>
      <c r="R22" s="39" t="n"/>
      <c r="S22" s="40" t="n"/>
      <c r="T22" s="46" t="n"/>
      <c r="U22" s="35" t="inlineStr">
        <is>
          <t>mednefits</t>
        </is>
      </c>
      <c r="V22" s="51" t="n"/>
      <c r="W22" s="33">
        <f>V22*20%</f>
        <v/>
      </c>
      <c r="X22" s="49" t="n"/>
      <c r="Y22" s="52" t="inlineStr">
        <is>
          <t>mednefits</t>
        </is>
      </c>
      <c r="Z22" s="55" t="n"/>
      <c r="AA22" s="56">
        <f>Z22*20%</f>
        <v/>
      </c>
      <c r="AB22" s="46" t="n"/>
      <c r="AC22" s="46" t="n"/>
      <c r="AD22" s="57" t="inlineStr">
        <is>
          <t>mednefits</t>
        </is>
      </c>
      <c r="AE22" s="58" t="n"/>
      <c r="AF22" s="59">
        <f>AE22*20%</f>
        <v/>
      </c>
      <c r="AG22" s="48" t="n"/>
      <c r="AH22" s="46" t="n"/>
      <c r="AI22" s="60" t="n"/>
      <c r="AJ22" s="39" t="n"/>
      <c r="AK22" s="40" t="n"/>
      <c r="AL22" s="46" t="n"/>
      <c r="AM22" s="46" t="n"/>
      <c r="AN22" s="57" t="inlineStr">
        <is>
          <t>mednefits</t>
        </is>
      </c>
      <c r="AO22" s="58" t="n"/>
      <c r="AP22" s="59">
        <f>AO22*20%</f>
        <v/>
      </c>
      <c r="AQ22" s="48" t="n"/>
      <c r="AR22" s="46" t="n"/>
      <c r="AS22" s="57" t="inlineStr">
        <is>
          <t>mednefits</t>
        </is>
      </c>
      <c r="AT22" s="58" t="n"/>
      <c r="AU22" s="59">
        <f>AT22*20%</f>
        <v/>
      </c>
      <c r="AV22" s="48" t="n"/>
      <c r="AW22" s="46" t="n"/>
      <c r="AX22" s="57" t="inlineStr">
        <is>
          <t>mednefits</t>
        </is>
      </c>
      <c r="AY22" s="58" t="n"/>
      <c r="AZ22" s="59">
        <f>AY22*20%</f>
        <v/>
      </c>
      <c r="BA22" s="48" t="n"/>
    </row>
    <row r="23" ht="27.75" customHeight="1" s="220">
      <c r="A23" s="35" t="inlineStr">
        <is>
          <t>MHC</t>
        </is>
      </c>
      <c r="B23" s="185" t="n"/>
      <c r="C23" s="33">
        <f>B23*0.15*1.09</f>
        <v/>
      </c>
      <c r="D23" s="34" t="n"/>
      <c r="E23" s="35" t="inlineStr">
        <is>
          <t>MHC</t>
        </is>
      </c>
      <c r="F23" s="36" t="n"/>
      <c r="G23" s="33">
        <f>F23*0.15*1.09</f>
        <v/>
      </c>
      <c r="H23" s="34" t="n"/>
      <c r="I23" s="35" t="inlineStr">
        <is>
          <t>MHC</t>
        </is>
      </c>
      <c r="J23" s="36" t="n"/>
      <c r="K23" s="33">
        <f>J23*0.15*1.09</f>
        <v/>
      </c>
      <c r="L23" s="34" t="n"/>
      <c r="M23" s="41" t="inlineStr">
        <is>
          <t>MHC</t>
        </is>
      </c>
      <c r="N23" s="173" t="n"/>
      <c r="O23" s="33">
        <f>N23*0.15*1.09</f>
        <v/>
      </c>
      <c r="P23" s="46" t="n"/>
      <c r="Q23" s="31" t="n"/>
      <c r="R23" s="39" t="n"/>
      <c r="S23" s="40" t="n"/>
      <c r="T23" s="46" t="n"/>
      <c r="U23" s="35" t="inlineStr">
        <is>
          <t>MHC</t>
        </is>
      </c>
      <c r="V23" s="174" t="n"/>
      <c r="W23" s="33">
        <f>V23*0.15*1.09</f>
        <v/>
      </c>
      <c r="X23" s="48" t="n"/>
      <c r="Y23" s="35" t="inlineStr">
        <is>
          <t>MHC</t>
        </is>
      </c>
      <c r="Z23" s="173" t="n"/>
      <c r="AA23" s="33">
        <f>Z23*0.15*1.09</f>
        <v/>
      </c>
      <c r="AB23" s="46" t="n"/>
      <c r="AC23" s="46" t="n"/>
      <c r="AD23" s="35" t="inlineStr">
        <is>
          <t>MHC</t>
        </is>
      </c>
      <c r="AE23" s="173" t="n"/>
      <c r="AF23" s="33">
        <f>AE23*0.15*1.09</f>
        <v/>
      </c>
      <c r="AG23" s="48" t="n"/>
      <c r="AH23" s="46" t="n"/>
      <c r="AI23" s="60" t="n"/>
      <c r="AJ23" s="39" t="n"/>
      <c r="AK23" s="40" t="n"/>
      <c r="AL23" s="46" t="n"/>
      <c r="AM23" s="46" t="n"/>
      <c r="AN23" s="35" t="inlineStr">
        <is>
          <t>MHC</t>
        </is>
      </c>
      <c r="AO23" s="174" t="n"/>
      <c r="AP23" s="33">
        <f>AO23*0.15*1.09</f>
        <v/>
      </c>
      <c r="AQ23" s="48" t="n"/>
      <c r="AR23" s="46" t="n"/>
      <c r="AS23" s="35" t="inlineStr">
        <is>
          <t>MHC</t>
        </is>
      </c>
      <c r="AT23" s="173" t="n"/>
      <c r="AU23" s="33">
        <f>AT23*0.15*1.09</f>
        <v/>
      </c>
      <c r="AV23" s="48" t="n"/>
      <c r="AW23" s="46" t="n"/>
      <c r="AX23" s="35" t="inlineStr">
        <is>
          <t>MHC</t>
        </is>
      </c>
      <c r="AY23" s="173" t="n"/>
      <c r="AZ23" s="33">
        <f>AY23*0.15*1.09</f>
        <v/>
      </c>
      <c r="BA23" s="48" t="n"/>
    </row>
    <row r="24" ht="27.75" customHeight="1" s="220">
      <c r="A24" s="31" t="inlineStr">
        <is>
          <t>NETS</t>
        </is>
      </c>
      <c r="B24" s="185" t="n"/>
      <c r="C24" s="33">
        <f>B24*0.008</f>
        <v/>
      </c>
      <c r="D24" s="34" t="n"/>
      <c r="E24" s="35" t="inlineStr">
        <is>
          <t>NETS</t>
        </is>
      </c>
      <c r="F24" s="36" t="n"/>
      <c r="G24" s="33">
        <f>F24*0.008</f>
        <v/>
      </c>
      <c r="H24" s="34" t="n"/>
      <c r="I24" s="35" t="inlineStr">
        <is>
          <t>NETS</t>
        </is>
      </c>
      <c r="J24" s="36" t="n"/>
      <c r="K24" s="33">
        <f>J24*0.008</f>
        <v/>
      </c>
      <c r="L24" s="34" t="n"/>
      <c r="M24" s="41" t="inlineStr">
        <is>
          <t>NETS</t>
        </is>
      </c>
      <c r="N24" s="173" t="n"/>
      <c r="O24" s="33">
        <f>N24*0.008</f>
        <v/>
      </c>
      <c r="P24" s="46" t="n"/>
      <c r="Q24" s="31" t="n"/>
      <c r="R24" s="39" t="n"/>
      <c r="S24" s="40" t="n"/>
      <c r="T24" s="46" t="n"/>
      <c r="U24" s="35" t="inlineStr">
        <is>
          <t>NETS</t>
        </is>
      </c>
      <c r="V24" s="174" t="n"/>
      <c r="W24" s="33">
        <f>V24*0.008</f>
        <v/>
      </c>
      <c r="X24" s="48" t="n"/>
      <c r="Y24" s="35" t="inlineStr">
        <is>
          <t>NETS</t>
        </is>
      </c>
      <c r="Z24" s="173" t="n"/>
      <c r="AA24" s="33">
        <f>Z24*0.008</f>
        <v/>
      </c>
      <c r="AB24" s="46" t="n"/>
      <c r="AC24" s="46" t="n"/>
      <c r="AD24" s="35" t="inlineStr">
        <is>
          <t>NETS</t>
        </is>
      </c>
      <c r="AE24" s="173" t="n"/>
      <c r="AF24" s="33">
        <f>AE24*0.008</f>
        <v/>
      </c>
      <c r="AG24" s="48" t="n"/>
      <c r="AH24" s="46" t="n"/>
      <c r="AI24" s="60" t="n"/>
      <c r="AJ24" s="39" t="n"/>
      <c r="AK24" s="40" t="n"/>
      <c r="AL24" s="46" t="n"/>
      <c r="AM24" s="46" t="n"/>
      <c r="AN24" s="35" t="inlineStr">
        <is>
          <t>NETS</t>
        </is>
      </c>
      <c r="AO24" s="174" t="n"/>
      <c r="AP24" s="33">
        <f>AO24*0.008</f>
        <v/>
      </c>
      <c r="AQ24" s="48" t="n"/>
      <c r="AR24" s="46" t="n"/>
      <c r="AS24" s="35" t="inlineStr">
        <is>
          <t>NETS</t>
        </is>
      </c>
      <c r="AT24" s="174" t="n"/>
      <c r="AU24" s="33">
        <f>AT24*0.008</f>
        <v/>
      </c>
      <c r="AV24" s="48" t="n"/>
      <c r="AW24" s="46" t="n"/>
      <c r="AX24" s="35" t="inlineStr">
        <is>
          <t>NETS</t>
        </is>
      </c>
      <c r="AY24" s="174" t="n"/>
      <c r="AZ24" s="33">
        <f>AY24*0.008</f>
        <v/>
      </c>
      <c r="BA24" s="48" t="n"/>
    </row>
    <row r="25" ht="27.75" customHeight="1" s="220">
      <c r="A25" s="35" t="inlineStr">
        <is>
          <t>PARKWAY</t>
        </is>
      </c>
      <c r="B25" s="36" t="n"/>
      <c r="C25" s="61">
        <f>B25*10%</f>
        <v/>
      </c>
      <c r="D25" s="34" t="n"/>
      <c r="E25" s="35" t="inlineStr">
        <is>
          <t>PARKWAY</t>
        </is>
      </c>
      <c r="F25" s="36" t="n"/>
      <c r="G25" s="61">
        <f>F25*10%</f>
        <v/>
      </c>
      <c r="H25" s="34" t="n"/>
      <c r="I25" s="35" t="inlineStr">
        <is>
          <t>PARKWAY</t>
        </is>
      </c>
      <c r="J25" s="36" t="n"/>
      <c r="K25" s="61">
        <f>J25*10%</f>
        <v/>
      </c>
      <c r="L25" s="34" t="n"/>
      <c r="M25" s="41" t="inlineStr">
        <is>
          <t>PARKWAY</t>
        </is>
      </c>
      <c r="N25" s="36" t="n"/>
      <c r="O25" s="61">
        <f>N25*10%</f>
        <v/>
      </c>
      <c r="P25" s="46" t="n"/>
      <c r="Q25" s="31" t="n"/>
      <c r="R25" s="39" t="n"/>
      <c r="S25" s="40" t="n"/>
      <c r="T25" s="46" t="n"/>
      <c r="U25" s="35" t="inlineStr">
        <is>
          <t>PARKWAY</t>
        </is>
      </c>
      <c r="V25" s="36" t="n"/>
      <c r="W25" s="61">
        <f>V25*10%</f>
        <v/>
      </c>
      <c r="X25" s="48" t="n"/>
      <c r="Y25" s="35" t="inlineStr">
        <is>
          <t>PARKWAY</t>
        </is>
      </c>
      <c r="Z25" s="36" t="n"/>
      <c r="AA25" s="33">
        <f>Z25*10%</f>
        <v/>
      </c>
      <c r="AB25" s="46" t="n"/>
      <c r="AC25" s="46" t="n"/>
      <c r="AD25" s="35" t="inlineStr">
        <is>
          <t>PARKWAY</t>
        </is>
      </c>
      <c r="AE25" s="36" t="n"/>
      <c r="AF25" s="33">
        <f>AE25*10%</f>
        <v/>
      </c>
      <c r="AG25" s="48" t="n"/>
      <c r="AH25" s="46" t="n"/>
      <c r="AI25" s="60" t="n"/>
      <c r="AJ25" s="39" t="n"/>
      <c r="AK25" s="40" t="n"/>
      <c r="AL25" s="46" t="n"/>
      <c r="AM25" s="46" t="n"/>
      <c r="AN25" s="35" t="inlineStr">
        <is>
          <t>PARKWAY</t>
        </is>
      </c>
      <c r="AO25" s="36" t="n"/>
      <c r="AP25" s="33">
        <f>AO25*10%</f>
        <v/>
      </c>
      <c r="AQ25" s="48" t="n"/>
      <c r="AR25" s="46" t="n"/>
      <c r="AS25" s="35" t="inlineStr">
        <is>
          <t>PARKWAY</t>
        </is>
      </c>
      <c r="AT25" s="36" t="n"/>
      <c r="AU25" s="33">
        <f>AT25*10%</f>
        <v/>
      </c>
      <c r="AV25" s="48" t="n"/>
      <c r="AW25" s="46" t="n"/>
      <c r="AX25" s="35" t="inlineStr">
        <is>
          <t>PARKWAY</t>
        </is>
      </c>
      <c r="AY25" s="36" t="n"/>
      <c r="AZ25" s="33">
        <f>AY25*10%</f>
        <v/>
      </c>
      <c r="BA25" s="48" t="n"/>
    </row>
    <row r="26" ht="27.75" customHeight="1" s="220">
      <c r="A26" s="31" t="inlineStr">
        <is>
          <t>PAYNOW</t>
        </is>
      </c>
      <c r="B26" s="173" t="n"/>
      <c r="C26" s="33" t="n"/>
      <c r="D26" s="34" t="n"/>
      <c r="E26" s="35" t="inlineStr">
        <is>
          <t>PAYNOW</t>
        </is>
      </c>
      <c r="F26" s="36" t="n"/>
      <c r="G26" s="33" t="n"/>
      <c r="H26" s="34" t="n"/>
      <c r="I26" s="35" t="inlineStr">
        <is>
          <t>PAYNOW</t>
        </is>
      </c>
      <c r="J26" s="36" t="n"/>
      <c r="K26" s="33" t="n"/>
      <c r="L26" s="34" t="n"/>
      <c r="M26" s="41" t="inlineStr">
        <is>
          <t>PAYNOW</t>
        </is>
      </c>
      <c r="N26" s="36" t="n"/>
      <c r="O26" s="33" t="n"/>
      <c r="P26" s="46" t="n"/>
      <c r="Q26" s="31" t="n"/>
      <c r="R26" s="39" t="n"/>
      <c r="S26" s="40" t="n"/>
      <c r="T26" s="46" t="n"/>
      <c r="U26" s="35" t="inlineStr">
        <is>
          <t>PAYNOW</t>
        </is>
      </c>
      <c r="V26" s="50" t="n"/>
      <c r="W26" s="33" t="n"/>
      <c r="X26" s="48" t="n"/>
      <c r="Y26" s="35" t="inlineStr">
        <is>
          <t>PAYNOW</t>
        </is>
      </c>
      <c r="Z26" s="36" t="n"/>
      <c r="AA26" s="33" t="n"/>
      <c r="AB26" s="46" t="n"/>
      <c r="AC26" s="46" t="n"/>
      <c r="AD26" s="35" t="inlineStr">
        <is>
          <t>PAYNOW</t>
        </is>
      </c>
      <c r="AE26" s="36" t="n"/>
      <c r="AF26" s="33" t="n"/>
      <c r="AG26" s="48" t="n"/>
      <c r="AH26" s="46" t="n"/>
      <c r="AI26" s="60" t="n"/>
      <c r="AJ26" s="39" t="n"/>
      <c r="AK26" s="40" t="n"/>
      <c r="AL26" s="46" t="n"/>
      <c r="AM26" s="46" t="n"/>
      <c r="AN26" s="35" t="inlineStr">
        <is>
          <t>PAYNOW</t>
        </is>
      </c>
      <c r="AO26" s="36" t="n"/>
      <c r="AP26" s="33" t="n"/>
      <c r="AQ26" s="48" t="n"/>
      <c r="AR26" s="46" t="n"/>
      <c r="AS26" s="35" t="inlineStr">
        <is>
          <t>PAYNOW</t>
        </is>
      </c>
      <c r="AT26" s="36" t="n"/>
      <c r="AU26" s="33" t="n"/>
      <c r="AV26" s="48" t="n"/>
      <c r="AW26" s="46" t="n"/>
      <c r="AX26" s="35" t="inlineStr">
        <is>
          <t>PAYNOW</t>
        </is>
      </c>
      <c r="AY26" s="36" t="n"/>
      <c r="AZ26" s="33" t="n"/>
      <c r="BA26" s="48" t="n"/>
    </row>
    <row r="27" ht="27.75" customHeight="1" s="220">
      <c r="A27" s="63" t="inlineStr">
        <is>
          <t>RHI</t>
        </is>
      </c>
      <c r="B27" s="173" t="n"/>
      <c r="C27" s="65" t="n"/>
      <c r="D27" s="34" t="n"/>
      <c r="E27" s="35" t="inlineStr">
        <is>
          <t>RHI</t>
        </is>
      </c>
      <c r="F27" s="36" t="n"/>
      <c r="G27" s="33" t="n"/>
      <c r="H27" s="34" t="n"/>
      <c r="I27" s="35" t="inlineStr">
        <is>
          <t>RHI</t>
        </is>
      </c>
      <c r="J27" s="36" t="n"/>
      <c r="K27" s="33" t="n"/>
      <c r="L27" s="34" t="n"/>
      <c r="M27" s="41" t="inlineStr">
        <is>
          <t>RHI</t>
        </is>
      </c>
      <c r="N27" s="173" t="n"/>
      <c r="O27" s="33" t="n"/>
      <c r="P27" s="46" t="n"/>
      <c r="Q27" s="31" t="n"/>
      <c r="R27" s="39" t="n"/>
      <c r="S27" s="40" t="n"/>
      <c r="T27" s="46" t="n"/>
      <c r="U27" s="35" t="inlineStr">
        <is>
          <t>RHI</t>
        </is>
      </c>
      <c r="V27" s="51" t="n"/>
      <c r="W27" s="33" t="n"/>
      <c r="X27" s="48" t="n"/>
      <c r="Y27" s="35" t="inlineStr">
        <is>
          <t>RHI</t>
        </is>
      </c>
      <c r="Z27" s="36" t="n"/>
      <c r="AA27" s="33" t="n"/>
      <c r="AB27" s="46" t="n"/>
      <c r="AC27" s="46" t="n"/>
      <c r="AD27" s="35" t="inlineStr">
        <is>
          <t>RHI</t>
        </is>
      </c>
      <c r="AE27" s="36" t="n"/>
      <c r="AF27" s="33" t="n"/>
      <c r="AG27" s="48" t="n"/>
      <c r="AH27" s="46" t="n"/>
      <c r="AI27" s="60" t="n"/>
      <c r="AJ27" s="39" t="n"/>
      <c r="AK27" s="40" t="n"/>
      <c r="AL27" s="46" t="n"/>
      <c r="AM27" s="46" t="n"/>
      <c r="AN27" s="35" t="inlineStr">
        <is>
          <t>RHI</t>
        </is>
      </c>
      <c r="AO27" s="36" t="n"/>
      <c r="AP27" s="33" t="n"/>
      <c r="AQ27" s="48" t="n"/>
      <c r="AR27" s="46" t="n"/>
      <c r="AS27" s="35" t="inlineStr">
        <is>
          <t>RHI</t>
        </is>
      </c>
      <c r="AT27" s="36" t="n"/>
      <c r="AU27" s="33" t="n"/>
      <c r="AV27" s="48" t="n"/>
      <c r="AW27" s="46" t="n"/>
      <c r="AX27" s="35" t="inlineStr">
        <is>
          <t>RHI</t>
        </is>
      </c>
      <c r="AY27" s="36" t="n"/>
      <c r="AZ27" s="33" t="n"/>
      <c r="BA27" s="48" t="n"/>
    </row>
    <row r="28" ht="27.75" customHeight="1" s="220">
      <c r="A28" s="35" t="inlineStr">
        <is>
          <t>SAH</t>
        </is>
      </c>
      <c r="B28" s="36" t="n"/>
      <c r="C28" s="61">
        <f>B28*8%</f>
        <v/>
      </c>
      <c r="D28" s="34" t="n"/>
      <c r="E28" s="35" t="inlineStr">
        <is>
          <t>SAH</t>
        </is>
      </c>
      <c r="F28" s="36" t="n"/>
      <c r="G28" s="61">
        <f>F28*8%</f>
        <v/>
      </c>
      <c r="H28" s="34" t="n"/>
      <c r="I28" s="35" t="inlineStr">
        <is>
          <t>SAH</t>
        </is>
      </c>
      <c r="J28" s="36" t="n"/>
      <c r="K28" s="61">
        <f>J28*8%</f>
        <v/>
      </c>
      <c r="L28" s="34" t="n"/>
      <c r="M28" s="35" t="inlineStr">
        <is>
          <t>SAH</t>
        </is>
      </c>
      <c r="N28" s="36" t="n"/>
      <c r="O28" s="61">
        <f>N28*8%</f>
        <v/>
      </c>
      <c r="P28" s="46" t="n"/>
      <c r="Q28" s="31" t="n"/>
      <c r="R28" s="39" t="n"/>
      <c r="S28" s="40" t="n"/>
      <c r="T28" s="46" t="n"/>
      <c r="U28" s="35" t="inlineStr">
        <is>
          <t>SAH</t>
        </is>
      </c>
      <c r="V28" s="36" t="n"/>
      <c r="W28" s="61">
        <f>V28*8%</f>
        <v/>
      </c>
      <c r="X28" s="48" t="n"/>
      <c r="Y28" s="35" t="inlineStr">
        <is>
          <t>SAH</t>
        </is>
      </c>
      <c r="Z28" s="36" t="n"/>
      <c r="AA28" s="61">
        <f>Z28*8%</f>
        <v/>
      </c>
      <c r="AB28" s="46" t="n"/>
      <c r="AC28" s="46" t="n"/>
      <c r="AD28" s="35" t="inlineStr">
        <is>
          <t>SAH</t>
        </is>
      </c>
      <c r="AE28" s="36" t="n"/>
      <c r="AF28" s="61">
        <f>AE28*8%</f>
        <v/>
      </c>
      <c r="AG28" s="48" t="n"/>
      <c r="AH28" s="46" t="n"/>
      <c r="AI28" s="60" t="n"/>
      <c r="AJ28" s="39" t="n"/>
      <c r="AK28" s="40" t="n"/>
      <c r="AL28" s="46" t="n"/>
      <c r="AM28" s="46" t="n"/>
      <c r="AN28" s="35" t="inlineStr">
        <is>
          <t>SAH</t>
        </is>
      </c>
      <c r="AO28" s="36" t="n"/>
      <c r="AP28" s="61">
        <f>AO28*8%</f>
        <v/>
      </c>
      <c r="AQ28" s="48" t="n"/>
      <c r="AR28" s="46" t="n"/>
      <c r="AS28" s="35" t="inlineStr">
        <is>
          <t>SAH</t>
        </is>
      </c>
      <c r="AT28" s="36" t="n"/>
      <c r="AU28" s="61">
        <f>AT28*8%</f>
        <v/>
      </c>
      <c r="AV28" s="48" t="n"/>
      <c r="AW28" s="46" t="n"/>
      <c r="AX28" s="35" t="inlineStr">
        <is>
          <t>SAH</t>
        </is>
      </c>
      <c r="AY28" s="36" t="n"/>
      <c r="AZ28" s="61">
        <f>AY28*8%</f>
        <v/>
      </c>
      <c r="BA28" s="48" t="n"/>
    </row>
    <row r="29" ht="27.75" customHeight="1" s="220">
      <c r="A29" s="52" t="inlineStr">
        <is>
          <t>UNION PAY</t>
        </is>
      </c>
      <c r="B29" s="53" t="n"/>
      <c r="C29" s="54">
        <f>B29*2.5%</f>
        <v/>
      </c>
      <c r="D29" s="34" t="n"/>
      <c r="E29" s="35" t="inlineStr">
        <is>
          <t>UNION PAY</t>
        </is>
      </c>
      <c r="F29" s="36" t="n"/>
      <c r="G29" s="33">
        <f>F29*2.5%</f>
        <v/>
      </c>
      <c r="H29" s="34" t="n"/>
      <c r="I29" s="35" t="inlineStr">
        <is>
          <t>UNION PAY</t>
        </is>
      </c>
      <c r="J29" s="36" t="n"/>
      <c r="K29" s="33">
        <f>J29*2.5%</f>
        <v/>
      </c>
      <c r="L29" s="34" t="n"/>
      <c r="M29" s="35" t="inlineStr">
        <is>
          <t>UNION PAY</t>
        </is>
      </c>
      <c r="N29" s="36" t="n"/>
      <c r="O29" s="33">
        <f>N29*2.5%</f>
        <v/>
      </c>
      <c r="P29" s="46" t="n"/>
      <c r="Q29" s="31" t="n"/>
      <c r="R29" s="39" t="n"/>
      <c r="S29" s="40" t="n"/>
      <c r="T29" s="46" t="n"/>
      <c r="U29" s="35" t="inlineStr">
        <is>
          <t>UNION PAY</t>
        </is>
      </c>
      <c r="V29" s="36" t="n"/>
      <c r="W29" s="33">
        <f>V29*2.5%</f>
        <v/>
      </c>
      <c r="X29" s="48" t="n"/>
      <c r="Y29" s="35" t="inlineStr">
        <is>
          <t>UNION PAY</t>
        </is>
      </c>
      <c r="Z29" s="36" t="n"/>
      <c r="AA29" s="33">
        <f>Z29*2.5%</f>
        <v/>
      </c>
      <c r="AB29" s="46" t="n"/>
      <c r="AC29" s="46" t="n"/>
      <c r="AD29" s="35" t="inlineStr">
        <is>
          <t>UNION PAY</t>
        </is>
      </c>
      <c r="AE29" s="36" t="n"/>
      <c r="AF29" s="33">
        <f>AE29*2.5%</f>
        <v/>
      </c>
      <c r="AG29" s="48" t="n"/>
      <c r="AH29" s="46" t="n"/>
      <c r="AI29" s="60" t="n"/>
      <c r="AJ29" s="39" t="n"/>
      <c r="AK29" s="40" t="n"/>
      <c r="AL29" s="46" t="n"/>
      <c r="AM29" s="46" t="n"/>
      <c r="AN29" s="35" t="inlineStr">
        <is>
          <t>UNION PAY</t>
        </is>
      </c>
      <c r="AO29" s="36" t="n"/>
      <c r="AP29" s="33">
        <f>AO29*2.5%</f>
        <v/>
      </c>
      <c r="AQ29" s="48" t="n"/>
      <c r="AR29" s="46" t="n"/>
      <c r="AS29" s="35" t="inlineStr">
        <is>
          <t>UNION PAY</t>
        </is>
      </c>
      <c r="AT29" s="36" t="n"/>
      <c r="AU29" s="33">
        <f>AT29*2.5%</f>
        <v/>
      </c>
      <c r="AV29" s="48" t="n"/>
      <c r="AW29" s="46" t="n"/>
      <c r="AX29" s="35" t="inlineStr">
        <is>
          <t>UNION PAY</t>
        </is>
      </c>
      <c r="AY29" s="36" t="n"/>
      <c r="AZ29" s="33">
        <f>AY29*2.5%</f>
        <v/>
      </c>
      <c r="BA29" s="48" t="n"/>
    </row>
    <row r="30" ht="28.5" customHeight="1" s="220">
      <c r="A30" s="66" t="inlineStr">
        <is>
          <t>VISA</t>
        </is>
      </c>
      <c r="B30" s="177" t="n"/>
      <c r="C30" s="68">
        <f>B30*0.021</f>
        <v/>
      </c>
      <c r="D30" s="34" t="n"/>
      <c r="E30" s="69" t="inlineStr">
        <is>
          <t>VISA</t>
        </is>
      </c>
      <c r="F30" s="70" t="n"/>
      <c r="G30" s="68">
        <f>F30*0.021</f>
        <v/>
      </c>
      <c r="H30" s="34" t="n"/>
      <c r="I30" s="69" t="inlineStr">
        <is>
          <t>VISA</t>
        </is>
      </c>
      <c r="J30" s="70" t="n"/>
      <c r="K30" s="68">
        <f>J30*0.021</f>
        <v/>
      </c>
      <c r="L30" s="34" t="n"/>
      <c r="M30" s="69" t="inlineStr">
        <is>
          <t>VISA</t>
        </is>
      </c>
      <c r="N30" s="70" t="n"/>
      <c r="O30" s="68">
        <f>N30*0.021</f>
        <v/>
      </c>
      <c r="P30" s="46" t="n"/>
      <c r="Q30" s="31" t="n"/>
      <c r="R30" s="39" t="n"/>
      <c r="S30" s="40" t="n"/>
      <c r="T30" s="46" t="n"/>
      <c r="U30" s="69" t="inlineStr">
        <is>
          <t>VISA</t>
        </is>
      </c>
      <c r="V30" s="70" t="n"/>
      <c r="W30" s="68">
        <f>V30*0.021</f>
        <v/>
      </c>
      <c r="X30" s="48" t="n"/>
      <c r="Y30" s="69" t="inlineStr">
        <is>
          <t>VISA</t>
        </is>
      </c>
      <c r="Z30" s="70" t="n"/>
      <c r="AA30" s="68">
        <f>Z30*0.021</f>
        <v/>
      </c>
      <c r="AB30" s="46" t="n"/>
      <c r="AC30" s="46" t="n"/>
      <c r="AD30" s="69" t="inlineStr">
        <is>
          <t>VISA</t>
        </is>
      </c>
      <c r="AE30" s="70" t="n"/>
      <c r="AF30" s="68">
        <f>AE30*0.021</f>
        <v/>
      </c>
      <c r="AG30" s="48" t="n"/>
      <c r="AH30" s="46" t="n"/>
      <c r="AI30" s="60" t="n"/>
      <c r="AJ30" s="39" t="n"/>
      <c r="AK30" s="40" t="n"/>
      <c r="AL30" s="46" t="n"/>
      <c r="AM30" s="46" t="n"/>
      <c r="AN30" s="69" t="inlineStr">
        <is>
          <t>VISA</t>
        </is>
      </c>
      <c r="AO30" s="70" t="n"/>
      <c r="AP30" s="68">
        <f>AO30*0.021</f>
        <v/>
      </c>
      <c r="AQ30" s="48" t="n"/>
      <c r="AR30" s="46" t="n"/>
      <c r="AS30" s="69" t="inlineStr">
        <is>
          <t>VISA</t>
        </is>
      </c>
      <c r="AT30" s="70" t="n"/>
      <c r="AU30" s="68">
        <f>AT30*0.021</f>
        <v/>
      </c>
      <c r="AV30" s="48" t="n"/>
      <c r="AW30" s="46" t="n"/>
      <c r="AX30" s="69" t="inlineStr">
        <is>
          <t>VISA</t>
        </is>
      </c>
      <c r="AY30" s="70" t="n"/>
      <c r="AZ30" s="68">
        <f>AY30*0.021</f>
        <v/>
      </c>
      <c r="BA30" s="48" t="n"/>
    </row>
    <row r="31" ht="32.25" customHeight="1" s="220">
      <c r="A31" s="72" t="inlineStr">
        <is>
          <t>TOTAL INCOME</t>
        </is>
      </c>
      <c r="B31" s="188">
        <f>SUM(B7:B30)</f>
        <v/>
      </c>
      <c r="C31" s="74">
        <f>SUM(C7:C30)</f>
        <v/>
      </c>
      <c r="D31" s="34" t="n"/>
      <c r="E31" s="75" t="inlineStr">
        <is>
          <t>DR TOTAL INCOME</t>
        </is>
      </c>
      <c r="F31" s="75">
        <f>SUM(F7:F30)</f>
        <v/>
      </c>
      <c r="G31" s="76">
        <f>SUM(G7:G30)</f>
        <v/>
      </c>
      <c r="H31" s="34" t="n"/>
      <c r="I31" s="77" t="inlineStr">
        <is>
          <t>DR TOTAL INCOME</t>
        </is>
      </c>
      <c r="J31" s="78">
        <f>SUM(J7:J30)</f>
        <v/>
      </c>
      <c r="K31" s="79">
        <f>SUM(K7:K30)</f>
        <v/>
      </c>
      <c r="L31" s="34" t="n"/>
      <c r="M31" s="77" t="inlineStr">
        <is>
          <t>DR TOTAL INCOME</t>
        </is>
      </c>
      <c r="N31" s="189">
        <f>SUM(N7:N30)</f>
        <v/>
      </c>
      <c r="O31" s="80">
        <f>SUM(O7:O30)</f>
        <v/>
      </c>
      <c r="P31" s="46" t="n"/>
      <c r="Q31" s="31" t="n"/>
      <c r="R31" s="39" t="n"/>
      <c r="S31" s="40" t="n"/>
      <c r="T31" s="46" t="n"/>
      <c r="U31" s="75" t="inlineStr">
        <is>
          <t>DR TOTAL INCOME</t>
        </is>
      </c>
      <c r="V31" s="190">
        <f>SUM(V7:V30)</f>
        <v/>
      </c>
      <c r="W31" s="82">
        <f>SUM(W7:W30)</f>
        <v/>
      </c>
      <c r="X31" s="49" t="n"/>
      <c r="Y31" s="77" t="inlineStr">
        <is>
          <t>DR TOTAL INCOME</t>
        </is>
      </c>
      <c r="Z31" s="191">
        <f>SUM(Z7:Z30)</f>
        <v/>
      </c>
      <c r="AA31" s="79">
        <f>SUM(AA7:AA30)</f>
        <v/>
      </c>
      <c r="AB31" s="46" t="n"/>
      <c r="AC31" s="46" t="n"/>
      <c r="AD31" s="84" t="inlineStr">
        <is>
          <t>DR TOTAL INCOME</t>
        </is>
      </c>
      <c r="AE31" s="85">
        <f>SUM(AE7:AE30)</f>
        <v/>
      </c>
      <c r="AF31" s="82">
        <f>SUM(AF7:AF30)</f>
        <v/>
      </c>
      <c r="AG31" s="48" t="n"/>
      <c r="AH31" s="46" t="n"/>
      <c r="AI31" s="60" t="n"/>
      <c r="AJ31" s="39" t="n"/>
      <c r="AK31" s="40" t="n"/>
      <c r="AL31" s="46" t="n"/>
      <c r="AM31" s="46" t="n"/>
      <c r="AN31" s="84" t="inlineStr">
        <is>
          <t>DR TOTAL INCOME</t>
        </is>
      </c>
      <c r="AO31" s="192">
        <f>SUM(AO7:AO30)</f>
        <v/>
      </c>
      <c r="AP31" s="82">
        <f>SUM(AP7:AP30)</f>
        <v/>
      </c>
      <c r="AQ31" s="48" t="n"/>
      <c r="AR31" s="46" t="n"/>
      <c r="AS31" s="84" t="inlineStr">
        <is>
          <t>DR TOTAL INCOME</t>
        </is>
      </c>
      <c r="AT31" s="192">
        <f>SUM(AT7:AT30)</f>
        <v/>
      </c>
      <c r="AU31" s="82">
        <f>SUM(AU7:AU30)</f>
        <v/>
      </c>
      <c r="AV31" s="48" t="n"/>
      <c r="AW31" s="46" t="n"/>
      <c r="AX31" s="84" t="inlineStr">
        <is>
          <t>DR TOTAL INCOME</t>
        </is>
      </c>
      <c r="AY31" s="192">
        <f>SUM(AY7:AY30)</f>
        <v/>
      </c>
      <c r="AZ31" s="82">
        <f>SUM(AZ7:AZ30)</f>
        <v/>
      </c>
      <c r="BA31" s="48" t="n"/>
    </row>
    <row r="32" ht="29.25" customHeight="1" s="220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31" t="n"/>
      <c r="R32" s="39" t="n"/>
      <c r="S32" s="40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8" t="n"/>
      <c r="AH32" s="46" t="n"/>
      <c r="AI32" s="60" t="n"/>
      <c r="AJ32" s="39" t="n"/>
      <c r="AK32" s="40" t="n"/>
      <c r="AL32" s="46" t="n"/>
      <c r="AM32" s="46" t="n"/>
      <c r="AN32" s="46" t="n"/>
      <c r="AO32" s="46" t="n"/>
      <c r="AP32" s="46" t="n"/>
      <c r="AQ32" s="48" t="n"/>
      <c r="AR32" s="46" t="n"/>
      <c r="AS32" s="46" t="n"/>
      <c r="AT32" s="46" t="n"/>
      <c r="AU32" s="46" t="n"/>
      <c r="AV32" s="48" t="n"/>
      <c r="AW32" s="46" t="n"/>
      <c r="AX32" s="46" t="n"/>
      <c r="AY32" s="46" t="n"/>
      <c r="AZ32" s="46" t="n"/>
      <c r="BA32" s="48" t="n"/>
    </row>
    <row r="33" ht="23.25" customHeight="1" s="220">
      <c r="A33" s="86" t="n"/>
      <c r="B33" s="230" t="inlineStr">
        <is>
          <t>EXPENSES</t>
        </is>
      </c>
      <c r="C33" s="231" t="n"/>
      <c r="D33" s="86" t="n"/>
      <c r="E33" s="86" t="n"/>
      <c r="F33" s="232" t="inlineStr">
        <is>
          <t>DEDUCTIONS</t>
        </is>
      </c>
      <c r="G33" s="222" t="n"/>
      <c r="H33" s="90" t="inlineStr">
        <is>
          <t>REMARKS</t>
        </is>
      </c>
      <c r="I33" s="86" t="n"/>
      <c r="J33" s="230" t="inlineStr">
        <is>
          <t>DEDUCTIONS</t>
        </is>
      </c>
      <c r="K33" s="231" t="n"/>
      <c r="L33" s="90" t="inlineStr">
        <is>
          <t>REMARKS</t>
        </is>
      </c>
      <c r="M33" s="86" t="n"/>
      <c r="N33" s="230" t="inlineStr">
        <is>
          <t>DEDUCTIONS</t>
        </is>
      </c>
      <c r="O33" s="231" t="n"/>
      <c r="P33" s="90" t="inlineStr">
        <is>
          <t>REMARKS</t>
        </is>
      </c>
      <c r="Q33" s="86" t="n"/>
      <c r="R33" s="232" t="inlineStr">
        <is>
          <t>DEDUCTIONS</t>
        </is>
      </c>
      <c r="S33" s="222" t="n"/>
      <c r="T33" s="90" t="inlineStr">
        <is>
          <t>REMARKS</t>
        </is>
      </c>
      <c r="U33" s="86" t="n"/>
      <c r="V33" s="230" t="inlineStr">
        <is>
          <t>DEDUCTIONS</t>
        </is>
      </c>
      <c r="W33" s="231" t="n"/>
      <c r="X33" s="90" t="inlineStr">
        <is>
          <t>REMARKS</t>
        </is>
      </c>
      <c r="Y33" s="86" t="n"/>
      <c r="Z33" s="230" t="inlineStr">
        <is>
          <t>DEDUCTIONS</t>
        </is>
      </c>
      <c r="AA33" s="231" t="n"/>
      <c r="AB33" s="90" t="inlineStr">
        <is>
          <t>REMARKS</t>
        </is>
      </c>
      <c r="AC33" s="86" t="n"/>
      <c r="AD33" s="86" t="n"/>
      <c r="AE33" s="230" t="inlineStr">
        <is>
          <t>DEDUCTIONS</t>
        </is>
      </c>
      <c r="AF33" s="231" t="n"/>
      <c r="AG33" s="90" t="inlineStr">
        <is>
          <t>REMARKS</t>
        </is>
      </c>
      <c r="AH33" s="86" t="n"/>
      <c r="AI33" s="86" t="n"/>
      <c r="AJ33" s="232" t="inlineStr">
        <is>
          <t>DEDUCTIONS</t>
        </is>
      </c>
      <c r="AK33" s="222" t="n"/>
      <c r="AL33" s="90" t="inlineStr">
        <is>
          <t>REMARKS</t>
        </is>
      </c>
      <c r="AM33" s="86" t="n"/>
      <c r="AN33" s="86" t="n"/>
      <c r="AO33" s="230" t="inlineStr">
        <is>
          <t>DEDUCTIONS</t>
        </is>
      </c>
      <c r="AP33" s="231" t="n"/>
      <c r="AQ33" s="90" t="inlineStr">
        <is>
          <t>REMARKS</t>
        </is>
      </c>
      <c r="AR33" s="86" t="n"/>
      <c r="AS33" s="86" t="n"/>
      <c r="AT33" s="230" t="inlineStr">
        <is>
          <t>DEDUCTIONS</t>
        </is>
      </c>
      <c r="AU33" s="231" t="n"/>
      <c r="AV33" s="90" t="inlineStr">
        <is>
          <t>REMARKS</t>
        </is>
      </c>
      <c r="AW33" s="86" t="n"/>
      <c r="AX33" s="86" t="n"/>
      <c r="AY33" s="230" t="inlineStr">
        <is>
          <t>DEDUCTIONS</t>
        </is>
      </c>
      <c r="AZ33" s="231" t="n"/>
      <c r="BA33" s="90" t="inlineStr">
        <is>
          <t>REMARKS</t>
        </is>
      </c>
    </row>
    <row r="34" ht="30.75" customHeight="1" s="220">
      <c r="A34" s="1" t="n"/>
      <c r="B34" s="96" t="inlineStr">
        <is>
          <t>ADMIN FEE</t>
        </is>
      </c>
      <c r="C34" s="97">
        <f>SUM(C7:C30)</f>
        <v/>
      </c>
      <c r="D34" s="1" t="n"/>
      <c r="E34" s="1" t="n"/>
      <c r="F34" s="31" t="inlineStr">
        <is>
          <t>ADMIN CHARGES</t>
        </is>
      </c>
      <c r="G34" s="93">
        <f>G31</f>
        <v/>
      </c>
      <c r="H34" s="90" t="n"/>
      <c r="I34" s="1" t="n"/>
      <c r="J34" s="35" t="inlineStr">
        <is>
          <t>ADMIN CHARGES</t>
        </is>
      </c>
      <c r="K34" s="94">
        <f>K31</f>
        <v/>
      </c>
      <c r="L34" s="90" t="n"/>
      <c r="M34" s="1" t="n"/>
      <c r="N34" s="35" t="inlineStr">
        <is>
          <t>ADMIN CHARGES</t>
        </is>
      </c>
      <c r="O34" s="94">
        <f>O31</f>
        <v/>
      </c>
      <c r="P34" s="90" t="n"/>
      <c r="Q34" s="1" t="n"/>
      <c r="R34" s="31" t="inlineStr">
        <is>
          <t>ADMIN CHARGES</t>
        </is>
      </c>
      <c r="S34" s="93">
        <f>#REF!</f>
        <v/>
      </c>
      <c r="T34" s="90" t="n"/>
      <c r="U34" s="1" t="n"/>
      <c r="V34" s="35" t="inlineStr">
        <is>
          <t>ADMIN CHARGES</t>
        </is>
      </c>
      <c r="W34" s="94">
        <f>W31</f>
        <v/>
      </c>
      <c r="X34" s="90" t="n"/>
      <c r="Y34" s="1" t="n"/>
      <c r="Z34" s="35" t="inlineStr">
        <is>
          <t>ADMIN CHARGES</t>
        </is>
      </c>
      <c r="AA34" s="94">
        <f>AA31</f>
        <v/>
      </c>
      <c r="AB34" s="90" t="n"/>
      <c r="AC34" s="1" t="n"/>
      <c r="AD34" s="1" t="n"/>
      <c r="AE34" s="35" t="inlineStr">
        <is>
          <t>ADMIN CHARGES</t>
        </is>
      </c>
      <c r="AF34" s="94">
        <f>AF31</f>
        <v/>
      </c>
      <c r="AG34" s="90" t="n"/>
      <c r="AH34" s="1" t="n"/>
      <c r="AI34" s="1" t="n"/>
      <c r="AJ34" s="31" t="inlineStr">
        <is>
          <t>ADMIN CHARGES</t>
        </is>
      </c>
      <c r="AK34" s="93">
        <f>#REF!</f>
        <v/>
      </c>
      <c r="AL34" s="90" t="n"/>
      <c r="AM34" s="1" t="n"/>
      <c r="AN34" s="1" t="n"/>
      <c r="AO34" s="35" t="inlineStr">
        <is>
          <t>ADMIN CHARGES</t>
        </is>
      </c>
      <c r="AP34" s="94">
        <f>AP31</f>
        <v/>
      </c>
      <c r="AQ34" s="90" t="n"/>
      <c r="AR34" s="1" t="n"/>
      <c r="AS34" s="1" t="n"/>
      <c r="AT34" s="35" t="inlineStr">
        <is>
          <t>ADMIN CHARGES</t>
        </is>
      </c>
      <c r="AU34" s="94">
        <f>AU31</f>
        <v/>
      </c>
      <c r="AV34" s="90" t="n"/>
      <c r="AW34" s="1" t="n"/>
      <c r="AX34" s="1" t="n"/>
      <c r="AY34" s="35" t="inlineStr">
        <is>
          <t>ADMIN CHARGES</t>
        </is>
      </c>
      <c r="AZ34" s="94">
        <f>AZ31</f>
        <v/>
      </c>
      <c r="BA34" s="90" t="n"/>
    </row>
    <row r="35" ht="30.75" customHeight="1" s="220">
      <c r="A35" s="1" t="n"/>
      <c r="B35" s="96" t="inlineStr">
        <is>
          <t>GST</t>
        </is>
      </c>
      <c r="C35" s="179">
        <f>K35+O35+AA35+AF35+AM35+AP35+T35+W35+AU35+AZ35</f>
        <v/>
      </c>
      <c r="D35" s="1" t="n"/>
      <c r="E35" s="1" t="n"/>
      <c r="F35" s="31" t="inlineStr">
        <is>
          <t>GST</t>
        </is>
      </c>
      <c r="G35" s="100" t="n"/>
      <c r="H35" s="90" t="n"/>
      <c r="I35" s="1" t="n"/>
      <c r="J35" s="35" t="inlineStr">
        <is>
          <t>GST</t>
        </is>
      </c>
      <c r="K35" s="51" t="n"/>
      <c r="L35" s="90" t="n"/>
      <c r="M35" s="1" t="n"/>
      <c r="N35" s="35" t="inlineStr">
        <is>
          <t>GST</t>
        </is>
      </c>
      <c r="O35" s="51" t="n"/>
      <c r="P35" s="90" t="n"/>
      <c r="Q35" s="1" t="n"/>
      <c r="R35" s="31" t="inlineStr">
        <is>
          <t>GST</t>
        </is>
      </c>
      <c r="S35" s="100" t="n"/>
      <c r="T35" s="90" t="n"/>
      <c r="U35" s="1" t="n"/>
      <c r="V35" s="35" t="inlineStr">
        <is>
          <t>GST</t>
        </is>
      </c>
      <c r="W35" s="51" t="n"/>
      <c r="X35" s="90" t="n"/>
      <c r="Y35" s="1" t="n"/>
      <c r="Z35" s="35" t="inlineStr">
        <is>
          <t>GST</t>
        </is>
      </c>
      <c r="AA35" s="51" t="n"/>
      <c r="AB35" s="90" t="n"/>
      <c r="AC35" s="1" t="n"/>
      <c r="AD35" s="1" t="n"/>
      <c r="AE35" s="35" t="inlineStr">
        <is>
          <t>GST</t>
        </is>
      </c>
      <c r="AF35" s="51" t="n"/>
      <c r="AG35" s="90" t="n"/>
      <c r="AH35" s="1" t="n"/>
      <c r="AI35" s="1" t="n"/>
      <c r="AJ35" s="31" t="inlineStr">
        <is>
          <t>GST</t>
        </is>
      </c>
      <c r="AK35" s="100" t="n"/>
      <c r="AL35" s="90" t="n"/>
      <c r="AM35" s="1" t="n"/>
      <c r="AN35" s="1" t="n"/>
      <c r="AO35" s="35" t="inlineStr">
        <is>
          <t>GST</t>
        </is>
      </c>
      <c r="AP35" s="51" t="n"/>
      <c r="AQ35" s="90" t="n"/>
      <c r="AR35" s="1" t="n"/>
      <c r="AS35" s="1" t="n"/>
      <c r="AT35" s="35" t="inlineStr">
        <is>
          <t>GST</t>
        </is>
      </c>
      <c r="AU35" s="51" t="n"/>
      <c r="AV35" s="90" t="n"/>
      <c r="AW35" s="1" t="n"/>
      <c r="AX35" s="1" t="n"/>
      <c r="AY35" s="35" t="inlineStr">
        <is>
          <t>GST</t>
        </is>
      </c>
      <c r="AZ35" s="51" t="n"/>
      <c r="BA35" s="90" t="n"/>
    </row>
    <row r="36" ht="30.75" customHeight="1" s="220">
      <c r="A36" s="1" t="n"/>
      <c r="B36" s="96" t="inlineStr">
        <is>
          <t>RENTAL</t>
        </is>
      </c>
      <c r="C36" s="97" t="n"/>
      <c r="D36" s="1" t="n"/>
      <c r="E36" s="1" t="n"/>
      <c r="F36" s="31" t="inlineStr">
        <is>
          <t>ICC-5</t>
        </is>
      </c>
      <c r="G36" s="100" t="n"/>
      <c r="H36" s="90" t="n"/>
      <c r="I36" s="1" t="n"/>
      <c r="J36" s="35" t="inlineStr">
        <is>
          <t>ICC-5</t>
        </is>
      </c>
      <c r="K36" s="51" t="n"/>
      <c r="L36" s="90" t="n"/>
      <c r="M36" s="1" t="n"/>
      <c r="N36" s="35" t="inlineStr">
        <is>
          <t>ICC-5</t>
        </is>
      </c>
      <c r="O36" s="51" t="n"/>
      <c r="P36" s="90" t="n"/>
      <c r="Q36" s="1" t="n"/>
      <c r="R36" s="31" t="n"/>
      <c r="S36" s="100" t="n"/>
      <c r="T36" s="90" t="n"/>
      <c r="U36" s="1" t="n"/>
      <c r="V36" s="35" t="inlineStr">
        <is>
          <t>ICC-5</t>
        </is>
      </c>
      <c r="W36" s="51" t="n"/>
      <c r="X36" s="90" t="n"/>
      <c r="Y36" s="1" t="n"/>
      <c r="Z36" s="35" t="inlineStr">
        <is>
          <t>ICC-5</t>
        </is>
      </c>
      <c r="AA36" s="51" t="n"/>
      <c r="AB36" s="90" t="n"/>
      <c r="AC36" s="1" t="n"/>
      <c r="AD36" s="1" t="n"/>
      <c r="AE36" s="35" t="inlineStr">
        <is>
          <t>ICC-5</t>
        </is>
      </c>
      <c r="AF36" s="51" t="n"/>
      <c r="AG36" s="90" t="n"/>
      <c r="AH36" s="1" t="n"/>
      <c r="AI36" s="1" t="n"/>
      <c r="AJ36" s="31" t="n"/>
      <c r="AK36" s="100" t="n"/>
      <c r="AL36" s="90" t="n"/>
      <c r="AM36" s="1" t="n"/>
      <c r="AN36" s="1" t="n"/>
      <c r="AO36" s="35" t="inlineStr">
        <is>
          <t>ICC-5</t>
        </is>
      </c>
      <c r="AP36" s="51" t="n"/>
      <c r="AQ36" s="90" t="n"/>
      <c r="AR36" s="1" t="n"/>
      <c r="AS36" s="1" t="n"/>
      <c r="AT36" s="35" t="inlineStr">
        <is>
          <t>ICC-5</t>
        </is>
      </c>
      <c r="AU36" s="51" t="n"/>
      <c r="AV36" s="90" t="n"/>
      <c r="AW36" s="1" t="n"/>
      <c r="AX36" s="1" t="n"/>
      <c r="AY36" s="35" t="inlineStr">
        <is>
          <t>ICC-5</t>
        </is>
      </c>
      <c r="AZ36" s="51" t="n"/>
      <c r="BA36" s="90" t="n"/>
    </row>
    <row r="37" ht="30.75" customHeight="1" s="220">
      <c r="A37" s="1" t="n"/>
      <c r="B37" s="96" t="inlineStr">
        <is>
          <t>LOAN INTEREST</t>
        </is>
      </c>
      <c r="C37" s="97" t="n"/>
      <c r="D37" s="1" t="n"/>
      <c r="E37" s="1" t="n"/>
      <c r="F37" s="31" t="inlineStr">
        <is>
          <t>PRODUCTS</t>
        </is>
      </c>
      <c r="G37" s="100" t="n"/>
      <c r="H37" s="90" t="n"/>
      <c r="I37" s="1" t="n"/>
      <c r="J37" s="35" t="inlineStr">
        <is>
          <t>PRODUCTS</t>
        </is>
      </c>
      <c r="K37" s="51" t="n"/>
      <c r="L37" s="90" t="n"/>
      <c r="M37" s="1" t="n"/>
      <c r="N37" s="35" t="inlineStr">
        <is>
          <t>PRODUCTS</t>
        </is>
      </c>
      <c r="O37" s="51" t="n"/>
      <c r="P37" s="90" t="n"/>
      <c r="Q37" s="1" t="n"/>
      <c r="R37" s="31" t="n"/>
      <c r="S37" s="100" t="n"/>
      <c r="T37" s="90" t="n"/>
      <c r="U37" s="1" t="n"/>
      <c r="V37" s="35" t="inlineStr">
        <is>
          <t>PRODUCTS</t>
        </is>
      </c>
      <c r="W37" s="51" t="n"/>
      <c r="X37" s="90" t="n"/>
      <c r="Y37" s="1" t="n"/>
      <c r="Z37" s="35" t="inlineStr">
        <is>
          <t>PRODUCTS</t>
        </is>
      </c>
      <c r="AA37" s="51" t="n"/>
      <c r="AB37" s="90" t="n"/>
      <c r="AC37" s="1" t="n"/>
      <c r="AD37" s="1" t="n"/>
      <c r="AE37" s="35" t="inlineStr">
        <is>
          <t>PRODUCTS</t>
        </is>
      </c>
      <c r="AF37" s="51" t="n"/>
      <c r="AG37" s="90" t="n"/>
      <c r="AH37" s="1" t="n"/>
      <c r="AI37" s="1" t="n"/>
      <c r="AJ37" s="31" t="n"/>
      <c r="AK37" s="100" t="n"/>
      <c r="AL37" s="90" t="n"/>
      <c r="AM37" s="1" t="n"/>
      <c r="AN37" s="1" t="n"/>
      <c r="AO37" s="35" t="inlineStr">
        <is>
          <t>PRODUCTS</t>
        </is>
      </c>
      <c r="AP37" s="51" t="n"/>
      <c r="AQ37" s="90" t="n"/>
      <c r="AR37" s="1" t="n"/>
      <c r="AS37" s="1" t="n"/>
      <c r="AT37" s="35" t="inlineStr">
        <is>
          <t>PRODUCTS</t>
        </is>
      </c>
      <c r="AU37" s="51" t="n"/>
      <c r="AV37" s="90" t="n"/>
      <c r="AW37" s="1" t="n"/>
      <c r="AX37" s="1" t="n"/>
      <c r="AY37" s="35" t="inlineStr">
        <is>
          <t>PRODUCTS</t>
        </is>
      </c>
      <c r="AZ37" s="51" t="n"/>
      <c r="BA37" s="90" t="n"/>
    </row>
    <row r="38" ht="30.75" customHeight="1" s="220">
      <c r="A38" s="1" t="n"/>
      <c r="B38" s="96" t="inlineStr">
        <is>
          <t xml:space="preserve">IRAS TAX </t>
        </is>
      </c>
      <c r="C38" s="97" t="n">
        <v>22590</v>
      </c>
      <c r="D38" s="1" t="inlineStr">
        <is>
          <t>NOV 2025 $45215</t>
        </is>
      </c>
      <c r="E38" s="1" t="n"/>
      <c r="F38" s="31" t="inlineStr">
        <is>
          <t>ORTHO (B+B)</t>
        </is>
      </c>
      <c r="G38" s="100" t="n"/>
      <c r="H38" s="90" t="n"/>
      <c r="I38" s="1" t="n"/>
      <c r="J38" s="35" t="inlineStr">
        <is>
          <t>ORTHO (B+B)</t>
        </is>
      </c>
      <c r="K38" s="51" t="n"/>
      <c r="L38" s="90" t="n"/>
      <c r="M38" s="1" t="n"/>
      <c r="N38" s="35" t="inlineStr">
        <is>
          <t>ORTHO (B+B)</t>
        </is>
      </c>
      <c r="O38" s="51" t="n"/>
      <c r="P38" s="90" t="n"/>
      <c r="Q38" s="1" t="n"/>
      <c r="R38" s="31" t="n"/>
      <c r="S38" s="100" t="n"/>
      <c r="T38" s="90" t="n"/>
      <c r="U38" s="1" t="n"/>
      <c r="V38" s="35" t="inlineStr">
        <is>
          <t>ORTHO (B+B)</t>
        </is>
      </c>
      <c r="W38" s="51" t="n"/>
      <c r="X38" s="90" t="n"/>
      <c r="Y38" s="1" t="n"/>
      <c r="Z38" s="35" t="inlineStr">
        <is>
          <t>ORTHO (B+B)</t>
        </is>
      </c>
      <c r="AA38" s="51" t="n"/>
      <c r="AB38" s="90" t="n"/>
      <c r="AC38" s="1" t="n"/>
      <c r="AD38" s="1" t="n"/>
      <c r="AE38" s="35" t="inlineStr">
        <is>
          <t>ORTHO (B+B)</t>
        </is>
      </c>
      <c r="AF38" s="51" t="n"/>
      <c r="AG38" s="90" t="n"/>
      <c r="AH38" s="1" t="n"/>
      <c r="AI38" s="1" t="n"/>
      <c r="AJ38" s="31" t="n"/>
      <c r="AK38" s="100" t="n"/>
      <c r="AL38" s="90" t="n"/>
      <c r="AM38" s="1" t="n"/>
      <c r="AN38" s="1" t="n"/>
      <c r="AO38" s="35" t="inlineStr">
        <is>
          <t>ORTHO (B+B)</t>
        </is>
      </c>
      <c r="AP38" s="51" t="n"/>
      <c r="AQ38" s="90" t="n"/>
      <c r="AR38" s="1" t="n"/>
      <c r="AS38" s="1" t="n"/>
      <c r="AT38" s="35" t="inlineStr">
        <is>
          <t>ORTHO (B+B)</t>
        </is>
      </c>
      <c r="AU38" s="51" t="n"/>
      <c r="AV38" s="90" t="n"/>
      <c r="AW38" s="1" t="n"/>
      <c r="AX38" s="1" t="n"/>
      <c r="AY38" s="35" t="inlineStr">
        <is>
          <t>ORTHO (B+B)</t>
        </is>
      </c>
      <c r="AZ38" s="51" t="n"/>
      <c r="BA38" s="90" t="n"/>
    </row>
    <row r="39" ht="30.75" customHeight="1" s="220">
      <c r="A39" s="1" t="n"/>
      <c r="B39" s="96" t="inlineStr">
        <is>
          <t>CK SECRETARIAL / ACCOUNTS SERVICES</t>
        </is>
      </c>
      <c r="C39" s="97" t="n"/>
      <c r="D39" s="1" t="inlineStr">
        <is>
          <t>DEC25-MAR26 $22590</t>
        </is>
      </c>
      <c r="E39" s="1" t="n"/>
      <c r="F39" s="31" t="inlineStr">
        <is>
          <t>ABUTMENTS</t>
        </is>
      </c>
      <c r="G39" s="100" t="n"/>
      <c r="H39" s="98" t="n"/>
      <c r="I39" s="1" t="n"/>
      <c r="J39" s="35" t="inlineStr">
        <is>
          <t>ABUTMENTS</t>
        </is>
      </c>
      <c r="K39" s="51" t="n"/>
      <c r="L39" s="90" t="n"/>
      <c r="M39" s="1" t="n"/>
      <c r="N39" s="35" t="inlineStr">
        <is>
          <t>ABUTMENTS</t>
        </is>
      </c>
      <c r="O39" s="51" t="n"/>
      <c r="P39" s="90" t="n"/>
      <c r="Q39" s="1" t="n"/>
      <c r="R39" s="31" t="n"/>
      <c r="S39" s="100" t="n"/>
      <c r="T39" s="90" t="n"/>
      <c r="U39" s="1" t="n"/>
      <c r="V39" s="35" t="inlineStr">
        <is>
          <t>ABUTMENTS</t>
        </is>
      </c>
      <c r="W39" s="51" t="n"/>
      <c r="X39" s="90" t="n"/>
      <c r="Y39" s="1" t="n"/>
      <c r="Z39" s="35" t="inlineStr">
        <is>
          <t>ABUTMENTS</t>
        </is>
      </c>
      <c r="AA39" s="51" t="n"/>
      <c r="AB39" s="90" t="n"/>
      <c r="AC39" s="1" t="n"/>
      <c r="AD39" s="1" t="n"/>
      <c r="AE39" s="35" t="inlineStr">
        <is>
          <t>ABUTMENTS</t>
        </is>
      </c>
      <c r="AF39" s="51" t="n"/>
      <c r="AG39" s="90" t="n"/>
      <c r="AH39" s="1" t="n"/>
      <c r="AI39" s="1" t="n"/>
      <c r="AJ39" s="31" t="n"/>
      <c r="AK39" s="100" t="n"/>
      <c r="AL39" s="90" t="n"/>
      <c r="AM39" s="1" t="n"/>
      <c r="AN39" s="1" t="n"/>
      <c r="AO39" s="35" t="inlineStr">
        <is>
          <t>ABUTMENTS</t>
        </is>
      </c>
      <c r="AP39" s="51" t="n"/>
      <c r="AQ39" s="90" t="n"/>
      <c r="AR39" s="1" t="n"/>
      <c r="AS39" s="1" t="n"/>
      <c r="AT39" s="35" t="inlineStr">
        <is>
          <t>ABUTMENTS</t>
        </is>
      </c>
      <c r="AU39" s="51" t="n"/>
      <c r="AV39" s="90" t="n"/>
      <c r="AW39" s="1" t="n"/>
      <c r="AX39" s="1" t="n"/>
      <c r="AY39" s="35" t="inlineStr">
        <is>
          <t>ABUTMENTS</t>
        </is>
      </c>
      <c r="AZ39" s="51" t="n"/>
      <c r="BA39" s="90" t="n"/>
    </row>
    <row r="40" ht="30.75" customHeight="1" s="220">
      <c r="A40" s="1" t="n"/>
      <c r="B40" s="96" t="inlineStr">
        <is>
          <t>TOWN COUNCIL</t>
        </is>
      </c>
      <c r="C40" s="97" t="n">
        <v>286.13</v>
      </c>
      <c r="D40" s="1" t="n"/>
      <c r="E40" s="1" t="n"/>
      <c r="F40" s="31" t="inlineStr">
        <is>
          <t>IMPLANT</t>
        </is>
      </c>
      <c r="G40" s="99" t="n"/>
      <c r="H40" s="90" t="n"/>
      <c r="I40" s="1" t="n"/>
      <c r="J40" s="35" t="inlineStr">
        <is>
          <t>IMPLANT</t>
        </is>
      </c>
      <c r="K40" s="51" t="n"/>
      <c r="L40" s="90" t="n"/>
      <c r="M40" s="1" t="n"/>
      <c r="N40" s="35" t="inlineStr">
        <is>
          <t>IMPLANT</t>
        </is>
      </c>
      <c r="O40" s="51" t="n"/>
      <c r="P40" s="90" t="n"/>
      <c r="Q40" s="1" t="n"/>
      <c r="R40" s="31" t="n"/>
      <c r="S40" s="100" t="n"/>
      <c r="T40" s="90" t="n"/>
      <c r="U40" s="1" t="n"/>
      <c r="V40" s="35" t="inlineStr">
        <is>
          <t>IMPLANT</t>
        </is>
      </c>
      <c r="W40" s="51" t="n"/>
      <c r="X40" s="90" t="n"/>
      <c r="Y40" s="1" t="n"/>
      <c r="Z40" s="35" t="inlineStr">
        <is>
          <t>IMPLANT</t>
        </is>
      </c>
      <c r="AA40" s="51" t="n"/>
      <c r="AB40" s="90" t="n"/>
      <c r="AC40" s="1" t="n"/>
      <c r="AD40" s="1" t="n"/>
      <c r="AE40" s="35" t="inlineStr">
        <is>
          <t>IMPLANT</t>
        </is>
      </c>
      <c r="AF40" s="51" t="n"/>
      <c r="AG40" s="90" t="n"/>
      <c r="AH40" s="1" t="n"/>
      <c r="AI40" s="1" t="n"/>
      <c r="AJ40" s="31" t="n"/>
      <c r="AK40" s="100" t="n"/>
      <c r="AL40" s="90" t="n"/>
      <c r="AM40" s="1" t="n"/>
      <c r="AN40" s="1" t="n"/>
      <c r="AO40" s="35" t="inlineStr">
        <is>
          <t>IMPLANT</t>
        </is>
      </c>
      <c r="AP40" s="51" t="n"/>
      <c r="AQ40" s="90" t="n"/>
      <c r="AR40" s="1" t="n"/>
      <c r="AS40" s="1" t="n"/>
      <c r="AT40" s="35" t="inlineStr">
        <is>
          <t>IMPLANT</t>
        </is>
      </c>
      <c r="AU40" s="51" t="n"/>
      <c r="AV40" s="90" t="n"/>
      <c r="AW40" s="1" t="n"/>
      <c r="AX40" s="1" t="n"/>
      <c r="AY40" s="35" t="inlineStr">
        <is>
          <t>IMPLANT</t>
        </is>
      </c>
      <c r="AZ40" s="51" t="n"/>
      <c r="BA40" s="90" t="n"/>
    </row>
    <row r="41" ht="30.75" customHeight="1" s="220">
      <c r="A41" s="1" t="n"/>
      <c r="B41" s="96" t="inlineStr">
        <is>
          <t>SERVICE &amp; CONSERVANCY CHARGES</t>
        </is>
      </c>
      <c r="C41" s="97" t="n">
        <v>800</v>
      </c>
      <c r="D41" s="1" t="n"/>
      <c r="E41" s="1" t="n"/>
      <c r="F41" s="31" t="inlineStr">
        <is>
          <t>SKY LAB</t>
        </is>
      </c>
      <c r="G41" s="100" t="n"/>
      <c r="H41" s="90" t="n"/>
      <c r="I41" s="1" t="n"/>
      <c r="J41" s="35" t="inlineStr">
        <is>
          <t>SKY LAB</t>
        </is>
      </c>
      <c r="K41" s="51" t="n"/>
      <c r="L41" s="90" t="n"/>
      <c r="M41" s="1" t="n"/>
      <c r="N41" s="35" t="inlineStr">
        <is>
          <t>SKY LAB</t>
        </is>
      </c>
      <c r="O41" s="51" t="n"/>
      <c r="P41" s="90" t="n"/>
      <c r="Q41" s="1" t="n"/>
      <c r="R41" s="31" t="n"/>
      <c r="S41" s="100" t="n"/>
      <c r="T41" s="90" t="n"/>
      <c r="U41" s="1" t="n"/>
      <c r="V41" s="35" t="inlineStr">
        <is>
          <t>SKY LAB</t>
        </is>
      </c>
      <c r="W41" s="51" t="n"/>
      <c r="X41" s="90" t="n"/>
      <c r="Y41" s="1" t="n"/>
      <c r="Z41" s="35" t="inlineStr">
        <is>
          <t>SKY LAB</t>
        </is>
      </c>
      <c r="AA41" s="51" t="n"/>
      <c r="AB41" s="90" t="n"/>
      <c r="AC41" s="1" t="n"/>
      <c r="AD41" s="1" t="n"/>
      <c r="AE41" s="35" t="inlineStr">
        <is>
          <t>SKY LAB</t>
        </is>
      </c>
      <c r="AF41" s="51" t="n"/>
      <c r="AG41" s="90" t="n"/>
      <c r="AH41" s="1" t="n"/>
      <c r="AI41" s="1" t="n"/>
      <c r="AJ41" s="31" t="n"/>
      <c r="AK41" s="100" t="n"/>
      <c r="AL41" s="90" t="n"/>
      <c r="AM41" s="1" t="n"/>
      <c r="AN41" s="1" t="n"/>
      <c r="AO41" s="35" t="inlineStr">
        <is>
          <t>SKY LAB</t>
        </is>
      </c>
      <c r="AP41" s="51" t="n"/>
      <c r="AQ41" s="90" t="n"/>
      <c r="AR41" s="1" t="n"/>
      <c r="AS41" s="1" t="n"/>
      <c r="AT41" s="35" t="inlineStr">
        <is>
          <t>SKY LAB</t>
        </is>
      </c>
      <c r="AU41" s="51" t="n"/>
      <c r="AV41" s="90" t="n"/>
      <c r="AW41" s="1" t="n"/>
      <c r="AX41" s="1" t="n"/>
      <c r="AY41" s="35" t="inlineStr">
        <is>
          <t>SKY LAB</t>
        </is>
      </c>
      <c r="AZ41" s="51" t="n"/>
      <c r="BA41" s="90" t="n"/>
    </row>
    <row r="42" ht="30.75" customHeight="1" s="220">
      <c r="A42" s="1" t="n"/>
      <c r="B42" s="96" t="inlineStr">
        <is>
          <t>SP</t>
        </is>
      </c>
      <c r="C42" s="97" t="n"/>
      <c r="D42" s="1" t="n"/>
      <c r="E42" s="1" t="n"/>
      <c r="F42" s="31" t="inlineStr">
        <is>
          <t>DIGICADCAM</t>
        </is>
      </c>
      <c r="G42" s="100" t="n"/>
      <c r="H42" s="90" t="n"/>
      <c r="I42" s="1" t="n"/>
      <c r="J42" s="35" t="inlineStr">
        <is>
          <t>DIGICADCAM</t>
        </is>
      </c>
      <c r="K42" s="51" t="n"/>
      <c r="L42" s="90" t="n"/>
      <c r="M42" s="1" t="n"/>
      <c r="N42" s="35" t="inlineStr">
        <is>
          <t>DIGICADCAM</t>
        </is>
      </c>
      <c r="O42" s="51" t="n"/>
      <c r="P42" s="90" t="n"/>
      <c r="Q42" s="1" t="n"/>
      <c r="R42" s="31" t="n"/>
      <c r="S42" s="100" t="n"/>
      <c r="T42" s="90" t="n"/>
      <c r="U42" s="1" t="n"/>
      <c r="V42" s="35" t="inlineStr">
        <is>
          <t>DIGICADCAM</t>
        </is>
      </c>
      <c r="W42" s="51" t="n"/>
      <c r="X42" s="90" t="n"/>
      <c r="Y42" s="1" t="n"/>
      <c r="Z42" s="35" t="inlineStr">
        <is>
          <t>DIGICADCAM</t>
        </is>
      </c>
      <c r="AA42" s="51" t="n"/>
      <c r="AB42" s="90" t="n"/>
      <c r="AC42" s="1" t="n"/>
      <c r="AD42" s="1" t="n"/>
      <c r="AE42" s="35" t="inlineStr">
        <is>
          <t>DIGICADCAM</t>
        </is>
      </c>
      <c r="AF42" s="51" t="n"/>
      <c r="AG42" s="90" t="n"/>
      <c r="AH42" s="1" t="n"/>
      <c r="AI42" s="1" t="n"/>
      <c r="AJ42" s="31" t="n"/>
      <c r="AK42" s="100" t="n"/>
      <c r="AL42" s="90" t="n"/>
      <c r="AM42" s="1" t="n"/>
      <c r="AN42" s="1" t="n"/>
      <c r="AO42" s="35" t="inlineStr">
        <is>
          <t>DIGICADCAM</t>
        </is>
      </c>
      <c r="AP42" s="51" t="n"/>
      <c r="AQ42" s="90" t="n"/>
      <c r="AR42" s="1" t="n"/>
      <c r="AS42" s="1" t="n"/>
      <c r="AT42" s="35" t="inlineStr">
        <is>
          <t>DIGICADCAM</t>
        </is>
      </c>
      <c r="AU42" s="51" t="n"/>
      <c r="AV42" s="90" t="n"/>
      <c r="AW42" s="1" t="n"/>
      <c r="AX42" s="1" t="n"/>
      <c r="AY42" s="35" t="inlineStr">
        <is>
          <t>DIGICADCAM</t>
        </is>
      </c>
      <c r="AZ42" s="51" t="n"/>
      <c r="BA42" s="90" t="n"/>
    </row>
    <row r="43" ht="30.75" customHeight="1" s="220">
      <c r="A43" s="1" t="n"/>
      <c r="B43" s="96" t="inlineStr">
        <is>
          <t>SINGTEL</t>
        </is>
      </c>
      <c r="C43" s="97" t="n"/>
      <c r="D43" s="1" t="n"/>
      <c r="E43" s="1" t="n"/>
      <c r="F43" s="31" t="inlineStr">
        <is>
          <t>OTHER LAB</t>
        </is>
      </c>
      <c r="G43" s="100" t="n"/>
      <c r="H43" s="101" t="n"/>
      <c r="I43" s="1" t="n"/>
      <c r="J43" s="35" t="inlineStr">
        <is>
          <t>OTHER LAB</t>
        </is>
      </c>
      <c r="K43" s="51" t="n"/>
      <c r="L43" s="101" t="n"/>
      <c r="M43" s="1" t="n"/>
      <c r="N43" s="35" t="inlineStr">
        <is>
          <t>OTHER LAB</t>
        </is>
      </c>
      <c r="O43" s="51" t="n"/>
      <c r="P43" s="101" t="n"/>
      <c r="Q43" s="1" t="n"/>
      <c r="R43" s="31" t="n"/>
      <c r="S43" s="100" t="n"/>
      <c r="T43" s="90" t="n"/>
      <c r="U43" s="1" t="n"/>
      <c r="V43" s="35" t="inlineStr">
        <is>
          <t>OTHER LAB</t>
        </is>
      </c>
      <c r="W43" s="51" t="n"/>
      <c r="X43" s="90" t="n"/>
      <c r="Y43" s="1" t="n"/>
      <c r="Z43" s="35" t="inlineStr">
        <is>
          <t>OTHER LAB</t>
        </is>
      </c>
      <c r="AA43" s="51" t="n"/>
      <c r="AB43" s="90" t="n"/>
      <c r="AC43" s="1" t="n"/>
      <c r="AD43" s="1" t="n"/>
      <c r="AE43" s="35" t="inlineStr">
        <is>
          <t>OTHER LAB</t>
        </is>
      </c>
      <c r="AF43" s="51" t="n"/>
      <c r="AG43" s="90" t="n"/>
      <c r="AH43" s="1" t="n"/>
      <c r="AI43" s="1" t="n"/>
      <c r="AJ43" s="31" t="n"/>
      <c r="AK43" s="100" t="n"/>
      <c r="AL43" s="90" t="n"/>
      <c r="AM43" s="1" t="n"/>
      <c r="AN43" s="1" t="n"/>
      <c r="AO43" s="35" t="inlineStr">
        <is>
          <t>OTHER LAB</t>
        </is>
      </c>
      <c r="AP43" s="51" t="n"/>
      <c r="AQ43" s="90" t="n"/>
      <c r="AR43" s="1" t="n"/>
      <c r="AS43" s="1" t="n"/>
      <c r="AT43" s="35" t="inlineStr">
        <is>
          <t>OTHER LAB</t>
        </is>
      </c>
      <c r="AU43" s="51" t="n"/>
      <c r="AV43" s="90" t="n"/>
      <c r="AW43" s="1" t="n"/>
      <c r="AX43" s="1" t="n"/>
      <c r="AY43" s="35" t="inlineStr">
        <is>
          <t>OTHER LAB</t>
        </is>
      </c>
      <c r="AZ43" s="51" t="n"/>
      <c r="BA43" s="90" t="n"/>
    </row>
    <row r="44" ht="30.75" customHeight="1" s="220">
      <c r="A44" s="1" t="n"/>
      <c r="B44" s="96" t="inlineStr">
        <is>
          <t>PRODUCTS</t>
        </is>
      </c>
      <c r="C44" s="97">
        <f>G37+K37+O37+S59+W37+AA37+AF37+AK59+AP37+AU37+AZ37</f>
        <v/>
      </c>
      <c r="D44" s="1" t="n"/>
      <c r="E44" s="1" t="n"/>
      <c r="F44" s="31" t="inlineStr">
        <is>
          <t>INVISALIGN</t>
        </is>
      </c>
      <c r="G44" s="100" t="n"/>
      <c r="H44" s="101" t="n"/>
      <c r="I44" s="1" t="n"/>
      <c r="J44" s="35" t="inlineStr">
        <is>
          <t>INVISALIGN</t>
        </is>
      </c>
      <c r="K44" s="51" t="n"/>
      <c r="L44" s="101" t="n"/>
      <c r="M44" s="1" t="n"/>
      <c r="N44" s="35" t="inlineStr">
        <is>
          <t>INVISALIGN</t>
        </is>
      </c>
      <c r="O44" s="51" t="n"/>
      <c r="P44" s="90" t="n"/>
      <c r="Q44" s="1" t="n"/>
      <c r="R44" s="31" t="n"/>
      <c r="S44" s="100" t="n"/>
      <c r="T44" s="90" t="n"/>
      <c r="U44" s="1" t="n"/>
      <c r="V44" s="35" t="inlineStr">
        <is>
          <t>INVISALIGN</t>
        </is>
      </c>
      <c r="W44" s="51" t="n"/>
      <c r="X44" s="101" t="n"/>
      <c r="Y44" s="1" t="n"/>
      <c r="Z44" s="35" t="inlineStr">
        <is>
          <t>INVISALIGN</t>
        </is>
      </c>
      <c r="AA44" s="51" t="n"/>
      <c r="AB44" s="90" t="n"/>
      <c r="AC44" s="1" t="n"/>
      <c r="AD44" s="1" t="n"/>
      <c r="AE44" s="35" t="inlineStr">
        <is>
          <t>INVISALIGN</t>
        </is>
      </c>
      <c r="AF44" s="51" t="n"/>
      <c r="AG44" s="90" t="n"/>
      <c r="AH44" s="1" t="n"/>
      <c r="AI44" s="1" t="n"/>
      <c r="AJ44" s="31" t="n"/>
      <c r="AK44" s="100" t="n"/>
      <c r="AL44" s="90" t="n"/>
      <c r="AM44" s="1" t="n"/>
      <c r="AN44" s="1" t="n"/>
      <c r="AO44" s="35" t="inlineStr">
        <is>
          <t>INVISALIGN</t>
        </is>
      </c>
      <c r="AP44" s="51" t="n"/>
      <c r="AQ44" s="90" t="n"/>
      <c r="AR44" s="1" t="n"/>
      <c r="AS44" s="1" t="n"/>
      <c r="AT44" s="35" t="inlineStr">
        <is>
          <t>INVISALIGN</t>
        </is>
      </c>
      <c r="AU44" s="51" t="n"/>
      <c r="AV44" s="90" t="n"/>
      <c r="AW44" s="1" t="n"/>
      <c r="AX44" s="1" t="n"/>
      <c r="AY44" s="35" t="inlineStr">
        <is>
          <t>INVISALIGN</t>
        </is>
      </c>
      <c r="AZ44" s="51" t="n"/>
      <c r="BA44" s="90" t="n"/>
    </row>
    <row r="45" ht="30.75" customHeight="1" s="220">
      <c r="A45" s="1" t="n"/>
      <c r="B45" s="96" t="inlineStr">
        <is>
          <t>ADMIN STAFF &amp; OFFICE RENTAL</t>
        </is>
      </c>
      <c r="C45" s="97" t="n"/>
      <c r="D45" s="1" t="n"/>
      <c r="E45" s="1" t="n"/>
      <c r="F45" s="31" t="inlineStr">
        <is>
          <t>TRANSFER (+)</t>
        </is>
      </c>
      <c r="G45" s="100" t="n"/>
      <c r="H45" s="98" t="n"/>
      <c r="I45" s="1" t="n"/>
      <c r="J45" s="35" t="inlineStr">
        <is>
          <t>TRANSFER (+)</t>
        </is>
      </c>
      <c r="K45" s="51" t="n"/>
      <c r="L45" s="98" t="n"/>
      <c r="M45" s="1" t="n"/>
      <c r="N45" s="35" t="inlineStr">
        <is>
          <t>TRANSFER (+)</t>
        </is>
      </c>
      <c r="O45" s="51" t="n"/>
      <c r="P45" s="90" t="n"/>
      <c r="Q45" s="1" t="n"/>
      <c r="R45" s="31" t="n"/>
      <c r="S45" s="100" t="n"/>
      <c r="T45" s="90" t="n"/>
      <c r="U45" s="1" t="n"/>
      <c r="V45" s="35" t="inlineStr">
        <is>
          <t>TRANSFER (+)</t>
        </is>
      </c>
      <c r="W45" s="51" t="n"/>
      <c r="X45" s="102" t="n"/>
      <c r="Y45" s="1" t="n"/>
      <c r="Z45" s="35" t="inlineStr">
        <is>
          <t>TRANSFER (+)</t>
        </is>
      </c>
      <c r="AA45" s="51" t="n"/>
      <c r="AB45" s="98" t="n"/>
      <c r="AC45" s="1" t="n"/>
      <c r="AD45" s="1" t="n"/>
      <c r="AE45" s="35" t="inlineStr">
        <is>
          <t>TRANSFER (+)</t>
        </is>
      </c>
      <c r="AF45" s="51" t="n"/>
      <c r="AG45" s="98" t="n"/>
      <c r="AH45" s="1" t="n"/>
      <c r="AI45" s="1" t="n"/>
      <c r="AJ45" s="31" t="n"/>
      <c r="AK45" s="100" t="n"/>
      <c r="AL45" s="90" t="n"/>
      <c r="AM45" s="1" t="n"/>
      <c r="AN45" s="1" t="n"/>
      <c r="AO45" s="35" t="inlineStr">
        <is>
          <t>TRANSFER (+)</t>
        </is>
      </c>
      <c r="AP45" s="51" t="n"/>
      <c r="AQ45" s="98" t="n"/>
      <c r="AR45" s="1" t="n"/>
      <c r="AS45" s="1" t="n"/>
      <c r="AT45" s="35" t="inlineStr">
        <is>
          <t>TRANSFER (+)</t>
        </is>
      </c>
      <c r="AU45" s="51" t="n"/>
      <c r="AV45" s="98" t="n"/>
      <c r="AW45" s="1" t="n"/>
      <c r="AX45" s="1" t="n"/>
      <c r="AY45" s="35" t="inlineStr">
        <is>
          <t>TRANSFER (+)</t>
        </is>
      </c>
      <c r="AZ45" s="51" t="n"/>
      <c r="BA45" s="98" t="n"/>
    </row>
    <row r="46" ht="30.75" customHeight="1" s="220">
      <c r="A46" s="1" t="n"/>
      <c r="B46" s="96" t="inlineStr">
        <is>
          <t>SUPPLIERS</t>
        </is>
      </c>
      <c r="C46" s="97" t="n"/>
      <c r="D46" s="1" t="n"/>
      <c r="E46" s="1" t="n"/>
      <c r="F46" s="31" t="inlineStr">
        <is>
          <t>TRANSFER (-)</t>
        </is>
      </c>
      <c r="G46" s="100" t="n"/>
      <c r="H46" s="98" t="n"/>
      <c r="I46" s="1" t="n"/>
      <c r="J46" s="35" t="inlineStr">
        <is>
          <t>TRANSFER (-)</t>
        </is>
      </c>
      <c r="K46" s="51" t="n"/>
      <c r="L46" s="90" t="n"/>
      <c r="M46" s="1" t="n"/>
      <c r="N46" s="35" t="inlineStr">
        <is>
          <t>TRANSFER (-)</t>
        </is>
      </c>
      <c r="O46" s="51" t="n"/>
      <c r="P46" s="90" t="n"/>
      <c r="Q46" s="1" t="n"/>
      <c r="R46" s="31" t="n"/>
      <c r="S46" s="100" t="n"/>
      <c r="T46" s="90" t="n"/>
      <c r="U46" s="1" t="n"/>
      <c r="V46" s="35" t="inlineStr">
        <is>
          <t>TRANSFER (-)</t>
        </is>
      </c>
      <c r="W46" s="51" t="n"/>
      <c r="X46" s="103" t="n"/>
      <c r="Y46" s="1" t="n"/>
      <c r="Z46" s="35" t="inlineStr">
        <is>
          <t>TRANSFER (-)</t>
        </is>
      </c>
      <c r="AA46" s="51" t="n"/>
      <c r="AB46" s="102" t="n"/>
      <c r="AC46" s="1" t="n"/>
      <c r="AD46" s="1" t="n"/>
      <c r="AE46" s="35" t="inlineStr">
        <is>
          <t>TRANSFER (-)</t>
        </is>
      </c>
      <c r="AF46" s="51" t="n"/>
      <c r="AG46" s="102" t="n"/>
      <c r="AH46" s="1" t="n"/>
      <c r="AI46" s="1" t="n"/>
      <c r="AJ46" s="31" t="n"/>
      <c r="AK46" s="100" t="n"/>
      <c r="AL46" s="90" t="n"/>
      <c r="AM46" s="1" t="n"/>
      <c r="AN46" s="1" t="n"/>
      <c r="AO46" s="35" t="inlineStr">
        <is>
          <t>TRANSFER (-)</t>
        </is>
      </c>
      <c r="AP46" s="51" t="n"/>
      <c r="AQ46" s="102" t="n"/>
      <c r="AR46" s="1" t="n"/>
      <c r="AS46" s="1" t="n"/>
      <c r="AT46" s="35" t="inlineStr">
        <is>
          <t>TRANSFER (-)</t>
        </is>
      </c>
      <c r="AU46" s="51" t="n"/>
      <c r="AV46" s="102" t="n"/>
      <c r="AW46" s="1" t="n"/>
      <c r="AX46" s="1" t="n"/>
      <c r="AY46" s="35" t="inlineStr">
        <is>
          <t>TRANSFER (-)</t>
        </is>
      </c>
      <c r="AZ46" s="51" t="n"/>
      <c r="BA46" s="102" t="n"/>
    </row>
    <row r="47" ht="30.75" customHeight="1" s="220">
      <c r="A47" s="1" t="n"/>
      <c r="B47" s="104" t="inlineStr">
        <is>
          <t>VOUCHER</t>
        </is>
      </c>
      <c r="C47" s="97">
        <f>B12</f>
        <v/>
      </c>
      <c r="D47" s="1" t="n"/>
      <c r="E47" s="1" t="n"/>
      <c r="F47" s="52" t="inlineStr">
        <is>
          <t>REFUND/REFERRAL</t>
        </is>
      </c>
      <c r="G47" s="105" t="n"/>
      <c r="H47" s="90" t="n"/>
      <c r="I47" s="1" t="n"/>
      <c r="J47" s="35" t="inlineStr">
        <is>
          <t>REFUND/REFERRAL</t>
        </is>
      </c>
      <c r="K47" s="51" t="n"/>
      <c r="L47" s="90" t="n"/>
      <c r="M47" s="1" t="n"/>
      <c r="N47" s="35" t="inlineStr">
        <is>
          <t>REFUND/REFERRAL</t>
        </is>
      </c>
      <c r="O47" s="51" t="n"/>
      <c r="P47" s="98" t="n"/>
      <c r="Q47" s="1" t="n"/>
      <c r="R47" s="31" t="n"/>
      <c r="S47" s="100" t="n"/>
      <c r="T47" s="90" t="n"/>
      <c r="U47" s="1" t="n"/>
      <c r="V47" s="35" t="inlineStr">
        <is>
          <t>REFUND</t>
        </is>
      </c>
      <c r="W47" s="51" t="n"/>
      <c r="X47" s="90" t="n"/>
      <c r="Y47" s="1" t="n"/>
      <c r="Z47" s="35" t="inlineStr">
        <is>
          <t>REFUND</t>
        </is>
      </c>
      <c r="AA47" s="51" t="n"/>
      <c r="AB47" s="90" t="n"/>
      <c r="AC47" s="1" t="n"/>
      <c r="AD47" s="1" t="n"/>
      <c r="AE47" s="35" t="inlineStr">
        <is>
          <t>REFUND</t>
        </is>
      </c>
      <c r="AF47" s="51" t="n"/>
      <c r="AG47" s="90" t="n"/>
      <c r="AH47" s="1" t="n"/>
      <c r="AI47" s="1" t="n"/>
      <c r="AJ47" s="31" t="n"/>
      <c r="AK47" s="100" t="n"/>
      <c r="AL47" s="90" t="n"/>
      <c r="AM47" s="1" t="n"/>
      <c r="AN47" s="1" t="n"/>
      <c r="AO47" s="35" t="inlineStr">
        <is>
          <t>REFUND</t>
        </is>
      </c>
      <c r="AP47" s="51" t="n"/>
      <c r="AQ47" s="90" t="n"/>
      <c r="AR47" s="1" t="n"/>
      <c r="AS47" s="1" t="n"/>
      <c r="AT47" s="35" t="inlineStr">
        <is>
          <t>REFUND</t>
        </is>
      </c>
      <c r="AU47" s="51" t="n"/>
      <c r="AV47" s="90" t="n"/>
      <c r="AW47" s="1" t="n"/>
      <c r="AX47" s="1" t="n"/>
      <c r="AY47" s="35" t="inlineStr">
        <is>
          <t>REFUND</t>
        </is>
      </c>
      <c r="AZ47" s="51" t="n"/>
      <c r="BA47" s="90" t="n"/>
    </row>
    <row r="48" ht="30.75" customHeight="1" s="220">
      <c r="A48" s="1" t="n"/>
      <c r="B48" s="96" t="inlineStr">
        <is>
          <t>PETTY CASH</t>
        </is>
      </c>
      <c r="C48" s="97" t="n"/>
      <c r="D48" s="1" t="n"/>
      <c r="E48" s="1" t="n"/>
      <c r="F48" s="52" t="inlineStr">
        <is>
          <t>VOUCHER</t>
        </is>
      </c>
      <c r="G48" s="105">
        <f>F12</f>
        <v/>
      </c>
      <c r="H48" s="90" t="n"/>
      <c r="I48" s="1" t="n"/>
      <c r="J48" s="35" t="inlineStr">
        <is>
          <t>VOUCHER</t>
        </is>
      </c>
      <c r="K48" s="51" t="n"/>
      <c r="L48" s="90" t="n"/>
      <c r="M48" s="1" t="n"/>
      <c r="N48" s="35" t="inlineStr">
        <is>
          <t>VOUCHER</t>
        </is>
      </c>
      <c r="O48" s="51" t="n"/>
      <c r="P48" s="90" t="n"/>
      <c r="Q48" s="1" t="n"/>
      <c r="R48" s="31" t="n"/>
      <c r="S48" s="100" t="n"/>
      <c r="T48" s="90" t="n"/>
      <c r="U48" s="1" t="n"/>
      <c r="V48" s="35" t="inlineStr">
        <is>
          <t>VOUCHER</t>
        </is>
      </c>
      <c r="W48" s="51" t="n"/>
      <c r="X48" s="90" t="n"/>
      <c r="Y48" s="1" t="n"/>
      <c r="Z48" s="35" t="inlineStr">
        <is>
          <t>VOUCHER</t>
        </is>
      </c>
      <c r="AA48" s="51" t="n"/>
      <c r="AB48" s="90" t="n"/>
      <c r="AC48" s="1" t="n"/>
      <c r="AD48" s="1" t="n"/>
      <c r="AE48" s="35" t="inlineStr">
        <is>
          <t>SEDATION</t>
        </is>
      </c>
      <c r="AF48" s="51" t="n"/>
      <c r="AG48" s="90" t="n"/>
      <c r="AH48" s="1" t="n"/>
      <c r="AI48" s="1" t="n"/>
      <c r="AJ48" s="31" t="n"/>
      <c r="AK48" s="100" t="n"/>
      <c r="AL48" s="90" t="n"/>
      <c r="AM48" s="1" t="n"/>
      <c r="AN48" s="1" t="n"/>
      <c r="AO48" s="35" t="inlineStr">
        <is>
          <t>SEDATION</t>
        </is>
      </c>
      <c r="AP48" s="51" t="n"/>
      <c r="AQ48" s="90" t="n"/>
      <c r="AR48" s="1" t="n"/>
      <c r="AS48" s="1" t="n"/>
      <c r="AT48" s="35" t="inlineStr">
        <is>
          <t>SEDATION</t>
        </is>
      </c>
      <c r="AU48" s="51" t="n"/>
      <c r="AV48" s="90" t="n"/>
      <c r="AW48" s="1" t="n"/>
      <c r="AX48" s="1" t="n"/>
      <c r="AY48" s="35" t="inlineStr">
        <is>
          <t>SEDATION</t>
        </is>
      </c>
      <c r="AZ48" s="51" t="n"/>
      <c r="BA48" s="90" t="n"/>
    </row>
    <row r="49" ht="30.75" customHeight="1" s="220">
      <c r="A49" s="1" t="n"/>
      <c r="B49" s="96" t="inlineStr">
        <is>
          <t>STOCKS / CONSUMABLES FEES</t>
        </is>
      </c>
      <c r="C49" s="97" t="n"/>
      <c r="D49" s="1" t="n"/>
      <c r="E49" s="1" t="n"/>
      <c r="F49" s="31" t="inlineStr">
        <is>
          <t>RETAINERS/BT/SPLINT</t>
        </is>
      </c>
      <c r="G49" s="105" t="n"/>
      <c r="H49" s="90" t="n"/>
      <c r="I49" s="1" t="n"/>
      <c r="J49" s="35" t="inlineStr">
        <is>
          <t>RETAINERS/BT/SPLINT</t>
        </is>
      </c>
      <c r="K49" s="51" t="n"/>
      <c r="L49" s="90" t="n"/>
      <c r="M49" s="1" t="n"/>
      <c r="N49" s="35" t="inlineStr">
        <is>
          <t>RETAINERS/BT/SPLINT</t>
        </is>
      </c>
      <c r="O49" s="51" t="n"/>
      <c r="P49" s="90" t="n"/>
      <c r="Q49" s="1" t="n"/>
      <c r="R49" s="31" t="n"/>
      <c r="S49" s="100" t="n"/>
      <c r="T49" s="90" t="n"/>
      <c r="U49" s="1" t="n"/>
      <c r="V49" s="35" t="inlineStr">
        <is>
          <t>RETAINERS/BT/SPLINT</t>
        </is>
      </c>
      <c r="W49" s="51" t="n"/>
      <c r="X49" s="90" t="n"/>
      <c r="Y49" s="1" t="n"/>
      <c r="Z49" s="35" t="inlineStr">
        <is>
          <t>RETAINERS/BT/SPLINT</t>
        </is>
      </c>
      <c r="AA49" s="51" t="n"/>
      <c r="AB49" s="90" t="n"/>
      <c r="AC49" s="1" t="n"/>
      <c r="AD49" s="1" t="n"/>
      <c r="AE49" s="35" t="inlineStr">
        <is>
          <t>RETAINERS/BT/SPLINT</t>
        </is>
      </c>
      <c r="AF49" s="51" t="n"/>
      <c r="AG49" s="90" t="n"/>
      <c r="AH49" s="1" t="n"/>
      <c r="AI49" s="1" t="n"/>
      <c r="AJ49" s="31" t="n"/>
      <c r="AK49" s="100" t="n"/>
      <c r="AL49" s="90" t="n"/>
      <c r="AM49" s="1" t="n"/>
      <c r="AN49" s="1" t="n"/>
      <c r="AO49" s="35" t="inlineStr">
        <is>
          <t>RETAINERS/BT/SPLINT</t>
        </is>
      </c>
      <c r="AP49" s="51" t="n"/>
      <c r="AQ49" s="90" t="n"/>
      <c r="AR49" s="1" t="n"/>
      <c r="AS49" s="1" t="n"/>
      <c r="AT49" s="35" t="inlineStr">
        <is>
          <t>RETAINERS/BT/SPLINT</t>
        </is>
      </c>
      <c r="AU49" s="51" t="n"/>
      <c r="AV49" s="90" t="n"/>
      <c r="AW49" s="1" t="n"/>
      <c r="AX49" s="1" t="n"/>
      <c r="AY49" s="35" t="inlineStr">
        <is>
          <t>RETAINERS/BT/SPLINT</t>
        </is>
      </c>
      <c r="AZ49" s="51" t="n"/>
      <c r="BA49" s="90" t="n"/>
    </row>
    <row r="50" ht="30.75" customHeight="1" s="220">
      <c r="A50" s="1" t="n"/>
      <c r="B50" s="96" t="inlineStr">
        <is>
          <t xml:space="preserve">MARKETING FEE </t>
        </is>
      </c>
      <c r="C50" s="97" t="n"/>
      <c r="D50" s="1" t="n"/>
      <c r="E50" s="1" t="n"/>
      <c r="F50" s="31" t="inlineStr">
        <is>
          <t>INSTALLMENT</t>
        </is>
      </c>
      <c r="G50" s="105" t="n"/>
      <c r="H50" s="106" t="n"/>
      <c r="I50" s="1" t="n"/>
      <c r="J50" s="35" t="inlineStr">
        <is>
          <t>INSTALLMENT</t>
        </is>
      </c>
      <c r="K50" s="51" t="n"/>
      <c r="L50" s="106" t="n"/>
      <c r="M50" s="1" t="n"/>
      <c r="N50" s="35" t="inlineStr">
        <is>
          <t>INSTALLMENT</t>
        </is>
      </c>
      <c r="O50" s="51" t="n"/>
      <c r="P50" s="90" t="n"/>
      <c r="Q50" s="1" t="n"/>
      <c r="R50" s="31" t="n"/>
      <c r="S50" s="100" t="n"/>
      <c r="T50" s="90" t="n"/>
      <c r="U50" s="1" t="n"/>
      <c r="V50" s="35" t="inlineStr">
        <is>
          <t>INSTALLMENT</t>
        </is>
      </c>
      <c r="W50" s="51" t="n"/>
      <c r="X50" s="90" t="n"/>
      <c r="Y50" s="1" t="n"/>
      <c r="Z50" s="35" t="inlineStr">
        <is>
          <t>INSTALLMENT</t>
        </is>
      </c>
      <c r="AA50" s="51" t="n"/>
      <c r="AB50" s="90" t="n"/>
      <c r="AC50" s="1" t="n"/>
      <c r="AD50" s="1" t="n"/>
      <c r="AE50" s="35" t="inlineStr">
        <is>
          <t>INSTALLMENT</t>
        </is>
      </c>
      <c r="AF50" s="51" t="n"/>
      <c r="AG50" s="90" t="n"/>
      <c r="AH50" s="1" t="n"/>
      <c r="AI50" s="1" t="n"/>
      <c r="AJ50" s="31" t="n"/>
      <c r="AK50" s="100" t="n"/>
      <c r="AL50" s="90" t="n"/>
      <c r="AM50" s="1" t="n"/>
      <c r="AN50" s="1" t="n"/>
      <c r="AO50" s="35" t="inlineStr">
        <is>
          <t>INSTALLMENT</t>
        </is>
      </c>
      <c r="AP50" s="51" t="n"/>
      <c r="AQ50" s="90" t="n"/>
      <c r="AR50" s="1" t="n"/>
      <c r="AS50" s="1" t="n"/>
      <c r="AT50" s="35" t="inlineStr">
        <is>
          <t>INSTALLMENT</t>
        </is>
      </c>
      <c r="AU50" s="51" t="n"/>
      <c r="AV50" s="90" t="n"/>
      <c r="AW50" s="1" t="n"/>
      <c r="AX50" s="1" t="n"/>
      <c r="AY50" s="35" t="inlineStr">
        <is>
          <t>INSTALLMENT</t>
        </is>
      </c>
      <c r="AZ50" s="51" t="n"/>
      <c r="BA50" s="90" t="n"/>
    </row>
    <row r="51" ht="30.75" customHeight="1" s="220">
      <c r="A51" s="1" t="n"/>
      <c r="B51" s="96" t="inlineStr">
        <is>
          <t>INVISALIGN</t>
        </is>
      </c>
      <c r="C51" s="97">
        <f>G44+K44+O44+S66+W44+AA44+AF44+AK66</f>
        <v/>
      </c>
      <c r="D51" s="1" t="n"/>
      <c r="E51" s="1" t="n"/>
      <c r="F51" s="35" t="inlineStr">
        <is>
          <t>DEDUCTIONS</t>
        </is>
      </c>
      <c r="G51" s="51" t="n"/>
      <c r="H51" s="101" t="n"/>
      <c r="I51" s="1" t="n"/>
      <c r="J51" s="35" t="inlineStr">
        <is>
          <t>DEDUCTIONS</t>
        </is>
      </c>
      <c r="K51" s="51" t="n"/>
      <c r="L51" s="90" t="n"/>
      <c r="M51" s="1" t="n"/>
      <c r="N51" s="35" t="inlineStr">
        <is>
          <t>DEDUCTIONS</t>
        </is>
      </c>
      <c r="O51" s="51" t="n"/>
      <c r="P51" s="90" t="n"/>
      <c r="Q51" s="1" t="n"/>
      <c r="R51" s="31" t="n"/>
      <c r="S51" s="100" t="n"/>
      <c r="T51" s="90" t="n"/>
      <c r="U51" s="1" t="n"/>
      <c r="V51" s="35" t="inlineStr">
        <is>
          <t>DEDUCTIONS</t>
        </is>
      </c>
      <c r="W51" s="51" t="n"/>
      <c r="X51" s="106" t="n"/>
      <c r="Y51" s="1" t="n"/>
      <c r="Z51" s="35" t="inlineStr">
        <is>
          <t>DEDUCTIONS</t>
        </is>
      </c>
      <c r="AA51" s="51" t="n"/>
      <c r="AB51" s="102" t="n"/>
      <c r="AC51" s="1" t="n"/>
      <c r="AD51" s="1" t="n"/>
      <c r="AE51" s="35" t="inlineStr">
        <is>
          <t>DEDUCTIONS</t>
        </is>
      </c>
      <c r="AF51" s="51" t="n"/>
      <c r="AG51" s="102" t="n"/>
      <c r="AH51" s="1" t="n"/>
      <c r="AI51" s="1" t="n"/>
      <c r="AJ51" s="31" t="n"/>
      <c r="AK51" s="100" t="n"/>
      <c r="AL51" s="90" t="n"/>
      <c r="AM51" s="1" t="n"/>
      <c r="AN51" s="1" t="n"/>
      <c r="AO51" s="35" t="inlineStr">
        <is>
          <t>DEDUCTIONS</t>
        </is>
      </c>
      <c r="AP51" s="51" t="n"/>
      <c r="AQ51" s="102" t="n"/>
      <c r="AR51" s="1" t="n"/>
      <c r="AS51" s="1" t="n"/>
      <c r="AT51" s="35" t="inlineStr">
        <is>
          <t>DEDUCTIONS</t>
        </is>
      </c>
      <c r="AU51" s="51" t="n"/>
      <c r="AV51" s="102" t="n"/>
      <c r="AW51" s="1" t="n"/>
      <c r="AX51" s="1" t="n"/>
      <c r="AY51" s="35" t="inlineStr">
        <is>
          <t>DEDUCTIONS</t>
        </is>
      </c>
      <c r="AZ51" s="51" t="n"/>
      <c r="BA51" s="102" t="n"/>
    </row>
    <row r="52" ht="30.75" customHeight="1" s="220">
      <c r="A52" s="1" t="n"/>
      <c r="B52" s="96" t="inlineStr">
        <is>
          <t>IMPLANT</t>
        </is>
      </c>
      <c r="C52" s="97">
        <f>G40+O40+S62+W40+AA40+AF40+K40+AK62+AP40+AU40+AZ40</f>
        <v/>
      </c>
      <c r="D52" s="1" t="n"/>
      <c r="E52" s="1" t="n"/>
      <c r="F52" s="107" t="n"/>
      <c r="G52" s="108" t="n"/>
      <c r="H52" s="1" t="n"/>
      <c r="I52" s="1" t="n"/>
      <c r="J52" s="107" t="n"/>
      <c r="K52" s="108" t="n"/>
      <c r="L52" s="1" t="n"/>
      <c r="M52" s="1" t="n"/>
      <c r="N52" s="107" t="n"/>
      <c r="O52" s="108" t="n"/>
      <c r="P52" s="1" t="n"/>
      <c r="Q52" s="1" t="n"/>
      <c r="R52" s="31" t="n"/>
      <c r="S52" s="100" t="n"/>
      <c r="T52" s="90" t="n"/>
      <c r="U52" s="1" t="n"/>
      <c r="V52" s="107" t="n"/>
      <c r="W52" s="108" t="n"/>
      <c r="X52" s="1" t="n"/>
      <c r="Y52" s="1" t="n"/>
      <c r="Z52" s="107" t="n"/>
      <c r="AA52" s="108" t="n"/>
      <c r="AB52" s="1" t="n"/>
      <c r="AC52" s="1" t="n"/>
      <c r="AD52" s="1" t="n"/>
      <c r="AE52" s="107" t="n"/>
      <c r="AF52" s="108" t="n"/>
      <c r="AG52" s="1" t="n"/>
      <c r="AH52" s="1" t="n"/>
      <c r="AI52" s="1" t="n"/>
      <c r="AJ52" s="31" t="n"/>
      <c r="AK52" s="100" t="n"/>
      <c r="AL52" s="90" t="n"/>
      <c r="AM52" s="1" t="n"/>
      <c r="AN52" s="1" t="n"/>
      <c r="AO52" s="107" t="n"/>
      <c r="AP52" s="108" t="n"/>
      <c r="AQ52" s="1" t="n"/>
      <c r="AR52" s="1" t="n"/>
      <c r="AS52" s="1" t="n"/>
      <c r="AT52" s="107" t="n"/>
      <c r="AU52" s="108" t="n"/>
      <c r="AV52" s="1" t="n"/>
      <c r="AW52" s="1" t="n"/>
      <c r="AX52" s="1" t="n"/>
      <c r="AY52" s="107" t="n"/>
      <c r="AZ52" s="108" t="n"/>
      <c r="BA52" s="1" t="n"/>
    </row>
    <row r="53" ht="30.75" customHeight="1" s="220">
      <c r="A53" s="1" t="n"/>
      <c r="B53" s="96" t="inlineStr">
        <is>
          <t>SKYLAB</t>
        </is>
      </c>
      <c r="C53" s="97">
        <f>G41+O41+W41+S63+K41+AA41+AF41+AK63+AP41+AU41+AZ41</f>
        <v/>
      </c>
      <c r="D53" s="1" t="n"/>
      <c r="E53" s="1" t="n"/>
      <c r="F53" s="61" t="inlineStr">
        <is>
          <t>TOTAL</t>
        </is>
      </c>
      <c r="G53" s="109">
        <f>F31-G34-G35-G37-G36-G38-G39-G40-G41-G42-G43-G44+G45-G46-G47-G48-G49-G50-G51</f>
        <v/>
      </c>
      <c r="H53" s="90" t="n"/>
      <c r="I53" s="1" t="n"/>
      <c r="J53" s="61" t="inlineStr">
        <is>
          <t>TOTAL</t>
        </is>
      </c>
      <c r="K53" s="109">
        <f>J31-K34-K35-K36-K37-K38-K39-K40-K41-K42-K43-K44+K45-K46-K47-K48-K49-K50-K51</f>
        <v/>
      </c>
      <c r="L53" s="90" t="n"/>
      <c r="M53" s="1" t="n"/>
      <c r="N53" s="61" t="inlineStr">
        <is>
          <t>TOTAL</t>
        </is>
      </c>
      <c r="O53" s="109">
        <f>N31-O34-O35-O36-O37-O38-O39-O40-O41-O42-O43-O44+O45-O46-O47-O48-O49-O50-O51</f>
        <v/>
      </c>
      <c r="P53" s="90" t="n"/>
      <c r="Q53" s="1" t="n"/>
      <c r="R53" s="31" t="n"/>
      <c r="S53" s="100" t="n"/>
      <c r="T53" s="90" t="n"/>
      <c r="U53" s="1" t="n"/>
      <c r="V53" s="61" t="inlineStr">
        <is>
          <t>TOTAL</t>
        </is>
      </c>
      <c r="W53" s="109">
        <f>V31-W34-W35-W36-W37-W38-W39-W40-W41-W42-W43-W44+W45-W46-W47-W48-W49-W50-W51</f>
        <v/>
      </c>
      <c r="X53" s="90" t="n"/>
      <c r="Y53" s="1" t="n"/>
      <c r="Z53" s="180" t="inlineStr">
        <is>
          <t>TOTAL</t>
        </is>
      </c>
      <c r="AA53" s="181">
        <f>Z31-AA34-AA35-AA36-AA37-AA38-AA39-AA40-AA41-AA42-AA43-AA44+AA45-AA46-AA47-AA48-AA49-AA50-AA51</f>
        <v/>
      </c>
      <c r="AB53" s="182" t="n"/>
      <c r="AC53" s="1" t="n"/>
      <c r="AD53" s="1" t="n"/>
      <c r="AE53" s="61" t="inlineStr">
        <is>
          <t>TOTAL</t>
        </is>
      </c>
      <c r="AF53" s="109">
        <f>AE31-AF34-AF35-AF36-AF37-AF38-AF39-AF40-AF41-AF42-AF43-AF44+AF45-AF46-AF47-AF48-AF49-AF50-AF51</f>
        <v/>
      </c>
      <c r="AG53" s="90" t="n"/>
      <c r="AH53" s="1" t="n"/>
      <c r="AI53" s="1" t="n"/>
      <c r="AJ53" s="31" t="n"/>
      <c r="AK53" s="100" t="n"/>
      <c r="AL53" s="90" t="n"/>
      <c r="AM53" s="1" t="n"/>
      <c r="AN53" s="1" t="n"/>
      <c r="AO53" s="61" t="inlineStr">
        <is>
          <t>TOTAL</t>
        </is>
      </c>
      <c r="AP53" s="109">
        <f>AO31-AP34-AP35-AP36-AP37-AP38-AP39-AP40-AP41-AP42-AP43-AP44+AP45-AP46-AP47-AP48-AP49-AP50-AP51</f>
        <v/>
      </c>
      <c r="AQ53" s="90" t="n"/>
      <c r="AR53" s="1" t="n"/>
      <c r="AS53" s="1" t="n"/>
      <c r="AT53" s="61" t="inlineStr">
        <is>
          <t>TOTAL</t>
        </is>
      </c>
      <c r="AU53" s="109">
        <f>AT31-AU34-AU35-AU36-AU37-AU38-AU39-AU40-AU41-AU42-AU43-AU44+AU45-AU46-AU47-AU48-AU49-AU50-AU51</f>
        <v/>
      </c>
      <c r="AV53" s="90" t="n"/>
      <c r="AW53" s="1" t="n"/>
      <c r="AX53" s="1" t="n"/>
      <c r="AY53" s="61" t="inlineStr">
        <is>
          <t>TOTAL</t>
        </is>
      </c>
      <c r="AZ53" s="109">
        <f>AY31-AZ34-AZ35-AZ36-AZ37-AZ38-AZ39-AZ40-AZ41-AZ42-AZ43-AZ44+AZ45-AZ46-AZ47-AZ48-AZ49-AZ50-AZ51</f>
        <v/>
      </c>
      <c r="BA53" s="90" t="n"/>
    </row>
    <row r="54" ht="30.75" customHeight="1" s="220">
      <c r="A54" s="1" t="n"/>
      <c r="B54" s="96" t="inlineStr">
        <is>
          <t>DIGICADCAM</t>
        </is>
      </c>
      <c r="C54" s="97">
        <f>G42+O42+W42+AA42+AF42+S64+K42+AK64+AP42+AU42+AZ42</f>
        <v/>
      </c>
      <c r="D54" s="1" t="n"/>
      <c r="E54" s="1" t="n"/>
      <c r="F54" s="110" t="inlineStr">
        <is>
          <t>DOCTORS FEE BEFORE DEDUCTION</t>
        </is>
      </c>
      <c r="G54" s="111">
        <f>G53/2+G55</f>
        <v/>
      </c>
      <c r="H54" s="90" t="n"/>
      <c r="I54" s="1" t="n"/>
      <c r="J54" s="110" t="inlineStr">
        <is>
          <t>DOCTORS FEE BEFORE DEDUCTION</t>
        </is>
      </c>
      <c r="K54" s="111">
        <f>K53/2+K55</f>
        <v/>
      </c>
      <c r="L54" s="90" t="n"/>
      <c r="M54" s="1" t="n"/>
      <c r="N54" s="112" t="inlineStr">
        <is>
          <t>DOCTORS PAY</t>
        </is>
      </c>
      <c r="O54" s="111">
        <f>(O53*50%)+O55</f>
        <v/>
      </c>
      <c r="P54" s="90" t="n"/>
      <c r="Q54" s="1" t="n"/>
      <c r="R54" s="31" t="n"/>
      <c r="S54" s="100" t="n"/>
      <c r="T54" s="90" t="n"/>
      <c r="U54" s="1" t="n"/>
      <c r="V54" s="112" t="inlineStr">
        <is>
          <t>DOCTORS PAY</t>
        </is>
      </c>
      <c r="W54" s="111">
        <f>(W53*45%)+W55</f>
        <v/>
      </c>
      <c r="X54" s="90" t="n"/>
      <c r="Y54" s="1" t="n"/>
      <c r="Z54" s="112" t="inlineStr">
        <is>
          <t>DOCTORS PAY</t>
        </is>
      </c>
      <c r="AA54" s="111">
        <f>(AA53*45%)+AA55</f>
        <v/>
      </c>
      <c r="AB54" s="90" t="n"/>
      <c r="AC54" s="1" t="n"/>
      <c r="AD54" s="1" t="n"/>
      <c r="AE54" s="112" t="inlineStr">
        <is>
          <t>DOCTORS PAY</t>
        </is>
      </c>
      <c r="AF54" s="111">
        <f>(AF53*50%)+AF55</f>
        <v/>
      </c>
      <c r="AG54" s="90" t="n"/>
      <c r="AH54" s="1" t="n"/>
      <c r="AI54" s="1" t="n"/>
      <c r="AJ54" s="31" t="n"/>
      <c r="AK54" s="100" t="n"/>
      <c r="AL54" s="90" t="n"/>
      <c r="AM54" s="1" t="n"/>
      <c r="AN54" s="1" t="n"/>
      <c r="AO54" s="112" t="inlineStr">
        <is>
          <t>DOCTORS PAY</t>
        </is>
      </c>
      <c r="AP54" s="111">
        <f>(AP53*45%)+AP55</f>
        <v/>
      </c>
      <c r="AQ54" s="90" t="n"/>
      <c r="AR54" s="1" t="n"/>
      <c r="AS54" s="1" t="n"/>
      <c r="AT54" s="112" t="inlineStr">
        <is>
          <t>DOCTORS PAY</t>
        </is>
      </c>
      <c r="AU54" s="111">
        <f>(AU53*45%)+AU55</f>
        <v/>
      </c>
      <c r="AV54" s="90" t="n"/>
      <c r="AW54" s="1" t="n"/>
      <c r="AX54" s="1" t="n"/>
      <c r="AY54" s="112" t="inlineStr">
        <is>
          <t>DOCTORS PAY</t>
        </is>
      </c>
      <c r="AZ54" s="111">
        <f>(AZ53*50%)+AZ55</f>
        <v/>
      </c>
      <c r="BA54" s="90" t="n"/>
    </row>
    <row r="55" ht="30.75" customHeight="1" s="220">
      <c r="A55" s="1" t="n"/>
      <c r="B55" s="113" t="inlineStr">
        <is>
          <t xml:space="preserve">OTHER LAB </t>
        </is>
      </c>
      <c r="C55" s="97">
        <f>G43+O43+K43+S65+W43+AA43+AF43+AK65+AP43+AU43+AZ43</f>
        <v/>
      </c>
      <c r="D55" s="1" t="n"/>
      <c r="E55" s="1" t="n"/>
      <c r="F55" s="50" t="inlineStr">
        <is>
          <t>ADJUSTMENTS (+)</t>
        </is>
      </c>
      <c r="G55" s="36" t="n"/>
      <c r="H55" s="98" t="n"/>
      <c r="I55" s="1" t="n"/>
      <c r="J55" s="50" t="inlineStr">
        <is>
          <t>ADJUSTMENTS (+)</t>
        </is>
      </c>
      <c r="K55" s="36" t="n"/>
      <c r="L55" s="90" t="n"/>
      <c r="M55" s="1" t="n"/>
      <c r="N55" s="50" t="inlineStr">
        <is>
          <t>ADJUSTMENTS (+)</t>
        </is>
      </c>
      <c r="O55" s="36" t="n"/>
      <c r="P55" s="90" t="n"/>
      <c r="Q55" s="1" t="n"/>
      <c r="R55" s="31" t="n"/>
      <c r="S55" s="100" t="n"/>
      <c r="T55" s="90" t="n"/>
      <c r="U55" s="1" t="n"/>
      <c r="V55" s="50" t="inlineStr">
        <is>
          <t>ADJUSTMENTS (+)</t>
        </is>
      </c>
      <c r="W55" s="36" t="n"/>
      <c r="X55" s="114" t="n"/>
      <c r="Y55" s="1" t="n"/>
      <c r="Z55" s="50" t="inlineStr">
        <is>
          <t>ADJUSTMENTS (+)</t>
        </is>
      </c>
      <c r="AA55" s="36" t="n"/>
      <c r="AB55" s="90" t="n"/>
      <c r="AC55" s="1" t="n"/>
      <c r="AD55" s="1" t="n"/>
      <c r="AE55" s="50" t="inlineStr">
        <is>
          <t>ADJUSTMENTS (+)</t>
        </is>
      </c>
      <c r="AF55" s="36" t="n"/>
      <c r="AG55" s="98" t="n"/>
      <c r="AH55" s="1" t="n"/>
      <c r="AI55" s="1" t="n"/>
      <c r="AJ55" s="31" t="n"/>
      <c r="AK55" s="100" t="n"/>
      <c r="AL55" s="90" t="n"/>
      <c r="AM55" s="1" t="n"/>
      <c r="AN55" s="1" t="n"/>
      <c r="AO55" s="50" t="inlineStr">
        <is>
          <t>ADJUSTMENTS (+)</t>
        </is>
      </c>
      <c r="AP55" s="36" t="n"/>
      <c r="AQ55" s="98" t="n"/>
      <c r="AR55" s="1" t="n"/>
      <c r="AS55" s="1" t="n"/>
      <c r="AT55" s="50" t="inlineStr">
        <is>
          <t>ADJUSTMENTS (+)</t>
        </is>
      </c>
      <c r="AU55" s="36" t="n"/>
      <c r="AV55" s="98" t="n"/>
      <c r="AW55" s="1" t="n"/>
      <c r="AX55" s="1" t="n"/>
      <c r="AY55" s="50" t="inlineStr">
        <is>
          <t>ADJUSTMENTS (+)</t>
        </is>
      </c>
      <c r="AZ55" s="36" t="n"/>
      <c r="BA55" s="98" t="n"/>
    </row>
    <row r="56" ht="82.5" customHeight="1" s="220">
      <c r="A56" s="1" t="n"/>
      <c r="B56" s="96" t="inlineStr">
        <is>
          <t>ORTHO (B+B)</t>
        </is>
      </c>
      <c r="C56" s="97">
        <f>G38+K38+O38+S60+W38+AA38+AF38+AK60</f>
        <v/>
      </c>
      <c r="D56" s="1" t="n"/>
      <c r="E56" s="1" t="n"/>
      <c r="F56" s="50" t="inlineStr">
        <is>
          <t>ADJUSTMENTS (-)</t>
        </is>
      </c>
      <c r="G56" s="115">
        <f>G61+G65</f>
        <v/>
      </c>
      <c r="H56" s="114" t="inlineStr">
        <is>
          <t>ADDN MARKETING&amp; MEDISAVE ADMIN</t>
        </is>
      </c>
      <c r="I56" s="1" t="n"/>
      <c r="J56" s="50" t="inlineStr">
        <is>
          <t>ADJUSTMENTS (-)</t>
        </is>
      </c>
      <c r="K56" s="115">
        <f>K61+K65</f>
        <v/>
      </c>
      <c r="L56" s="114" t="inlineStr">
        <is>
          <t>ADDN MARKETING</t>
        </is>
      </c>
      <c r="M56" s="1" t="n"/>
      <c r="N56" s="50" t="inlineStr">
        <is>
          <t>ADJUSTMENTS (-)</t>
        </is>
      </c>
      <c r="O56" s="115">
        <f>O61+O65</f>
        <v/>
      </c>
      <c r="P56" s="114" t="inlineStr">
        <is>
          <t>ADDN MARKETING &amp; MEDISAVE ADMIN</t>
        </is>
      </c>
      <c r="Q56" s="1" t="n"/>
      <c r="R56" s="31" t="n"/>
      <c r="S56" s="100" t="n"/>
      <c r="T56" s="90" t="n"/>
      <c r="U56" s="1" t="n"/>
      <c r="V56" s="50" t="inlineStr">
        <is>
          <t>ADJUSTMENTS (-)</t>
        </is>
      </c>
      <c r="W56" s="116">
        <f>W61+W65</f>
        <v/>
      </c>
      <c r="X56" s="114" t="inlineStr">
        <is>
          <t>ADDN MKTRG &amp; MEDISAVE ADMIN</t>
        </is>
      </c>
      <c r="Y56" s="1" t="n"/>
      <c r="Z56" s="50" t="inlineStr">
        <is>
          <t>ADJUSTMENTS (-)</t>
        </is>
      </c>
      <c r="AA56" s="115">
        <f>AA61+AA65</f>
        <v/>
      </c>
      <c r="AB56" s="102" t="inlineStr">
        <is>
          <t>MARKETING FEE &amp; MEDISAVE ADMIN</t>
        </is>
      </c>
      <c r="AC56" s="1" t="n"/>
      <c r="AD56" s="1" t="n"/>
      <c r="AE56" s="50" t="inlineStr">
        <is>
          <t>ADJUSTMENTS (-)</t>
        </is>
      </c>
      <c r="AF56" s="116">
        <f>AF61+AF65</f>
        <v/>
      </c>
      <c r="AG56" s="102" t="inlineStr">
        <is>
          <t>MARKETING FEE &amp; MEDISAVE ADMIN</t>
        </is>
      </c>
      <c r="AH56" s="1" t="n"/>
      <c r="AI56" s="1" t="n"/>
      <c r="AJ56" s="31" t="n"/>
      <c r="AK56" s="100" t="n"/>
      <c r="AL56" s="90" t="n"/>
      <c r="AM56" s="1" t="n"/>
      <c r="AN56" s="1" t="n"/>
      <c r="AO56" s="50" t="inlineStr">
        <is>
          <t>ADJUSTMENTS (-)</t>
        </is>
      </c>
      <c r="AP56" s="116">
        <f>AP61+AP65</f>
        <v/>
      </c>
      <c r="AQ56" s="102" t="inlineStr">
        <is>
          <t>MARKETING FEE &amp; MEDISAVE ADMIN</t>
        </is>
      </c>
      <c r="AR56" s="1" t="n"/>
      <c r="AS56" s="1" t="n"/>
      <c r="AT56" s="50" t="inlineStr">
        <is>
          <t>ADJUSTMENTS (-)</t>
        </is>
      </c>
      <c r="AU56" s="116">
        <f>AU61+AU65</f>
        <v/>
      </c>
      <c r="AV56" s="102" t="inlineStr">
        <is>
          <t>MARKETING FEE &amp; MEDISAVE ADMIN</t>
        </is>
      </c>
      <c r="AW56" s="1" t="n"/>
      <c r="AX56" s="1" t="n"/>
      <c r="AY56" s="50" t="inlineStr">
        <is>
          <t>ADJUSTMENTS (-)</t>
        </is>
      </c>
      <c r="AZ56" s="116">
        <f>AZ61+AZ65</f>
        <v/>
      </c>
      <c r="BA56" s="102" t="inlineStr">
        <is>
          <t>MARKETING FEE &amp; MEDISAVE ADMIN</t>
        </is>
      </c>
    </row>
    <row r="57" ht="30.75" customHeight="1" s="220">
      <c r="A57" s="1" t="n"/>
      <c r="B57" s="96" t="inlineStr">
        <is>
          <t>ABUTMENT</t>
        </is>
      </c>
      <c r="C57" s="97">
        <f>O39+G39+K39+S61+AA39+W39+AF39+AK61</f>
        <v/>
      </c>
      <c r="D57" s="1" t="n"/>
      <c r="E57" s="1" t="n"/>
      <c r="F57" s="50" t="inlineStr">
        <is>
          <t>NET PAY</t>
        </is>
      </c>
      <c r="G57" s="111">
        <f>G54-G56</f>
        <v/>
      </c>
      <c r="H57" s="90" t="n"/>
      <c r="I57" s="1" t="n"/>
      <c r="J57" s="50" t="inlineStr">
        <is>
          <t>NET PAY</t>
        </is>
      </c>
      <c r="K57" s="111">
        <f>K54-K56</f>
        <v/>
      </c>
      <c r="L57" s="90" t="n"/>
      <c r="M57" s="1" t="n"/>
      <c r="N57" s="50" t="inlineStr">
        <is>
          <t>NET PAY</t>
        </is>
      </c>
      <c r="O57" s="111">
        <f>O54-O56</f>
        <v/>
      </c>
      <c r="P57" s="90" t="n"/>
      <c r="Q57" s="1" t="n"/>
      <c r="R57" s="31" t="n"/>
      <c r="S57" s="100" t="n"/>
      <c r="T57" s="90" t="n"/>
      <c r="U57" s="1" t="n"/>
      <c r="V57" s="50" t="inlineStr">
        <is>
          <t>NET PAY</t>
        </is>
      </c>
      <c r="W57" s="111">
        <f>W54-W56</f>
        <v/>
      </c>
      <c r="X57" s="90" t="n"/>
      <c r="Y57" s="1" t="n"/>
      <c r="Z57" s="50" t="inlineStr">
        <is>
          <t>NET PAY</t>
        </is>
      </c>
      <c r="AA57" s="111">
        <f>AA54-AA56</f>
        <v/>
      </c>
      <c r="AB57" s="90" t="n"/>
      <c r="AC57" s="1" t="n"/>
      <c r="AD57" s="1" t="n"/>
      <c r="AE57" s="50" t="inlineStr">
        <is>
          <t>NET PAY</t>
        </is>
      </c>
      <c r="AF57" s="111">
        <f>AF54-AF56</f>
        <v/>
      </c>
      <c r="AG57" s="90" t="n"/>
      <c r="AH57" s="1" t="n"/>
      <c r="AI57" s="1" t="n"/>
      <c r="AJ57" s="31" t="n"/>
      <c r="AK57" s="100" t="n"/>
      <c r="AL57" s="90" t="n"/>
      <c r="AM57" s="1" t="n"/>
      <c r="AN57" s="1" t="n"/>
      <c r="AO57" s="50" t="inlineStr">
        <is>
          <t>NET PAY</t>
        </is>
      </c>
      <c r="AP57" s="111">
        <f>AP54-AP56</f>
        <v/>
      </c>
      <c r="AQ57" s="90" t="n"/>
      <c r="AR57" s="1" t="n"/>
      <c r="AS57" s="1" t="n"/>
      <c r="AT57" s="50" t="inlineStr">
        <is>
          <t>NET PAY</t>
        </is>
      </c>
      <c r="AU57" s="111">
        <f>AU54-AU56</f>
        <v/>
      </c>
      <c r="AV57" s="90" t="n"/>
      <c r="AW57" s="1" t="n"/>
      <c r="AX57" s="1" t="n"/>
      <c r="AY57" s="50" t="inlineStr">
        <is>
          <t>NET PAY</t>
        </is>
      </c>
      <c r="AZ57" s="111">
        <f>AZ54-AZ56</f>
        <v/>
      </c>
      <c r="BA57" s="90" t="n"/>
    </row>
    <row r="58" ht="30.75" customHeight="1" s="220">
      <c r="A58" s="1" t="inlineStr">
        <is>
          <t> </t>
        </is>
      </c>
      <c r="B58" s="96" t="inlineStr">
        <is>
          <t>REFUND / REFERRAL</t>
        </is>
      </c>
      <c r="C58" s="97">
        <f>G47+K47+O47+S69+W47+AA47+AF47+AK69</f>
        <v/>
      </c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31" t="inlineStr">
        <is>
          <t>ICC-5</t>
        </is>
      </c>
      <c r="S58" s="100" t="n"/>
      <c r="T58" s="90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31" t="inlineStr">
        <is>
          <t>ICC-5</t>
        </is>
      </c>
      <c r="AK58" s="100" t="n"/>
      <c r="AL58" s="90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</row>
    <row r="59" ht="30.75" customHeight="1" s="220">
      <c r="A59" s="1" t="n"/>
      <c r="B59" s="96" t="inlineStr">
        <is>
          <t>DOCTORS PAY</t>
        </is>
      </c>
      <c r="C59" s="97">
        <f>G54+K54+O54+W54+AA54+AF54+AP54+AU54+AZ54</f>
        <v/>
      </c>
      <c r="D59" s="1" t="n"/>
      <c r="E59" s="1" t="n"/>
      <c r="F59" s="117" t="inlineStr">
        <is>
          <t>MEDISAVE ADMIN FEE CALCULATION:</t>
        </is>
      </c>
      <c r="G59" s="1" t="n"/>
      <c r="H59" s="1" t="n"/>
      <c r="I59" s="1" t="n"/>
      <c r="J59" s="117" t="inlineStr">
        <is>
          <t>MEDISAVE ADMIN FEE CALCULATION:</t>
        </is>
      </c>
      <c r="K59" s="1" t="n"/>
      <c r="L59" s="1" t="n"/>
      <c r="M59" s="1" t="n"/>
      <c r="N59" s="117" t="inlineStr">
        <is>
          <t>MEDISAVE ADMIN FEE CALCULATION:</t>
        </is>
      </c>
      <c r="O59" s="1" t="n"/>
      <c r="P59" s="1" t="n"/>
      <c r="Q59" s="1" t="n"/>
      <c r="R59" s="31" t="inlineStr">
        <is>
          <t>PRODUCTS</t>
        </is>
      </c>
      <c r="S59" s="100" t="n"/>
      <c r="T59" s="90" t="n"/>
      <c r="U59" s="1" t="n"/>
      <c r="V59" s="117" t="inlineStr">
        <is>
          <t>MEDISAVE ADMIN FEE CALCULATION:</t>
        </is>
      </c>
      <c r="W59" s="1" t="n"/>
      <c r="X59" s="1" t="n"/>
      <c r="Y59" s="1" t="n"/>
      <c r="Z59" s="117" t="inlineStr">
        <is>
          <t>MEDISAVE ADMIN FEE CALCULATION:</t>
        </is>
      </c>
      <c r="AA59" s="1" t="n"/>
      <c r="AB59" s="1" t="n"/>
      <c r="AC59" s="1" t="n"/>
      <c r="AD59" s="1" t="n"/>
      <c r="AE59" s="117" t="inlineStr">
        <is>
          <t>MEDISAVE ADMIN FEE CALCULATION:</t>
        </is>
      </c>
      <c r="AF59" s="1" t="n"/>
      <c r="AG59" s="1" t="n"/>
      <c r="AH59" s="1" t="n"/>
      <c r="AI59" s="1" t="n"/>
      <c r="AJ59" s="31" t="inlineStr">
        <is>
          <t>PRODUCTS</t>
        </is>
      </c>
      <c r="AK59" s="100" t="n"/>
      <c r="AL59" s="90" t="n"/>
      <c r="AM59" s="1" t="n"/>
      <c r="AN59" s="1" t="n"/>
      <c r="AO59" s="117" t="inlineStr">
        <is>
          <t>MEDISAVE ADMIN FEE CALCULATION:</t>
        </is>
      </c>
      <c r="AP59" s="1" t="n"/>
      <c r="AQ59" s="1" t="n"/>
      <c r="AR59" s="1" t="n"/>
      <c r="AS59" s="1" t="n"/>
      <c r="AT59" s="117" t="inlineStr">
        <is>
          <t>MEDISAVE ADMIN FEE CALCULATION:</t>
        </is>
      </c>
      <c r="AU59" s="1" t="n"/>
      <c r="AV59" s="1" t="n"/>
      <c r="AW59" s="1" t="n"/>
      <c r="AX59" s="1" t="n"/>
      <c r="AY59" s="117" t="inlineStr">
        <is>
          <t>MEDISAVE ADMIN FEE CALCULATION:</t>
        </is>
      </c>
      <c r="AZ59" s="1" t="n"/>
      <c r="BA59" s="1" t="n"/>
    </row>
    <row r="60" ht="30.75" customHeight="1" s="220">
      <c r="A60" s="1" t="n"/>
      <c r="B60" s="96" t="inlineStr">
        <is>
          <t>NURSE PAY (BASIC PAY)</t>
        </is>
      </c>
      <c r="C60" s="97" t="n"/>
      <c r="D60" s="1" t="n"/>
      <c r="E60" s="1" t="n"/>
      <c r="F60" s="118" t="inlineStr">
        <is>
          <t>Medisave Claim</t>
        </is>
      </c>
      <c r="G60" s="119" t="inlineStr">
        <is>
          <t>Admin Fee</t>
        </is>
      </c>
      <c r="H60" s="119" t="inlineStr">
        <is>
          <t>REMARKS</t>
        </is>
      </c>
      <c r="I60" s="1" t="n"/>
      <c r="J60" s="118" t="inlineStr">
        <is>
          <t>Medisave Claim</t>
        </is>
      </c>
      <c r="K60" s="119" t="inlineStr">
        <is>
          <t>Admin Fee</t>
        </is>
      </c>
      <c r="L60" s="119" t="inlineStr">
        <is>
          <t>REMARKS</t>
        </is>
      </c>
      <c r="M60" s="1" t="n"/>
      <c r="N60" s="118" t="inlineStr">
        <is>
          <t>Medisave Claim</t>
        </is>
      </c>
      <c r="O60" s="119" t="inlineStr">
        <is>
          <t>Admin Fee</t>
        </is>
      </c>
      <c r="P60" s="119" t="inlineStr">
        <is>
          <t>REMARKS</t>
        </is>
      </c>
      <c r="Q60" s="1" t="n"/>
      <c r="R60" s="31" t="inlineStr">
        <is>
          <t>ORTHO (B+B)</t>
        </is>
      </c>
      <c r="S60" s="100" t="n"/>
      <c r="T60" s="90" t="n"/>
      <c r="U60" s="1" t="n"/>
      <c r="V60" s="118" t="inlineStr">
        <is>
          <t>Medisave Claim</t>
        </is>
      </c>
      <c r="W60" s="119" t="inlineStr">
        <is>
          <t>Admin Fee</t>
        </is>
      </c>
      <c r="X60" s="119" t="inlineStr">
        <is>
          <t>REMARKS</t>
        </is>
      </c>
      <c r="Y60" s="1" t="n"/>
      <c r="Z60" s="118" t="inlineStr">
        <is>
          <t>Medisave Claim</t>
        </is>
      </c>
      <c r="AA60" s="119" t="inlineStr">
        <is>
          <t>Admin Fee</t>
        </is>
      </c>
      <c r="AB60" s="119" t="inlineStr">
        <is>
          <t>REMARKS</t>
        </is>
      </c>
      <c r="AC60" s="1" t="n"/>
      <c r="AD60" s="1" t="n"/>
      <c r="AE60" s="118" t="inlineStr">
        <is>
          <t>Medisave Claim</t>
        </is>
      </c>
      <c r="AF60" s="119" t="inlineStr">
        <is>
          <t>Admin Fee</t>
        </is>
      </c>
      <c r="AG60" s="119" t="inlineStr">
        <is>
          <t>REMARKS</t>
        </is>
      </c>
      <c r="AH60" s="1" t="n"/>
      <c r="AI60" s="1" t="n"/>
      <c r="AJ60" s="31" t="inlineStr">
        <is>
          <t>ORTHO (B+B)</t>
        </is>
      </c>
      <c r="AK60" s="100" t="n"/>
      <c r="AL60" s="90" t="n"/>
      <c r="AM60" s="1" t="n"/>
      <c r="AN60" s="1" t="n"/>
      <c r="AO60" s="118" t="inlineStr">
        <is>
          <t>Medisave Claim</t>
        </is>
      </c>
      <c r="AP60" s="119" t="inlineStr">
        <is>
          <t>Admin Fee</t>
        </is>
      </c>
      <c r="AQ60" s="119" t="inlineStr">
        <is>
          <t>REMARKS</t>
        </is>
      </c>
      <c r="AR60" s="1" t="n"/>
      <c r="AS60" s="1" t="n"/>
      <c r="AT60" s="118" t="inlineStr">
        <is>
          <t>Medisave Claim</t>
        </is>
      </c>
      <c r="AU60" s="119" t="inlineStr">
        <is>
          <t>Admin Fee</t>
        </is>
      </c>
      <c r="AV60" s="119" t="inlineStr">
        <is>
          <t>REMARKS</t>
        </is>
      </c>
      <c r="AW60" s="1" t="n"/>
      <c r="AX60" s="1" t="n"/>
      <c r="AY60" s="118" t="inlineStr">
        <is>
          <t>Medisave Claim</t>
        </is>
      </c>
      <c r="AZ60" s="119" t="inlineStr">
        <is>
          <t>Admin Fee</t>
        </is>
      </c>
      <c r="BA60" s="119" t="inlineStr">
        <is>
          <t>REMARKS</t>
        </is>
      </c>
    </row>
    <row r="61" ht="30.75" customHeight="1" s="220">
      <c r="A61" s="1" t="n"/>
      <c r="B61" s="96" t="inlineStr">
        <is>
          <t>NURSE PAY (INCENTIVE)</t>
        </is>
      </c>
      <c r="C61" s="97" t="n"/>
      <c r="D61" s="1" t="n"/>
      <c r="E61" s="1" t="n"/>
      <c r="F61" s="120" t="n"/>
      <c r="G61" s="121">
        <f>F61*20</f>
        <v/>
      </c>
      <c r="H61" s="121" t="n"/>
      <c r="I61" s="1" t="n"/>
      <c r="J61" s="120" t="n"/>
      <c r="K61" s="121">
        <f>J61*20</f>
        <v/>
      </c>
      <c r="L61" s="121" t="n"/>
      <c r="M61" s="1" t="n"/>
      <c r="N61" s="120" t="n"/>
      <c r="O61" s="121">
        <f>N61*20</f>
        <v/>
      </c>
      <c r="P61" s="121" t="n"/>
      <c r="Q61" s="1" t="n"/>
      <c r="R61" s="31" t="inlineStr">
        <is>
          <t>ABUTMENTS</t>
        </is>
      </c>
      <c r="S61" s="100" t="n"/>
      <c r="T61" s="90" t="n"/>
      <c r="U61" s="1" t="n"/>
      <c r="V61" s="120" t="n"/>
      <c r="W61" s="121">
        <f>V61*20</f>
        <v/>
      </c>
      <c r="X61" s="121" t="n"/>
      <c r="Y61" s="1" t="n"/>
      <c r="Z61" s="120" t="n"/>
      <c r="AA61" s="121">
        <f>Z61*20</f>
        <v/>
      </c>
      <c r="AB61" s="121" t="n"/>
      <c r="AC61" s="1" t="n"/>
      <c r="AD61" s="1" t="n"/>
      <c r="AE61" s="120" t="n"/>
      <c r="AF61" s="121">
        <f>AE61*20</f>
        <v/>
      </c>
      <c r="AG61" s="121" t="n"/>
      <c r="AH61" s="1" t="n"/>
      <c r="AI61" s="1" t="n"/>
      <c r="AJ61" s="31" t="inlineStr">
        <is>
          <t>ABUTMENTS</t>
        </is>
      </c>
      <c r="AK61" s="100" t="n"/>
      <c r="AL61" s="90" t="n"/>
      <c r="AM61" s="1" t="n"/>
      <c r="AN61" s="1" t="n"/>
      <c r="AO61" s="120" t="n"/>
      <c r="AP61" s="121">
        <f>AO61*20</f>
        <v/>
      </c>
      <c r="AQ61" s="121" t="n"/>
      <c r="AR61" s="1" t="n"/>
      <c r="AS61" s="1" t="n"/>
      <c r="AT61" s="120" t="n"/>
      <c r="AU61" s="121">
        <f>AT61*20</f>
        <v/>
      </c>
      <c r="AV61" s="121" t="n"/>
      <c r="AW61" s="1" t="n"/>
      <c r="AX61" s="1" t="n"/>
      <c r="AY61" s="120" t="n"/>
      <c r="AZ61" s="121">
        <f>AY61*20</f>
        <v/>
      </c>
      <c r="BA61" s="121" t="n"/>
    </row>
    <row r="62" ht="30.75" customHeight="1" s="220">
      <c r="A62" s="1" t="n"/>
      <c r="B62" s="96" t="inlineStr">
        <is>
          <t>NURSE TRANSFER FEE</t>
        </is>
      </c>
      <c r="C62" s="97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31" t="inlineStr">
        <is>
          <t>IMPLANT</t>
        </is>
      </c>
      <c r="S62" s="100" t="n"/>
      <c r="T62" s="90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31" t="inlineStr">
        <is>
          <t>IMPLANT</t>
        </is>
      </c>
      <c r="AK62" s="100" t="n"/>
      <c r="AL62" s="90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</row>
    <row r="63" ht="30.75" customHeight="1" s="220">
      <c r="A63" s="1" t="inlineStr">
        <is>
          <t> </t>
        </is>
      </c>
      <c r="B63" s="96" t="inlineStr">
        <is>
          <t>TANK CULTURE</t>
        </is>
      </c>
      <c r="C63" s="97" t="n">
        <v>163.5</v>
      </c>
      <c r="D63" s="1" t="n"/>
      <c r="E63" s="1" t="n"/>
      <c r="F63" s="122" t="inlineStr">
        <is>
          <t>ADDITIONAL MARKETING:</t>
        </is>
      </c>
      <c r="G63" s="1" t="n"/>
      <c r="H63" s="1" t="n"/>
      <c r="I63" s="1" t="n"/>
      <c r="J63" s="122" t="inlineStr">
        <is>
          <t>ADDITIONAL MARKETING:</t>
        </is>
      </c>
      <c r="K63" s="1" t="n"/>
      <c r="L63" s="1" t="n"/>
      <c r="M63" s="1" t="n"/>
      <c r="N63" s="122" t="inlineStr">
        <is>
          <t>ADDITIONAL MARKETING:</t>
        </is>
      </c>
      <c r="O63" s="1" t="n"/>
      <c r="P63" s="1" t="n"/>
      <c r="Q63" s="1" t="n"/>
      <c r="R63" s="31" t="inlineStr">
        <is>
          <t>SKY LAB</t>
        </is>
      </c>
      <c r="S63" s="100" t="n"/>
      <c r="T63" s="90" t="n"/>
      <c r="U63" s="1" t="n"/>
      <c r="V63" s="122" t="inlineStr">
        <is>
          <t>ADDITIONAL MARKETING:</t>
        </is>
      </c>
      <c r="W63" s="1" t="n"/>
      <c r="X63" s="1" t="n"/>
      <c r="Y63" s="1" t="n"/>
      <c r="Z63" s="122" t="inlineStr">
        <is>
          <t>ADDITIONAL MARKETING:</t>
        </is>
      </c>
      <c r="AA63" s="1" t="n"/>
      <c r="AB63" s="1" t="n"/>
      <c r="AC63" s="1" t="n"/>
      <c r="AD63" s="1" t="n"/>
      <c r="AE63" s="122" t="inlineStr">
        <is>
          <t>ADDITIONAL MARKETING:</t>
        </is>
      </c>
      <c r="AF63" s="1" t="n"/>
      <c r="AG63" s="1" t="n"/>
      <c r="AH63" s="1" t="n"/>
      <c r="AI63" s="1" t="n"/>
      <c r="AJ63" s="31" t="inlineStr">
        <is>
          <t>SKY LAB</t>
        </is>
      </c>
      <c r="AK63" s="100" t="n"/>
      <c r="AL63" s="90" t="n"/>
      <c r="AM63" s="1" t="n"/>
      <c r="AN63" s="1" t="n"/>
      <c r="AO63" s="122" t="inlineStr">
        <is>
          <t>ADDITIONAL MARKETING:</t>
        </is>
      </c>
      <c r="AP63" s="1" t="n"/>
      <c r="AQ63" s="1" t="n"/>
      <c r="AR63" s="1" t="n"/>
      <c r="AS63" s="1" t="n"/>
      <c r="AT63" s="122" t="inlineStr">
        <is>
          <t>ADDITIONAL MARKETING:</t>
        </is>
      </c>
      <c r="AU63" s="1" t="n"/>
      <c r="AV63" s="1" t="n"/>
      <c r="AW63" s="1" t="n"/>
      <c r="AX63" s="1" t="n"/>
      <c r="AY63" s="122" t="inlineStr">
        <is>
          <t>ADDITIONAL MARKETING:</t>
        </is>
      </c>
      <c r="AZ63" s="1" t="n"/>
      <c r="BA63" s="1" t="n"/>
    </row>
    <row r="64" ht="30.75" customHeight="1" s="220">
      <c r="A64" s="1" t="inlineStr">
        <is>
          <t> </t>
        </is>
      </c>
      <c r="B64" s="96" t="inlineStr">
        <is>
          <t>SHARP BIN</t>
        </is>
      </c>
      <c r="C64" s="97" t="n"/>
      <c r="D64" s="1" t="n"/>
      <c r="E64" s="1" t="n"/>
      <c r="F64" s="123" t="inlineStr">
        <is>
          <t xml:space="preserve">MONTH </t>
        </is>
      </c>
      <c r="G64" s="124" t="inlineStr">
        <is>
          <t>AMOUNT</t>
        </is>
      </c>
      <c r="H64" s="124" t="inlineStr">
        <is>
          <t>REMARKS</t>
        </is>
      </c>
      <c r="I64" s="1" t="n"/>
      <c r="J64" s="123" t="inlineStr">
        <is>
          <t xml:space="preserve">MONTH </t>
        </is>
      </c>
      <c r="K64" s="124" t="inlineStr">
        <is>
          <t>AMOUNT</t>
        </is>
      </c>
      <c r="L64" s="124" t="inlineStr">
        <is>
          <t>REMARKS</t>
        </is>
      </c>
      <c r="M64" s="1" t="n"/>
      <c r="N64" s="123" t="inlineStr">
        <is>
          <t xml:space="preserve">MONTH </t>
        </is>
      </c>
      <c r="O64" s="124" t="inlineStr">
        <is>
          <t>AMOUNT</t>
        </is>
      </c>
      <c r="P64" s="124" t="inlineStr">
        <is>
          <t>REMARKS</t>
        </is>
      </c>
      <c r="Q64" s="1" t="n"/>
      <c r="R64" s="31" t="inlineStr">
        <is>
          <t>DIGICADCAM</t>
        </is>
      </c>
      <c r="S64" s="100" t="n"/>
      <c r="T64" s="90" t="n"/>
      <c r="U64" s="1" t="n"/>
      <c r="V64" s="123" t="inlineStr">
        <is>
          <t xml:space="preserve">MONTH </t>
        </is>
      </c>
      <c r="W64" s="124" t="inlineStr">
        <is>
          <t>AMOUNT</t>
        </is>
      </c>
      <c r="X64" s="124" t="inlineStr">
        <is>
          <t>REMARKS</t>
        </is>
      </c>
      <c r="Y64" s="1" t="n"/>
      <c r="Z64" s="123" t="inlineStr">
        <is>
          <t xml:space="preserve">MONTH </t>
        </is>
      </c>
      <c r="AA64" s="124" t="inlineStr">
        <is>
          <t>AMOUNT</t>
        </is>
      </c>
      <c r="AB64" s="124" t="inlineStr">
        <is>
          <t>REMARKS</t>
        </is>
      </c>
      <c r="AC64" s="1" t="n"/>
      <c r="AD64" s="1" t="n"/>
      <c r="AE64" s="123" t="inlineStr">
        <is>
          <t xml:space="preserve">MONTH </t>
        </is>
      </c>
      <c r="AF64" s="124" t="inlineStr">
        <is>
          <t>AMOUNT</t>
        </is>
      </c>
      <c r="AG64" s="124" t="inlineStr">
        <is>
          <t>REMARKS</t>
        </is>
      </c>
      <c r="AH64" s="1" t="n"/>
      <c r="AI64" s="1" t="n"/>
      <c r="AJ64" s="31" t="inlineStr">
        <is>
          <t>DIGICADCAM</t>
        </is>
      </c>
      <c r="AK64" s="100" t="n"/>
      <c r="AL64" s="90" t="n"/>
      <c r="AM64" s="1" t="n"/>
      <c r="AN64" s="1" t="n"/>
      <c r="AO64" s="123" t="inlineStr">
        <is>
          <t xml:space="preserve">MONTH </t>
        </is>
      </c>
      <c r="AP64" s="124" t="inlineStr">
        <is>
          <t>AMOUNT</t>
        </is>
      </c>
      <c r="AQ64" s="124" t="inlineStr">
        <is>
          <t>REMARKS</t>
        </is>
      </c>
      <c r="AR64" s="1" t="n"/>
      <c r="AS64" s="1" t="n"/>
      <c r="AT64" s="123" t="inlineStr">
        <is>
          <t xml:space="preserve">MONTH </t>
        </is>
      </c>
      <c r="AU64" s="124" t="inlineStr">
        <is>
          <t>AMOUNT</t>
        </is>
      </c>
      <c r="AV64" s="124" t="inlineStr">
        <is>
          <t>REMARKS</t>
        </is>
      </c>
      <c r="AW64" s="1" t="n"/>
      <c r="AX64" s="1" t="n"/>
      <c r="AY64" s="123" t="inlineStr">
        <is>
          <t xml:space="preserve">MONTH </t>
        </is>
      </c>
      <c r="AZ64" s="124" t="inlineStr">
        <is>
          <t>AMOUNT</t>
        </is>
      </c>
      <c r="BA64" s="124" t="inlineStr">
        <is>
          <t>REMARKS</t>
        </is>
      </c>
    </row>
    <row r="65" ht="41.25" customHeight="1" s="220">
      <c r="A65" s="1" t="n"/>
      <c r="B65" s="96" t="inlineStr">
        <is>
          <t>COURIER</t>
        </is>
      </c>
      <c r="C65" s="97" t="n">
        <v>129.44</v>
      </c>
      <c r="D65" s="1" t="n"/>
      <c r="E65" s="1" t="n"/>
      <c r="F65" s="125">
        <f>B3</f>
        <v/>
      </c>
      <c r="G65" s="128" t="n"/>
      <c r="H65" s="127" t="n"/>
      <c r="I65" s="1" t="n"/>
      <c r="J65" s="125">
        <f>F65</f>
        <v/>
      </c>
      <c r="K65" s="128" t="n">
        <v>60</v>
      </c>
      <c r="L65" s="127" t="n"/>
      <c r="M65" s="1" t="n"/>
      <c r="N65" s="125">
        <f>F65</f>
        <v/>
      </c>
      <c r="O65" s="128" t="n">
        <v>300</v>
      </c>
      <c r="P65" s="127" t="n"/>
      <c r="Q65" s="1" t="n"/>
      <c r="R65" s="31" t="inlineStr">
        <is>
          <t>OTHER LAB</t>
        </is>
      </c>
      <c r="S65" s="100" t="n"/>
      <c r="T65" s="90" t="n"/>
      <c r="U65" s="1" t="n"/>
      <c r="V65" s="125">
        <f>V3</f>
        <v/>
      </c>
      <c r="W65" s="128" t="n">
        <v>240</v>
      </c>
      <c r="X65" s="127" t="n"/>
      <c r="Y65" s="1" t="n"/>
      <c r="Z65" s="125">
        <f>V65</f>
        <v/>
      </c>
      <c r="AA65" s="128" t="n">
        <v>120</v>
      </c>
      <c r="AB65" s="127" t="n"/>
      <c r="AC65" s="1" t="n"/>
      <c r="AD65" s="1" t="n"/>
      <c r="AE65" s="125">
        <f>AE3</f>
        <v/>
      </c>
      <c r="AF65" s="128" t="n"/>
      <c r="AG65" s="127" t="n"/>
      <c r="AH65" s="1" t="n"/>
      <c r="AI65" s="1" t="n"/>
      <c r="AJ65" s="31" t="inlineStr">
        <is>
          <t>OTHER LAB</t>
        </is>
      </c>
      <c r="AK65" s="100" t="n"/>
      <c r="AL65" s="90" t="n"/>
      <c r="AM65" s="1" t="n"/>
      <c r="AN65" s="1" t="n"/>
      <c r="AO65" s="125">
        <f>AO3</f>
        <v/>
      </c>
      <c r="AP65" s="128" t="n">
        <v>180</v>
      </c>
      <c r="AQ65" s="127" t="n"/>
      <c r="AR65" s="1" t="n"/>
      <c r="AS65" s="1" t="n"/>
      <c r="AT65" s="125">
        <f>AT3</f>
        <v/>
      </c>
      <c r="AU65" s="128" t="n">
        <v>120</v>
      </c>
      <c r="AV65" s="127" t="n"/>
      <c r="AW65" s="1" t="n"/>
      <c r="AX65" s="1" t="n"/>
      <c r="AY65" s="125">
        <f>AY3</f>
        <v/>
      </c>
      <c r="AZ65" s="128" t="n">
        <v>180</v>
      </c>
      <c r="BA65" s="127" t="n"/>
    </row>
    <row r="66" ht="36" customHeight="1" s="220">
      <c r="A66" s="1" t="n"/>
      <c r="B66" s="96" t="inlineStr">
        <is>
          <t>REPAIR &amp; MAINTENANCE</t>
        </is>
      </c>
      <c r="C66" s="97" t="n"/>
      <c r="D66" s="2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31" t="inlineStr">
        <is>
          <t>INVISALIGN</t>
        </is>
      </c>
      <c r="S66" s="100" t="n"/>
      <c r="T66" s="90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31" t="inlineStr">
        <is>
          <t>INVISALIGN</t>
        </is>
      </c>
      <c r="AK66" s="100" t="n"/>
      <c r="AL66" s="90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</row>
    <row r="67" ht="33" customHeight="1" s="220">
      <c r="A67" s="1" t="n"/>
      <c r="B67" s="131" t="inlineStr">
        <is>
          <t>MOM LEVY</t>
        </is>
      </c>
      <c r="C67" s="130" t="n">
        <v>1985.39</v>
      </c>
      <c r="D67" s="1" t="n"/>
      <c r="E67" s="1" t="n"/>
      <c r="F67" s="122" t="inlineStr">
        <is>
          <t>OTHERS: (CPF,PERSONAL REFUND, COURSEFEE)</t>
        </is>
      </c>
      <c r="G67" s="1" t="n"/>
      <c r="H67" s="1" t="n"/>
      <c r="I67" s="1" t="n"/>
      <c r="J67" s="122" t="inlineStr">
        <is>
          <t>OTHERS: (CPF,PERSONAL REFUND, COURSEFEE)</t>
        </is>
      </c>
      <c r="K67" s="1" t="n"/>
      <c r="L67" s="1" t="n"/>
      <c r="M67" s="1" t="n"/>
      <c r="N67" s="122" t="inlineStr">
        <is>
          <t>OTHERS: (CPF,PERSONAL REFUND, COURSEFEE)</t>
        </is>
      </c>
      <c r="O67" s="1" t="n"/>
      <c r="P67" s="1" t="n"/>
      <c r="Q67" s="1" t="n"/>
      <c r="R67" s="31" t="inlineStr">
        <is>
          <t>TRANSFER (+)</t>
        </is>
      </c>
      <c r="S67" s="100" t="n"/>
      <c r="T67" s="90" t="n"/>
      <c r="U67" s="1" t="n"/>
      <c r="V67" s="122" t="inlineStr">
        <is>
          <t>OTHERS: (CPF,PERSONAL REFUND, COURSEFEE)</t>
        </is>
      </c>
      <c r="W67" s="1" t="n"/>
      <c r="X67" s="1" t="n"/>
      <c r="Y67" s="1" t="n"/>
      <c r="Z67" s="122" t="inlineStr">
        <is>
          <t>OTHERS: (CPF,PERSONAL REFUND, COURSEFEE)</t>
        </is>
      </c>
      <c r="AA67" s="1" t="n"/>
      <c r="AB67" s="1" t="n"/>
      <c r="AC67" s="1" t="n"/>
      <c r="AD67" s="1" t="n"/>
      <c r="AE67" s="122" t="inlineStr">
        <is>
          <t>OTHERS: (CPF,PERSONAL REFUND, COURSEFEE)</t>
        </is>
      </c>
      <c r="AF67" s="1" t="n"/>
      <c r="AG67" s="1" t="n"/>
      <c r="AH67" s="1" t="n"/>
      <c r="AI67" s="1" t="n"/>
      <c r="AJ67" s="31" t="inlineStr">
        <is>
          <t>TRANSFER (+)</t>
        </is>
      </c>
      <c r="AK67" s="100" t="n"/>
      <c r="AL67" s="98" t="n"/>
      <c r="AM67" s="1" t="n"/>
      <c r="AN67" s="1" t="n"/>
      <c r="AO67" s="122" t="inlineStr">
        <is>
          <t>OTHERS: (CPF,PERSONAL REFUND, COURSEFEE)</t>
        </is>
      </c>
      <c r="AP67" s="1" t="n"/>
      <c r="AQ67" s="1" t="n"/>
      <c r="AR67" s="1" t="n"/>
      <c r="AS67" s="1" t="n"/>
      <c r="AT67" s="122" t="inlineStr">
        <is>
          <t>OTHERS: (CPF,PERSONAL REFUND, COURSEFEE)</t>
        </is>
      </c>
      <c r="AU67" s="1" t="n"/>
      <c r="AV67" s="1" t="n"/>
      <c r="AW67" s="1" t="n"/>
      <c r="AX67" s="1" t="n"/>
      <c r="AY67" s="122" t="inlineStr">
        <is>
          <t>OTHERS: (CPF,PERSONAL REFUND, COURSEFEE)</t>
        </is>
      </c>
      <c r="AZ67" s="1" t="n"/>
      <c r="BA67" s="1" t="n"/>
    </row>
    <row r="68" ht="33.75" customHeight="1" s="220">
      <c r="A68" s="1" t="n"/>
      <c r="B68" s="90" t="n"/>
      <c r="C68" s="90" t="n"/>
      <c r="D68" s="1" t="n"/>
      <c r="E68" s="1" t="n"/>
      <c r="F68" s="122" t="n"/>
      <c r="G68" s="1" t="n"/>
      <c r="H68" s="1" t="n"/>
      <c r="I68" s="1" t="n"/>
      <c r="J68" s="122" t="n"/>
      <c r="K68" s="1" t="n"/>
      <c r="L68" s="1" t="n"/>
      <c r="M68" s="1" t="n"/>
      <c r="N68" s="122" t="n"/>
      <c r="O68" s="1" t="n"/>
      <c r="P68" s="1" t="n"/>
      <c r="Q68" s="1" t="n"/>
      <c r="R68" s="31" t="inlineStr">
        <is>
          <t>TRANSFER (-)</t>
        </is>
      </c>
      <c r="S68" s="100" t="n"/>
      <c r="T68" s="90" t="n"/>
      <c r="U68" s="1" t="n"/>
      <c r="V68" s="122" t="n"/>
      <c r="W68" s="1" t="n"/>
      <c r="X68" s="1" t="n"/>
      <c r="Y68" s="1" t="n"/>
      <c r="Z68" s="122" t="n"/>
      <c r="AA68" s="1" t="n"/>
      <c r="AB68" s="1" t="n"/>
      <c r="AC68" s="1" t="n"/>
      <c r="AD68" s="1" t="n"/>
      <c r="AE68" s="122" t="n"/>
      <c r="AF68" s="1" t="n"/>
      <c r="AG68" s="1" t="n"/>
      <c r="AH68" s="1" t="n"/>
      <c r="AI68" s="1" t="n"/>
      <c r="AJ68" s="31" t="inlineStr">
        <is>
          <t>TRANSFER (-)</t>
        </is>
      </c>
      <c r="AK68" s="100" t="n"/>
      <c r="AL68" s="102" t="n"/>
      <c r="AM68" s="1" t="n"/>
      <c r="AN68" s="1" t="n"/>
      <c r="AO68" s="122" t="n"/>
      <c r="AP68" s="1" t="n"/>
      <c r="AQ68" s="1" t="n"/>
      <c r="AR68" s="1" t="n"/>
      <c r="AS68" s="1" t="n"/>
      <c r="AT68" s="122" t="n"/>
      <c r="AU68" s="1" t="n"/>
      <c r="AV68" s="1" t="n"/>
      <c r="AW68" s="1" t="n"/>
      <c r="AX68" s="1" t="n"/>
      <c r="AY68" s="122" t="n"/>
      <c r="AZ68" s="1" t="n"/>
      <c r="BA68" s="1" t="n"/>
    </row>
    <row r="69" ht="45" customHeight="1" s="220">
      <c r="A69" s="1" t="n"/>
      <c r="B69" s="90" t="n"/>
      <c r="C69" s="90" t="n"/>
      <c r="D69" s="1" t="n"/>
      <c r="E69" s="1" t="n"/>
      <c r="F69" s="134" t="inlineStr">
        <is>
          <t>DETAILS</t>
        </is>
      </c>
      <c r="G69" s="134" t="inlineStr">
        <is>
          <t>AMOUNT</t>
        </is>
      </c>
      <c r="H69" s="127" t="n"/>
      <c r="I69" s="1" t="n"/>
      <c r="J69" s="134" t="inlineStr">
        <is>
          <t>DETAILS</t>
        </is>
      </c>
      <c r="K69" s="134" t="inlineStr">
        <is>
          <t>AMOUNT</t>
        </is>
      </c>
      <c r="L69" s="127" t="n"/>
      <c r="M69" s="1" t="n"/>
      <c r="N69" s="134" t="inlineStr">
        <is>
          <t>DETAILS</t>
        </is>
      </c>
      <c r="O69" s="134" t="inlineStr">
        <is>
          <t>AMOUNT</t>
        </is>
      </c>
      <c r="P69" s="127" t="n"/>
      <c r="Q69" s="1" t="n"/>
      <c r="R69" s="52" t="inlineStr">
        <is>
          <t>REFUND</t>
        </is>
      </c>
      <c r="S69" s="105" t="n"/>
      <c r="T69" s="90" t="n"/>
      <c r="U69" s="1" t="n"/>
      <c r="V69" s="134" t="inlineStr">
        <is>
          <t>DETAILS</t>
        </is>
      </c>
      <c r="W69" s="134" t="inlineStr">
        <is>
          <t>AMOUNT</t>
        </is>
      </c>
      <c r="X69" s="127" t="n"/>
      <c r="Y69" s="1" t="n"/>
      <c r="Z69" s="134" t="inlineStr">
        <is>
          <t>DETAILS</t>
        </is>
      </c>
      <c r="AA69" s="134" t="inlineStr">
        <is>
          <t>AMOUNT</t>
        </is>
      </c>
      <c r="AB69" s="127" t="n"/>
      <c r="AC69" s="1" t="n"/>
      <c r="AD69" s="1" t="n"/>
      <c r="AE69" s="134" t="inlineStr">
        <is>
          <t>DETAILS</t>
        </is>
      </c>
      <c r="AF69" s="134" t="inlineStr">
        <is>
          <t>AMOUNT</t>
        </is>
      </c>
      <c r="AG69" s="127" t="n"/>
      <c r="AH69" s="1" t="n"/>
      <c r="AI69" s="1" t="n"/>
      <c r="AJ69" s="52" t="inlineStr">
        <is>
          <t>REFUND</t>
        </is>
      </c>
      <c r="AK69" s="105" t="n"/>
      <c r="AL69" s="90" t="n"/>
      <c r="AM69" s="1" t="n"/>
      <c r="AN69" s="1" t="n"/>
      <c r="AO69" s="134" t="inlineStr">
        <is>
          <t>DETAILS</t>
        </is>
      </c>
      <c r="AP69" s="134" t="inlineStr">
        <is>
          <t>AMOUNT</t>
        </is>
      </c>
      <c r="AQ69" s="127" t="n"/>
      <c r="AR69" s="1" t="n"/>
      <c r="AS69" s="1" t="n"/>
      <c r="AT69" s="134" t="inlineStr">
        <is>
          <t>DETAILS</t>
        </is>
      </c>
      <c r="AU69" s="134" t="inlineStr">
        <is>
          <t>AMOUNT</t>
        </is>
      </c>
      <c r="AV69" s="127" t="n"/>
      <c r="AW69" s="1" t="n"/>
      <c r="AX69" s="1" t="n"/>
      <c r="AY69" s="134" t="inlineStr">
        <is>
          <t>DETAILS</t>
        </is>
      </c>
      <c r="AZ69" s="134" t="inlineStr">
        <is>
          <t>AMOUNT</t>
        </is>
      </c>
      <c r="BA69" s="127" t="n"/>
    </row>
    <row r="70" ht="27.75" customHeight="1" s="220">
      <c r="A70" s="1" t="n"/>
      <c r="B70" s="90" t="n"/>
      <c r="C70" s="90" t="n"/>
      <c r="D70" s="1" t="n"/>
      <c r="E70" s="1" t="n"/>
      <c r="F70" s="134" t="inlineStr">
        <is>
          <t>CPF CONT SALARY</t>
        </is>
      </c>
      <c r="G70" s="134" t="n"/>
      <c r="H70" s="127" t="n"/>
      <c r="I70" s="135" t="n"/>
      <c r="J70" s="134" t="n"/>
      <c r="K70" s="134" t="n"/>
      <c r="L70" s="127" t="n"/>
      <c r="M70" s="135" t="n"/>
      <c r="N70" s="134" t="n"/>
      <c r="O70" s="134" t="n"/>
      <c r="P70" s="127" t="n"/>
      <c r="Q70" s="135" t="n"/>
      <c r="R70" s="52" t="inlineStr">
        <is>
          <t>VOUCHER</t>
        </is>
      </c>
      <c r="S70" s="105" t="n"/>
      <c r="T70" s="90" t="n"/>
      <c r="U70" s="135" t="n"/>
      <c r="V70" s="134" t="n"/>
      <c r="W70" s="134" t="n"/>
      <c r="X70" s="127" t="n"/>
      <c r="Y70" s="136" t="n"/>
      <c r="Z70" s="134" t="n"/>
      <c r="AA70" s="134" t="n"/>
      <c r="AB70" s="127" t="n"/>
      <c r="AC70" s="136" t="n"/>
      <c r="AD70" s="135" t="n"/>
      <c r="AE70" s="134" t="n"/>
      <c r="AF70" s="134" t="n"/>
      <c r="AG70" s="127" t="n"/>
      <c r="AH70" s="1" t="n"/>
      <c r="AI70" s="135" t="n"/>
      <c r="AJ70" s="52" t="inlineStr">
        <is>
          <t>SEDATION</t>
        </is>
      </c>
      <c r="AK70" s="105" t="n"/>
      <c r="AL70" s="90" t="n"/>
      <c r="AM70" s="1" t="n"/>
      <c r="AN70" s="135" t="n"/>
      <c r="AO70" s="134" t="n"/>
      <c r="AP70" s="134" t="n"/>
      <c r="AQ70" s="127" t="n"/>
      <c r="AR70" s="1" t="n"/>
      <c r="AS70" s="135" t="n"/>
      <c r="AT70" s="134" t="n"/>
      <c r="AU70" s="134" t="n"/>
      <c r="AV70" s="127" t="n"/>
      <c r="AW70" s="1" t="n"/>
      <c r="AX70" s="135" t="n"/>
      <c r="AY70" s="134" t="n"/>
      <c r="AZ70" s="134" t="n"/>
      <c r="BA70" s="127" t="n"/>
    </row>
    <row r="71" ht="27.75" customHeight="1" s="220">
      <c r="A71" s="137" t="n"/>
      <c r="B71" s="137" t="n"/>
      <c r="C71" s="137" t="n"/>
      <c r="D71" s="137" t="n"/>
      <c r="E71" s="137" t="n"/>
      <c r="F71" s="134" t="n"/>
      <c r="G71" s="134" t="n"/>
      <c r="H71" s="127" t="n"/>
      <c r="I71" s="138" t="n"/>
      <c r="J71" s="134" t="n"/>
      <c r="K71" s="134" t="n"/>
      <c r="L71" s="127" t="n"/>
      <c r="M71" s="138" t="n"/>
      <c r="N71" s="134" t="n"/>
      <c r="O71" s="134" t="n"/>
      <c r="P71" s="127" t="n"/>
      <c r="Q71" s="138" t="n"/>
      <c r="R71" s="31" t="inlineStr">
        <is>
          <t>RETAINERS/BT/SPLINT</t>
        </is>
      </c>
      <c r="S71" s="105" t="n"/>
      <c r="T71" s="90" t="n"/>
      <c r="U71" s="138" t="n"/>
      <c r="V71" s="134" t="n"/>
      <c r="W71" s="134" t="n"/>
      <c r="X71" s="127" t="n"/>
      <c r="Y71" s="138" t="n"/>
      <c r="Z71" s="134" t="n"/>
      <c r="AA71" s="134" t="n"/>
      <c r="AB71" s="127" t="n"/>
      <c r="AC71" s="137" t="n"/>
      <c r="AD71" s="138" t="n"/>
      <c r="AE71" s="134" t="n"/>
      <c r="AF71" s="134" t="n"/>
      <c r="AG71" s="127" t="n"/>
      <c r="AH71" s="137" t="n"/>
      <c r="AI71" s="138" t="n"/>
      <c r="AJ71" s="31" t="inlineStr">
        <is>
          <t>RETAINERS/BT/SPLINT</t>
        </is>
      </c>
      <c r="AK71" s="105" t="n"/>
      <c r="AL71" s="90" t="n"/>
      <c r="AM71" s="137" t="n"/>
      <c r="AN71" s="138" t="n"/>
      <c r="AO71" s="134" t="n"/>
      <c r="AP71" s="134" t="n"/>
      <c r="AQ71" s="127" t="n"/>
      <c r="AR71" s="137" t="n"/>
      <c r="AS71" s="138" t="n"/>
      <c r="AT71" s="134" t="n"/>
      <c r="AU71" s="134" t="n"/>
      <c r="AV71" s="127" t="n"/>
      <c r="AW71" s="137" t="n"/>
      <c r="AX71" s="138" t="n"/>
      <c r="AY71" s="134" t="n"/>
      <c r="AZ71" s="134" t="n"/>
      <c r="BA71" s="127" t="n"/>
    </row>
    <row r="72" ht="46.5" customHeight="1" s="220">
      <c r="A72" s="1" t="n"/>
      <c r="B72" s="139" t="inlineStr">
        <is>
          <t>TOTAL</t>
        </is>
      </c>
      <c r="C72" s="140">
        <f>B31-C34-C35-C58-C36-C37-C42-C43-C38-C46-C39-C45-C48-C49-C51-C50-C55-C54-C53-C59-C60-C61-C62-C47-C63-C40-C64-C41-C67-C66-C65-C90-C91-C92-C93-C94-C95-C68-C69-C70</f>
        <v/>
      </c>
      <c r="D72" s="137" t="n"/>
      <c r="E72" s="1" t="n"/>
      <c r="F72" s="134" t="n"/>
      <c r="G72" s="134" t="n"/>
      <c r="H72" s="127" t="n"/>
      <c r="I72" s="1" t="n"/>
      <c r="J72" s="134" t="n"/>
      <c r="K72" s="134" t="n"/>
      <c r="L72" s="127" t="n"/>
      <c r="M72" s="1" t="n"/>
      <c r="N72" s="134" t="n"/>
      <c r="O72" s="134" t="n"/>
      <c r="P72" s="127" t="n"/>
      <c r="Q72" s="1" t="n"/>
      <c r="R72" s="31" t="inlineStr">
        <is>
          <t>INSTALLMENT</t>
        </is>
      </c>
      <c r="S72" s="105" t="n"/>
      <c r="T72" s="90" t="n"/>
      <c r="U72" s="1" t="n"/>
      <c r="V72" s="134" t="n"/>
      <c r="W72" s="127" t="n"/>
      <c r="X72" s="127" t="n"/>
      <c r="Y72" s="1" t="n"/>
      <c r="Z72" s="134" t="n"/>
      <c r="AA72" s="134" t="n"/>
      <c r="AB72" s="127" t="n"/>
      <c r="AC72" s="1" t="n"/>
      <c r="AD72" s="1" t="n"/>
      <c r="AE72" s="134" t="n"/>
      <c r="AF72" s="134" t="n"/>
      <c r="AG72" s="127" t="n"/>
      <c r="AH72" s="1" t="n"/>
      <c r="AI72" s="1" t="n"/>
      <c r="AJ72" s="31" t="inlineStr">
        <is>
          <t>INSTALLMENT</t>
        </is>
      </c>
      <c r="AK72" s="105" t="n"/>
      <c r="AL72" s="90" t="n"/>
      <c r="AM72" s="1" t="n"/>
      <c r="AN72" s="1" t="n"/>
      <c r="AO72" s="134" t="n"/>
      <c r="AP72" s="134" t="n"/>
      <c r="AQ72" s="127" t="n"/>
      <c r="AR72" s="1" t="n"/>
      <c r="AS72" s="1" t="n"/>
      <c r="AT72" s="134" t="n"/>
      <c r="AU72" s="134" t="n"/>
      <c r="AV72" s="127" t="n"/>
      <c r="AW72" s="1" t="n"/>
      <c r="AX72" s="1" t="n"/>
      <c r="AY72" s="134" t="n"/>
      <c r="AZ72" s="134" t="n"/>
      <c r="BA72" s="127" t="n"/>
    </row>
    <row r="73" ht="31.5" customHeight="1" s="220">
      <c r="A73" s="1" t="n"/>
      <c r="B73" s="141" t="inlineStr">
        <is>
          <t xml:space="preserve">FOR INCENTIVE % </t>
        </is>
      </c>
      <c r="C73" s="142">
        <f>B31-C34-C35-C58-C42-C43-C46-C45-C48-C44-C49-C50-C47-C63-C40-C64-C41-C65-C93-C95-C94-C66-C92-C90-C68-C69-C70</f>
        <v/>
      </c>
      <c r="D73" s="143" t="n"/>
      <c r="E73" s="1" t="n"/>
      <c r="F73" s="134" t="n"/>
      <c r="G73" s="134" t="n"/>
      <c r="H73" s="127" t="n"/>
      <c r="I73" s="1" t="n"/>
      <c r="J73" s="134" t="n"/>
      <c r="K73" s="134" t="n"/>
      <c r="L73" s="127" t="n"/>
      <c r="M73" s="1" t="n"/>
      <c r="N73" s="134" t="n"/>
      <c r="O73" s="134" t="n"/>
      <c r="P73" s="127" t="n"/>
      <c r="Q73" s="1" t="n"/>
      <c r="R73" s="144" t="inlineStr">
        <is>
          <t>DEDUCTIONS</t>
        </is>
      </c>
      <c r="S73" s="145" t="n"/>
      <c r="T73" s="90" t="n"/>
      <c r="U73" s="1" t="n"/>
      <c r="V73" s="134" t="n"/>
      <c r="W73" s="134" t="n"/>
      <c r="X73" s="127" t="n"/>
      <c r="Y73" s="1" t="n"/>
      <c r="Z73" s="134" t="n"/>
      <c r="AA73" s="134" t="n"/>
      <c r="AB73" s="127" t="n"/>
      <c r="AC73" s="1" t="n"/>
      <c r="AD73" s="1" t="n"/>
      <c r="AE73" s="134" t="n"/>
      <c r="AF73" s="134" t="n"/>
      <c r="AG73" s="127" t="n"/>
      <c r="AH73" s="1" t="n"/>
      <c r="AI73" s="1" t="n"/>
      <c r="AJ73" s="144" t="inlineStr">
        <is>
          <t>DEDUCTIONS</t>
        </is>
      </c>
      <c r="AK73" s="145" t="n"/>
      <c r="AL73" s="102" t="n"/>
      <c r="AM73" s="1" t="n"/>
      <c r="AN73" s="1" t="n"/>
      <c r="AO73" s="134" t="n"/>
      <c r="AP73" s="134" t="n"/>
      <c r="AQ73" s="127" t="n"/>
      <c r="AR73" s="1" t="n"/>
      <c r="AS73" s="1" t="n"/>
      <c r="AT73" s="134" t="n"/>
      <c r="AU73" s="134" t="n"/>
      <c r="AV73" s="127" t="n"/>
      <c r="AW73" s="1" t="n"/>
      <c r="AX73" s="1" t="n"/>
      <c r="AY73" s="134" t="n"/>
      <c r="AZ73" s="134" t="n"/>
      <c r="BA73" s="127" t="n"/>
    </row>
    <row r="74" ht="31.5" customHeight="1" s="220">
      <c r="A74" s="1" t="n"/>
      <c r="B74" s="146" t="inlineStr">
        <is>
          <t>PERCENT ANGEL</t>
        </is>
      </c>
      <c r="C74" s="147">
        <f>VLOOKUP(C73,'% RATES INCENTIVES HOLLAND'!C:D,2,TRUE)</f>
        <v/>
      </c>
      <c r="D74" s="1" t="n"/>
      <c r="E74" s="1" t="n"/>
      <c r="F74" s="134" t="n"/>
      <c r="G74" s="134" t="n"/>
      <c r="H74" s="127" t="n"/>
      <c r="I74" s="1" t="n"/>
      <c r="J74" s="134" t="n"/>
      <c r="K74" s="134" t="n"/>
      <c r="L74" s="127" t="n"/>
      <c r="M74" s="1" t="n"/>
      <c r="N74" s="134" t="n"/>
      <c r="O74" s="134" t="n"/>
      <c r="P74" s="127" t="n"/>
      <c r="Q74" s="1" t="n"/>
      <c r="R74" s="148" t="n"/>
      <c r="S74" s="148" t="n"/>
      <c r="T74" s="1" t="n"/>
      <c r="U74" s="1" t="n"/>
      <c r="V74" s="134" t="n"/>
      <c r="W74" s="134" t="n"/>
      <c r="X74" s="127" t="n"/>
      <c r="Y74" s="1" t="n"/>
      <c r="Z74" s="134" t="n"/>
      <c r="AA74" s="134" t="n"/>
      <c r="AB74" s="127" t="n"/>
      <c r="AC74" s="1" t="n"/>
      <c r="AD74" s="1" t="n"/>
      <c r="AE74" s="134" t="n"/>
      <c r="AF74" s="134" t="n"/>
      <c r="AG74" s="127" t="n"/>
      <c r="AH74" s="1" t="n"/>
      <c r="AI74" s="1" t="n"/>
      <c r="AJ74" s="148" t="n"/>
      <c r="AK74" s="148" t="n"/>
      <c r="AL74" s="1" t="n"/>
      <c r="AM74" s="1" t="n"/>
      <c r="AN74" s="1" t="n"/>
      <c r="AO74" s="134" t="n"/>
      <c r="AP74" s="134" t="n"/>
      <c r="AQ74" s="127" t="n"/>
      <c r="AR74" s="1" t="n"/>
      <c r="AS74" s="1" t="n"/>
      <c r="AT74" s="134" t="n"/>
      <c r="AU74" s="134" t="n"/>
      <c r="AV74" s="127" t="n"/>
      <c r="AW74" s="1" t="n"/>
      <c r="AX74" s="1" t="n"/>
      <c r="AY74" s="134" t="n"/>
      <c r="AZ74" s="134" t="n"/>
      <c r="BA74" s="127" t="n"/>
    </row>
    <row r="75" ht="34.5" customHeight="1" s="220">
      <c r="A75" s="1" t="inlineStr">
        <is>
          <t>INCOME LESS GST</t>
        </is>
      </c>
      <c r="B75" s="149">
        <f>B31-C35</f>
        <v/>
      </c>
      <c r="C75" s="150">
        <f>C72/B75*100</f>
        <v/>
      </c>
      <c r="D75" s="151" t="inlineStr">
        <is>
          <t>%</t>
        </is>
      </c>
      <c r="E75" s="1" t="n"/>
      <c r="F75" s="134" t="n"/>
      <c r="G75" s="134" t="n"/>
      <c r="H75" s="127" t="n"/>
      <c r="I75" s="1" t="n"/>
      <c r="J75" s="134" t="n"/>
      <c r="K75" s="134" t="n"/>
      <c r="L75" s="127" t="n"/>
      <c r="M75" s="1" t="n"/>
      <c r="N75" s="134" t="n"/>
      <c r="O75" s="134" t="n"/>
      <c r="P75" s="127" t="n"/>
      <c r="Q75" s="1" t="n"/>
      <c r="R75" s="61" t="inlineStr">
        <is>
          <t>TOTAL</t>
        </is>
      </c>
      <c r="S75" s="109">
        <f>#REF!-S34-S35-S59-S58-S60-S61-S62-S63-S64-S65-S66+S67-S68-S69-S70-S71-S72-S73</f>
        <v/>
      </c>
      <c r="T75" s="90" t="n"/>
      <c r="U75" s="1" t="n"/>
      <c r="V75" s="134" t="n"/>
      <c r="W75" s="134" t="n"/>
      <c r="X75" s="127" t="n"/>
      <c r="Y75" s="1" t="n"/>
      <c r="Z75" s="134" t="n"/>
      <c r="AA75" s="134" t="n"/>
      <c r="AB75" s="127" t="n"/>
      <c r="AC75" s="1" t="n"/>
      <c r="AD75" s="1" t="n"/>
      <c r="AE75" s="134" t="n"/>
      <c r="AF75" s="134" t="n"/>
      <c r="AG75" s="127" t="n"/>
      <c r="AH75" s="1" t="n"/>
      <c r="AI75" s="1" t="n"/>
      <c r="AJ75" s="61" t="inlineStr">
        <is>
          <t>TOTAL</t>
        </is>
      </c>
      <c r="AK75" s="109">
        <f>#REF!-AK34-AK35-AK58-AK59-AK60-AK61-AK62-AK63-AK64-AK65-AK66+AK67-AK68-AK69-AK70-AK71-AK72-AK73</f>
        <v/>
      </c>
      <c r="AL75" s="90" t="n"/>
      <c r="AM75" s="1" t="n"/>
      <c r="AN75" s="1" t="n"/>
      <c r="AO75" s="134" t="n"/>
      <c r="AP75" s="134" t="n"/>
      <c r="AQ75" s="127" t="n"/>
      <c r="AR75" s="1" t="n"/>
      <c r="AS75" s="1" t="n"/>
      <c r="AT75" s="134" t="n"/>
      <c r="AU75" s="134" t="n"/>
      <c r="AV75" s="127" t="n"/>
      <c r="AW75" s="1" t="n"/>
      <c r="AX75" s="1" t="n"/>
      <c r="AY75" s="134" t="n"/>
      <c r="AZ75" s="134" t="n"/>
      <c r="BA75" s="127" t="n"/>
    </row>
    <row r="76" ht="33.75" customHeight="1" s="220">
      <c r="A76" s="1" t="n"/>
      <c r="B76" s="152" t="inlineStr">
        <is>
          <t> </t>
        </is>
      </c>
      <c r="C76" s="153" t="n"/>
      <c r="D76" s="1" t="n"/>
      <c r="E76" s="1" t="n"/>
      <c r="F76" s="154" t="n"/>
      <c r="G76" s="154" t="n"/>
      <c r="H76" s="155" t="n"/>
      <c r="I76" s="1" t="n"/>
      <c r="J76" s="154" t="n"/>
      <c r="K76" s="154" t="n"/>
      <c r="L76" s="155" t="n"/>
      <c r="M76" s="1" t="n"/>
      <c r="N76" s="154" t="n"/>
      <c r="O76" s="154" t="n"/>
      <c r="P76" s="155" t="n"/>
      <c r="Q76" s="1" t="n"/>
      <c r="R76" s="112" t="inlineStr">
        <is>
          <t>DOCTORS PAY</t>
        </is>
      </c>
      <c r="S76" s="111">
        <f>(S75*50%)+S77</f>
        <v/>
      </c>
      <c r="T76" s="90" t="n"/>
      <c r="U76" s="1" t="n"/>
      <c r="V76" s="154" t="n"/>
      <c r="W76" s="154" t="n"/>
      <c r="X76" s="155" t="n"/>
      <c r="Y76" s="1" t="n"/>
      <c r="Z76" s="154" t="n"/>
      <c r="AA76" s="154" t="n"/>
      <c r="AB76" s="155" t="n"/>
      <c r="AC76" s="1" t="n"/>
      <c r="AD76" s="1" t="n"/>
      <c r="AE76" s="154" t="n"/>
      <c r="AF76" s="154" t="n"/>
      <c r="AG76" s="155" t="n"/>
      <c r="AH76" s="1" t="n"/>
      <c r="AI76" s="1" t="n"/>
      <c r="AJ76" s="112" t="inlineStr">
        <is>
          <t>DOCTORS PAY</t>
        </is>
      </c>
      <c r="AK76" s="111">
        <f>(AK75*50%)+AK77</f>
        <v/>
      </c>
      <c r="AL76" s="90" t="n"/>
      <c r="AM76" s="1" t="n"/>
      <c r="AN76" s="1" t="n"/>
      <c r="AO76" s="154" t="n"/>
      <c r="AP76" s="154" t="n"/>
      <c r="AQ76" s="155" t="n"/>
      <c r="AR76" s="1" t="n"/>
      <c r="AS76" s="1" t="n"/>
      <c r="AT76" s="154" t="n"/>
      <c r="AU76" s="154" t="n"/>
      <c r="AV76" s="155" t="n"/>
      <c r="AW76" s="1" t="n"/>
      <c r="AX76" s="1" t="n"/>
      <c r="AY76" s="154" t="n"/>
      <c r="AZ76" s="154" t="n"/>
      <c r="BA76" s="155" t="n"/>
    </row>
    <row r="77" ht="36.75" customHeight="1" s="220">
      <c r="A77" s="1" t="n"/>
      <c r="B77" s="156" t="inlineStr">
        <is>
          <t>MEDISAVE ADMIN</t>
        </is>
      </c>
      <c r="C77" s="157">
        <f>G61+K61+O61+S83+W61+AA61+AF61+AK83+AP61+AU61+AZ61</f>
        <v/>
      </c>
      <c r="D77" s="158">
        <f>C77/20</f>
        <v/>
      </c>
      <c r="E77" s="1" t="n"/>
      <c r="F77" s="159" t="inlineStr">
        <is>
          <t>TOTAL PAYMENT</t>
        </is>
      </c>
      <c r="G77" s="160">
        <f>G57-G70-G74-G75-G71-G72-G73</f>
        <v/>
      </c>
      <c r="H77" s="1" t="n"/>
      <c r="I77" s="1" t="n"/>
      <c r="J77" s="159" t="inlineStr">
        <is>
          <t>TOTAL PAYMENT</t>
        </is>
      </c>
      <c r="K77" s="160">
        <f>K57-K70-K74-K75-K71-K72-K73</f>
        <v/>
      </c>
      <c r="L77" s="1" t="inlineStr">
        <is>
          <t>TRF TO AMK IN FEB 2026</t>
        </is>
      </c>
      <c r="M77" s="1" t="n"/>
      <c r="N77" s="159" t="inlineStr">
        <is>
          <t>TOTAL PAYMENT</t>
        </is>
      </c>
      <c r="O77" s="160">
        <f>O57-O70-O74-O75-O71-O72-O73</f>
        <v/>
      </c>
      <c r="P77" s="1" t="inlineStr">
        <is>
          <t>  </t>
        </is>
      </c>
      <c r="Q77" s="1" t="n"/>
      <c r="R77" s="50" t="inlineStr">
        <is>
          <t>ADJUSTMENTS (+)</t>
        </is>
      </c>
      <c r="S77" s="36" t="n"/>
      <c r="T77" s="90" t="n"/>
      <c r="U77" s="1" t="n"/>
      <c r="V77" s="159" t="inlineStr">
        <is>
          <t>TOTAL PAYMENT</t>
        </is>
      </c>
      <c r="W77" s="160">
        <f>W57-W70-W74-W75-W71-W72-W73</f>
        <v/>
      </c>
      <c r="X77" s="1" t="n"/>
      <c r="Y77" s="1" t="n"/>
      <c r="Z77" s="159" t="inlineStr">
        <is>
          <t>TOTAL PAYMENT</t>
        </is>
      </c>
      <c r="AA77" s="160">
        <f>AA57-AA70-AA74-AA75-AA71-AA72-AA73</f>
        <v/>
      </c>
      <c r="AB77" s="1" t="n"/>
      <c r="AC77" s="1" t="n"/>
      <c r="AD77" s="1" t="n"/>
      <c r="AE77" s="159" t="inlineStr">
        <is>
          <t>TOTAL PAYMENT</t>
        </is>
      </c>
      <c r="AF77" s="160">
        <f>AF57-AF70-AF74-AF75-AF71-AF72-AF73</f>
        <v/>
      </c>
      <c r="AG77" s="1" t="n"/>
      <c r="AH77" s="1" t="n"/>
      <c r="AI77" s="1" t="n"/>
      <c r="AJ77" s="50" t="inlineStr">
        <is>
          <t>ADJUSTMENTS (+)</t>
        </is>
      </c>
      <c r="AK77" s="36" t="n"/>
      <c r="AL77" s="98" t="n"/>
      <c r="AM77" s="1" t="n"/>
      <c r="AN77" s="1" t="n"/>
      <c r="AO77" s="159" t="inlineStr">
        <is>
          <t>TOTAL PAYMENT</t>
        </is>
      </c>
      <c r="AP77" s="160">
        <f>AP57-AP70-AP74-AP75-AP71-AP72-AP73</f>
        <v/>
      </c>
      <c r="AQ77" s="1" t="n"/>
      <c r="AR77" s="1" t="n"/>
      <c r="AS77" s="1" t="n"/>
      <c r="AT77" s="159" t="inlineStr">
        <is>
          <t>TOTAL PAYMENT</t>
        </is>
      </c>
      <c r="AU77" s="160">
        <f>AU57-AU70-AU74-AU75-AU71-AU72-AU73</f>
        <v/>
      </c>
      <c r="AV77" s="1" t="n"/>
      <c r="AW77" s="1" t="n"/>
      <c r="AX77" s="1" t="n"/>
      <c r="AY77" s="159" t="inlineStr">
        <is>
          <t>TOTAL PAYMENT</t>
        </is>
      </c>
      <c r="AZ77" s="160">
        <f>AZ57-AZ70-AZ74-AZ75-AZ71-AZ72-AZ73</f>
        <v/>
      </c>
      <c r="BA77" s="1" t="n"/>
    </row>
    <row r="78" ht="39" customHeight="1" s="220">
      <c r="A78" s="1" t="n"/>
      <c r="B78" s="156" t="inlineStr">
        <is>
          <t>ADDITIONAL MARKETING</t>
        </is>
      </c>
      <c r="C78" s="157">
        <f>G65+K65+O65+S87+W65+AA65+AF65+AP65+AU65+AZ65</f>
        <v/>
      </c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50" t="inlineStr">
        <is>
          <t>ADJUSTMENTS (-)</t>
        </is>
      </c>
      <c r="S78" s="115">
        <f>S83+S87</f>
        <v/>
      </c>
      <c r="T78" s="98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50" t="inlineStr">
        <is>
          <t>ADJUSTMENTS (-)</t>
        </is>
      </c>
      <c r="AK78" s="116">
        <f>AK83+AK87</f>
        <v/>
      </c>
      <c r="AL78" s="102" t="inlineStr">
        <is>
          <t>MARKETING FEE &amp; MEDISAVE ADMIN</t>
        </is>
      </c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</row>
    <row r="79" ht="27.75" customHeight="1" s="220">
      <c r="A79" s="1" t="n"/>
      <c r="B79" s="161" t="inlineStr">
        <is>
          <t>DOCTORS PERSONAL DEDUCTION</t>
        </is>
      </c>
      <c r="C79" s="157">
        <f>G70+G74+G75+K70+K74+K75+O70+O74+O75+S92+S96+S97+W70+W74+W75+AA70+AA74+AA75+AF70+AF74+AF75+G71+G72+G73+K71+K72+K73+O71+O72+O73+S93+S94+S95+W71+W72+W73+AA71+AA72+AA73+AF71+AF72+AF73+AP70+AP71+AP72+AP73+AP74+AP75+AU70+AU71+AU72+AU73+AU74+AU75+AZ70+AZ71+AZ72+AZ73+AZ74+AZ75</f>
        <v/>
      </c>
      <c r="D79" s="137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50" t="inlineStr">
        <is>
          <t>NET PAY</t>
        </is>
      </c>
      <c r="S79" s="111">
        <f>S76-S78</f>
        <v/>
      </c>
      <c r="T79" s="90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50" t="inlineStr">
        <is>
          <t>NET PAY</t>
        </is>
      </c>
      <c r="AK79" s="111">
        <f>AK76-AK78</f>
        <v/>
      </c>
      <c r="AL79" s="90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</row>
    <row r="80" ht="28.5" customHeight="1" s="220">
      <c r="A80" s="1" t="n"/>
      <c r="B80" s="156" t="inlineStr">
        <is>
          <t>TOTAL</t>
        </is>
      </c>
      <c r="C80" s="162">
        <f>SUM(C77:C79)</f>
        <v/>
      </c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63" t="n"/>
      <c r="Z80" s="1" t="n"/>
      <c r="AA80" s="1" t="n"/>
      <c r="AB80" s="1" t="n"/>
      <c r="AC80" s="1" t="n"/>
      <c r="AD80" s="163" t="n"/>
      <c r="AE80" s="1" t="n"/>
      <c r="AF80" s="1" t="n"/>
      <c r="AG80" s="1" t="n"/>
      <c r="AH80" s="1" t="n"/>
      <c r="AI80" s="163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</row>
    <row r="81" ht="28.5" customHeight="1" s="220">
      <c r="A81" s="1" t="n"/>
      <c r="B81" s="164" t="inlineStr">
        <is>
          <t>TOTAL ICC-5</t>
        </is>
      </c>
      <c r="C81" s="164">
        <f>G36+K36+O36+S58+AA36+W36+AF36+AP36+AU36+AZ36</f>
        <v/>
      </c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17" t="inlineStr">
        <is>
          <t>MEDISAVE ADMIN FEE CALCULATION:</t>
        </is>
      </c>
      <c r="S81" s="1" t="n"/>
      <c r="T81" s="1" t="n"/>
      <c r="U81" s="1" t="n"/>
      <c r="V81" s="1" t="n"/>
      <c r="W81" s="1" t="n"/>
      <c r="X81" s="1" t="n"/>
      <c r="Y81" s="163" t="n"/>
      <c r="Z81" s="1" t="n"/>
      <c r="AA81" s="1" t="n"/>
      <c r="AB81" s="1" t="n"/>
      <c r="AC81" s="1" t="n"/>
      <c r="AD81" s="163" t="n"/>
      <c r="AE81" s="1" t="n"/>
      <c r="AF81" s="1" t="n"/>
      <c r="AG81" s="1" t="n"/>
      <c r="AH81" s="1" t="n"/>
      <c r="AI81" s="163" t="n"/>
      <c r="AJ81" s="117" t="inlineStr">
        <is>
          <t>MEDISAVE ADMIN FEE CALCULATION:</t>
        </is>
      </c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</row>
    <row r="82" ht="49.5" customHeight="1" s="22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63" t="n"/>
      <c r="N82" s="1" t="n"/>
      <c r="O82" s="1" t="n"/>
      <c r="P82" s="1" t="n"/>
      <c r="Q82" s="1" t="n"/>
      <c r="R82" s="118" t="inlineStr">
        <is>
          <t>Medisave Claim</t>
        </is>
      </c>
      <c r="S82" s="119" t="inlineStr">
        <is>
          <t>Admin Fee</t>
        </is>
      </c>
      <c r="T82" s="119" t="inlineStr">
        <is>
          <t>REMARKS</t>
        </is>
      </c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18" t="inlineStr">
        <is>
          <t>Medisave Claim</t>
        </is>
      </c>
      <c r="AK82" s="119" t="inlineStr">
        <is>
          <t>Admin Fee</t>
        </is>
      </c>
      <c r="AL82" s="119" t="inlineStr">
        <is>
          <t>REMARKS</t>
        </is>
      </c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</row>
    <row r="83" ht="26.25" customHeight="1" s="220">
      <c r="A83" s="1" t="n"/>
      <c r="B83" s="165" t="inlineStr">
        <is>
          <t>NURSES FEE-REVENUE</t>
        </is>
      </c>
      <c r="C83" s="166">
        <f>(C60+C61+C62)/B31</f>
        <v/>
      </c>
      <c r="D83" s="137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20" t="n"/>
      <c r="S83" s="121">
        <f>R83*20</f>
        <v/>
      </c>
      <c r="T83" s="12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20" t="n"/>
      <c r="AK83" s="121">
        <f>AJ83*20</f>
        <v/>
      </c>
      <c r="AL83" s="12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</row>
    <row r="84" ht="21" customHeight="1" s="220">
      <c r="A84" s="1" t="n"/>
      <c r="B84" s="165" t="inlineStr">
        <is>
          <t>CONSUMABLE EXCL OFFICE RENT - REVENUE</t>
        </is>
      </c>
      <c r="C84" s="166">
        <f>(C49+C46+C48)/B31</f>
        <v/>
      </c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</row>
    <row r="85" ht="21" customHeight="1" s="220">
      <c r="A85" s="1" t="n"/>
      <c r="B85" s="165" t="inlineStr">
        <is>
          <t>OFFICE RENT &amp; ADMIN STAFF - REVENUE</t>
        </is>
      </c>
      <c r="C85" s="166">
        <f>(C45/B31)</f>
        <v/>
      </c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22" t="inlineStr">
        <is>
          <t>ADDITIONAL MARKETING:</t>
        </is>
      </c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22" t="inlineStr">
        <is>
          <t>ADDITIONAL MARKETING:</t>
        </is>
      </c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</row>
    <row r="86" ht="21" customHeight="1" s="220">
      <c r="A86" s="1" t="n"/>
      <c r="B86" s="167" t="inlineStr">
        <is>
          <t>MARKETING - REVENUE</t>
        </is>
      </c>
      <c r="C86" s="166">
        <f>C50/B31</f>
        <v/>
      </c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23" t="inlineStr">
        <is>
          <t xml:space="preserve">MONTH </t>
        </is>
      </c>
      <c r="S86" s="124" t="inlineStr">
        <is>
          <t>AMOUNT</t>
        </is>
      </c>
      <c r="T86" s="124" t="inlineStr">
        <is>
          <t>REMARKS</t>
        </is>
      </c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23" t="inlineStr">
        <is>
          <t xml:space="preserve">MONTH </t>
        </is>
      </c>
      <c r="AK86" s="124" t="inlineStr">
        <is>
          <t>AMOUNT</t>
        </is>
      </c>
      <c r="AL86" s="124" t="inlineStr">
        <is>
          <t>REMARKS</t>
        </is>
      </c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</row>
    <row r="87" ht="18.75" customHeight="1" s="220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25">
        <f>R3</f>
        <v/>
      </c>
      <c r="S87" s="128" t="n"/>
      <c r="T87" s="127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25">
        <f>AJ3</f>
        <v/>
      </c>
      <c r="AK87" s="128" t="n"/>
      <c r="AL87" s="127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</row>
    <row r="88" ht="30.75" customHeight="1" s="220">
      <c r="A88" s="1" t="n"/>
      <c r="B88" s="183" t="inlineStr">
        <is>
          <t>FOR INCENTIVE % YITONG</t>
        </is>
      </c>
      <c r="C88" s="184">
        <f>VLOOKUP(C73,'% RATES INCENTIVES'!C:D,2,TRUE)</f>
        <v/>
      </c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</row>
    <row r="89" ht="16.5" customHeight="1" s="220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22" t="inlineStr">
        <is>
          <t>OTHERS: (CPF,PERSONAL REFUND, COURSEFEE)</t>
        </is>
      </c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22" t="inlineStr">
        <is>
          <t>OTHERS: (CPF,PERSONAL REFUND, COURSEFEE)</t>
        </is>
      </c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</row>
    <row r="90" ht="30.75" customHeight="1" s="220">
      <c r="A90" s="1" t="n"/>
      <c r="B90" s="168" t="n"/>
      <c r="C90" s="169" t="n"/>
      <c r="D90" s="1" t="inlineStr">
        <is>
          <t> </t>
        </is>
      </c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22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22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</row>
    <row r="91" ht="30.75" customHeight="1" s="220">
      <c r="A91" s="1" t="n"/>
      <c r="B91" s="168" t="n"/>
      <c r="C91" s="169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34" t="inlineStr">
        <is>
          <t>DETAILS</t>
        </is>
      </c>
      <c r="S91" s="134" t="inlineStr">
        <is>
          <t>AMOUNT</t>
        </is>
      </c>
      <c r="T91" s="127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34" t="inlineStr">
        <is>
          <t>DETAILS</t>
        </is>
      </c>
      <c r="AK91" s="134" t="inlineStr">
        <is>
          <t>AMOUNT</t>
        </is>
      </c>
      <c r="AL91" s="127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</row>
    <row r="92" ht="30.75" customHeight="1" s="220">
      <c r="A92" s="1" t="n"/>
      <c r="B92" s="168" t="n"/>
      <c r="C92" s="169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34" t="n"/>
      <c r="S92" s="134" t="n"/>
      <c r="T92" s="127" t="n"/>
      <c r="U92" s="1" t="n"/>
      <c r="V92" s="1" t="n"/>
      <c r="W92" s="1" t="n"/>
      <c r="X92" s="1" t="n"/>
      <c r="Y92" s="136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inlineStr">
        <is>
          <t>feb 2191</t>
        </is>
      </c>
      <c r="AI92" s="1" t="n"/>
      <c r="AJ92" s="134" t="n"/>
      <c r="AK92" s="134" t="n"/>
      <c r="AL92" s="127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</row>
    <row r="93" ht="30.75" customHeight="1" s="220">
      <c r="A93" s="1" t="n"/>
      <c r="B93" s="168" t="n"/>
      <c r="C93" s="169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34" t="n"/>
      <c r="S93" s="134" t="n"/>
      <c r="T93" s="127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34" t="n"/>
      <c r="AK93" s="134" t="n"/>
      <c r="AL93" s="127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</row>
    <row r="94" ht="30.75" customHeight="1" s="220">
      <c r="A94" s="1" t="n"/>
      <c r="B94" s="117" t="n"/>
      <c r="C94" s="169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34" t="n"/>
      <c r="S94" s="134" t="n"/>
      <c r="T94" s="127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34" t="n"/>
      <c r="AK94" s="134" t="n"/>
      <c r="AL94" s="127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</row>
    <row r="95" ht="30.75" customHeight="1" s="220">
      <c r="A95" s="1" t="n"/>
      <c r="B95" s="117" t="n"/>
      <c r="C95" s="169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34" t="n"/>
      <c r="S95" s="134" t="n"/>
      <c r="T95" s="127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34" t="n"/>
      <c r="AK95" s="134" t="n"/>
      <c r="AL95" s="127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</row>
    <row r="96" ht="18.75" customHeight="1" s="220">
      <c r="A96" s="137" t="n"/>
      <c r="B96" s="137" t="n"/>
      <c r="C96" s="137" t="n"/>
      <c r="D96" s="137" t="n"/>
      <c r="E96" s="137" t="n"/>
      <c r="F96" s="137" t="n"/>
      <c r="G96" s="137" t="n"/>
      <c r="H96" s="137" t="n"/>
      <c r="I96" s="137" t="n"/>
      <c r="J96" s="137" t="n"/>
      <c r="K96" s="137" t="n"/>
      <c r="L96" s="137" t="n"/>
      <c r="M96" s="1" t="n"/>
      <c r="N96" s="137" t="n"/>
      <c r="O96" s="137" t="n"/>
      <c r="P96" s="137" t="n"/>
      <c r="Q96" s="137" t="n"/>
      <c r="R96" s="134" t="n"/>
      <c r="S96" s="134" t="n"/>
      <c r="T96" s="127" t="n"/>
      <c r="U96" s="137" t="n"/>
      <c r="V96" s="137" t="n"/>
      <c r="W96" s="137" t="n"/>
      <c r="X96" s="137" t="n"/>
      <c r="Y96" s="137" t="n"/>
      <c r="Z96" s="137" t="n"/>
      <c r="AA96" s="137" t="n"/>
      <c r="AB96" s="137" t="n"/>
      <c r="AC96" s="137" t="n"/>
      <c r="AD96" s="137" t="n"/>
      <c r="AE96" s="137" t="n"/>
      <c r="AF96" s="137" t="n"/>
      <c r="AG96" s="137" t="n"/>
      <c r="AH96" s="137" t="n"/>
      <c r="AI96" s="137" t="n"/>
      <c r="AJ96" s="134" t="n"/>
      <c r="AK96" s="134" t="n"/>
      <c r="AL96" s="127" t="n"/>
      <c r="AM96" s="137" t="n"/>
      <c r="AN96" s="137" t="n"/>
      <c r="AO96" s="137" t="n"/>
      <c r="AP96" s="137" t="n"/>
      <c r="AQ96" s="137" t="n"/>
      <c r="AR96" s="137" t="n"/>
      <c r="AS96" s="137" t="n"/>
      <c r="AT96" s="137" t="n"/>
      <c r="AU96" s="137" t="n"/>
      <c r="AV96" s="137" t="n"/>
      <c r="AW96" s="137" t="n"/>
      <c r="AX96" s="137" t="n"/>
      <c r="AY96" s="137" t="n"/>
      <c r="AZ96" s="137" t="n"/>
      <c r="BA96" s="137" t="n"/>
    </row>
    <row r="97" ht="41.25" customHeight="1" s="220">
      <c r="A97" s="1" t="n"/>
      <c r="B97" s="1" t="n"/>
      <c r="C97" s="2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37" t="n"/>
      <c r="N97" s="1" t="n"/>
      <c r="O97" s="1" t="n"/>
      <c r="P97" s="1" t="n"/>
      <c r="Q97" s="1" t="n"/>
      <c r="R97" s="134" t="n"/>
      <c r="S97" s="134" t="n"/>
      <c r="T97" s="127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34" t="n"/>
      <c r="AK97" s="134" t="n"/>
      <c r="AL97" s="127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</row>
    <row r="98" ht="18.75" customHeight="1" s="220">
      <c r="A98" s="1" t="n"/>
      <c r="B98" s="1" t="n"/>
      <c r="C98" s="2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54" t="n"/>
      <c r="S98" s="154" t="n"/>
      <c r="T98" s="155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54" t="n"/>
      <c r="AK98" s="154" t="n"/>
      <c r="AL98" s="155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</row>
    <row r="99" ht="30.75" customHeight="1" s="220">
      <c r="A99" s="1" t="n"/>
      <c r="B99" s="1" t="n"/>
      <c r="C99" s="2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59" t="inlineStr">
        <is>
          <t>TOTAL CHEQUE AMOUNT</t>
        </is>
      </c>
      <c r="S99" s="160">
        <f>S79-S92-S96-S97-S93-S94-S95</f>
        <v/>
      </c>
      <c r="T99" s="2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59" t="inlineStr">
        <is>
          <t>TOTAL CHEQUE AMOUNT</t>
        </is>
      </c>
      <c r="AK99" s="160">
        <f>AK79-AK92-AK96-AK97-AK93-AK94-AK95</f>
        <v/>
      </c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</row>
    <row r="100" ht="16.5" customHeight="1" s="220">
      <c r="A100" s="1" t="n"/>
      <c r="B100" s="1" t="n"/>
      <c r="C100" s="2" t="n"/>
      <c r="D100" s="1" t="n"/>
      <c r="E100" s="1" t="n"/>
      <c r="F100" s="137" t="n"/>
      <c r="G100" s="137" t="n"/>
      <c r="H100" s="137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</row>
    <row r="101" ht="16.5" customHeight="1" s="220">
      <c r="A101" s="1" t="n"/>
      <c r="B101" s="1" t="n"/>
      <c r="C101" s="2" t="n"/>
      <c r="D101" s="1" t="n"/>
      <c r="E101" s="2" t="n"/>
      <c r="F101" s="1" t="n"/>
      <c r="G101" s="1" t="n"/>
      <c r="H101" s="137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</row>
    <row r="102" ht="16.5" customHeight="1" s="220">
      <c r="A102" s="1" t="n"/>
      <c r="B102" s="1" t="n"/>
      <c r="C102" s="2" t="n"/>
      <c r="D102" s="1" t="n"/>
      <c r="E102" s="1" t="n"/>
      <c r="F102" s="1" t="n"/>
      <c r="G102" s="1" t="n"/>
      <c r="H102" s="137" t="n"/>
      <c r="I102" s="1" t="n"/>
      <c r="J102" s="1" t="n"/>
      <c r="K102" s="1" t="n"/>
      <c r="L102" s="137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</row>
    <row r="103" ht="16.5" customHeight="1" s="220">
      <c r="A103" s="137" t="n"/>
      <c r="B103" s="1" t="n"/>
      <c r="C103" s="2" t="n"/>
      <c r="D103" s="1" t="n"/>
      <c r="E103" s="137" t="n"/>
      <c r="F103" s="1" t="n"/>
      <c r="G103" s="1" t="n"/>
      <c r="H103" s="137" t="n"/>
      <c r="I103" s="1" t="n"/>
      <c r="J103" s="137" t="n"/>
      <c r="K103" s="137" t="n"/>
      <c r="L103" s="137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</row>
    <row r="104" ht="16.5" customHeight="1" s="220">
      <c r="A104" s="1" t="n"/>
      <c r="B104" s="1" t="n"/>
      <c r="C104" s="2" t="n"/>
      <c r="D104" s="1" t="n"/>
      <c r="E104" s="1" t="n"/>
      <c r="F104" s="1" t="n"/>
      <c r="G104" s="1" t="n"/>
      <c r="H104" s="137" t="n"/>
      <c r="I104" s="1" t="n"/>
      <c r="J104" s="1" t="n"/>
      <c r="K104" s="1" t="n"/>
      <c r="L104" s="137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</row>
    <row r="105" ht="16.5" customHeight="1" s="220">
      <c r="A105" s="1" t="n"/>
      <c r="B105" s="1" t="n"/>
      <c r="C105" s="2" t="n"/>
      <c r="D105" s="1" t="n"/>
      <c r="E105" s="1" t="n"/>
      <c r="F105" s="137" t="n"/>
      <c r="G105" s="137" t="n"/>
      <c r="H105" s="137" t="n"/>
      <c r="I105" s="1" t="n"/>
      <c r="J105" s="1" t="n"/>
      <c r="K105" s="1" t="n"/>
      <c r="L105" s="137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</row>
    <row r="106" ht="16.5" customHeight="1" s="220">
      <c r="A106" s="1" t="n"/>
      <c r="B106" s="1" t="n"/>
      <c r="C106" s="2" t="n"/>
      <c r="D106" s="1" t="n"/>
      <c r="E106" s="1" t="n"/>
      <c r="F106" s="1" t="n"/>
      <c r="G106" s="1" t="n"/>
      <c r="H106" s="137" t="n"/>
      <c r="I106" s="1" t="n"/>
      <c r="J106" s="1" t="n"/>
      <c r="K106" s="1" t="n"/>
      <c r="L106" s="137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</row>
    <row r="107" ht="16.5" customHeight="1" s="220">
      <c r="A107" s="137" t="n"/>
      <c r="B107" s="1" t="n"/>
      <c r="C107" s="2" t="n"/>
      <c r="D107" s="1" t="n"/>
      <c r="E107" s="137" t="n"/>
      <c r="F107" s="1" t="n"/>
      <c r="G107" s="1" t="n"/>
      <c r="H107" s="137" t="n"/>
      <c r="I107" s="1" t="n"/>
      <c r="J107" s="137" t="n"/>
      <c r="K107" s="137" t="n"/>
      <c r="L107" s="137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</row>
    <row r="108" ht="16.5" customHeight="1" s="220">
      <c r="A108" s="1" t="n"/>
      <c r="B108" s="1" t="n"/>
      <c r="C108" s="2" t="n"/>
      <c r="D108" s="1" t="n"/>
      <c r="E108" s="1" t="n"/>
      <c r="F108" s="137" t="n"/>
      <c r="G108" s="137" t="n"/>
      <c r="H108" s="137" t="n"/>
      <c r="I108" s="1" t="n"/>
      <c r="J108" s="1" t="n"/>
      <c r="K108" s="1" t="n"/>
      <c r="L108" s="137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</row>
    <row r="109" ht="16.5" customHeight="1" s="220">
      <c r="A109" s="1" t="n"/>
      <c r="B109" s="1" t="n"/>
      <c r="C109" s="2" t="n"/>
      <c r="D109" s="1" t="n"/>
      <c r="E109" s="137" t="n"/>
      <c r="F109" s="1" t="n"/>
      <c r="G109" s="1" t="n"/>
      <c r="H109" s="137" t="n"/>
      <c r="I109" s="1" t="n"/>
      <c r="J109" s="1" t="n"/>
      <c r="K109" s="1" t="n"/>
      <c r="L109" s="137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</row>
    <row r="110" ht="16.5" customHeight="1" s="220">
      <c r="A110" s="1" t="n"/>
      <c r="B110" s="1" t="n"/>
      <c r="C110" s="2" t="n"/>
      <c r="D110" s="1" t="n"/>
      <c r="E110" s="1" t="n"/>
      <c r="F110" s="1" t="n"/>
      <c r="G110" s="1" t="n"/>
      <c r="H110" s="137" t="n"/>
      <c r="I110" s="1" t="n"/>
      <c r="J110" s="1" t="n"/>
      <c r="K110" s="1" t="n"/>
      <c r="L110" s="137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</row>
    <row r="111" ht="16.5" customHeight="1" s="220">
      <c r="A111" s="137" t="n"/>
      <c r="B111" s="1" t="n"/>
      <c r="C111" s="2" t="n"/>
      <c r="D111" s="1" t="n"/>
      <c r="E111" s="1" t="n"/>
      <c r="F111" s="1" t="n"/>
      <c r="G111" s="1" t="n"/>
      <c r="H111" s="137" t="n"/>
      <c r="I111" s="1" t="n"/>
      <c r="J111" s="1" t="n"/>
      <c r="K111" s="1" t="n"/>
      <c r="L111" s="137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</row>
    <row r="112" ht="16.5" customHeight="1" s="220">
      <c r="A112" s="1" t="n"/>
      <c r="B112" s="1" t="n"/>
      <c r="C112" s="1" t="n"/>
      <c r="D112" s="1" t="n"/>
      <c r="E112" s="1" t="n"/>
      <c r="F112" s="137" t="n"/>
      <c r="G112" s="137" t="n"/>
      <c r="H112" s="137" t="n"/>
      <c r="I112" s="1" t="n"/>
      <c r="J112" s="137" t="n"/>
      <c r="K112" s="137" t="n"/>
      <c r="L112" s="137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</row>
    <row r="113" ht="16.5" customHeight="1" s="220">
      <c r="A113" s="1" t="n"/>
      <c r="B113" s="1" t="n"/>
      <c r="C113" s="137" t="n"/>
      <c r="D113" s="137" t="n"/>
      <c r="E113" s="137" t="n"/>
      <c r="F113" s="1" t="n"/>
      <c r="G113" s="1" t="n"/>
      <c r="H113" s="137" t="n"/>
      <c r="I113" s="1" t="n"/>
      <c r="J113" s="1" t="n"/>
      <c r="K113" s="1" t="n"/>
      <c r="L113" s="137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</row>
    <row r="114" ht="16.5" customHeight="1" s="220">
      <c r="A114" s="1" t="n"/>
      <c r="B114" s="1" t="n"/>
      <c r="C114" s="1" t="n"/>
      <c r="D114" s="1" t="n"/>
      <c r="E114" s="1" t="n"/>
      <c r="F114" s="1" t="n"/>
      <c r="G114" s="1" t="n"/>
      <c r="H114" s="137" t="n"/>
      <c r="I114" s="1" t="n"/>
      <c r="J114" s="1" t="n"/>
      <c r="K114" s="1" t="n"/>
      <c r="L114" s="137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</row>
    <row r="115" ht="16.5" customHeight="1" s="220">
      <c r="A115" s="137" t="n"/>
      <c r="B115" s="137" t="n"/>
      <c r="C115" s="137" t="n"/>
      <c r="D115" s="1" t="n"/>
      <c r="E115" s="1" t="n"/>
      <c r="F115" s="1" t="n"/>
      <c r="G115" s="1" t="n"/>
      <c r="H115" s="137" t="n"/>
      <c r="I115" s="1" t="n"/>
      <c r="J115" s="1" t="n"/>
      <c r="K115" s="1" t="n"/>
      <c r="L115" s="137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</row>
    <row r="116" ht="16.5" customHeight="1" s="220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</row>
    <row r="117" ht="16.5" customHeight="1" s="220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</row>
    <row r="118" ht="16.5" customHeight="1" s="220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</row>
    <row r="119" ht="16.5" customHeight="1" s="220">
      <c r="A119" s="137" t="n"/>
      <c r="B119" s="137" t="n"/>
      <c r="C119" s="137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</row>
    <row r="120" ht="16.5" customHeight="1" s="2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</row>
    <row r="121" ht="16.5" customHeight="1" s="220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</row>
    <row r="122" ht="16.5" customHeight="1" s="220">
      <c r="A122" s="137" t="n"/>
      <c r="B122" s="137" t="n"/>
      <c r="C122" s="137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</row>
    <row r="123" ht="16.5" customHeight="1" s="220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</row>
    <row r="124" ht="16.5" customHeight="1" s="220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</row>
    <row r="125" ht="16.5" customHeight="1" s="220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</row>
    <row r="126" ht="16.5" customHeight="1" s="220">
      <c r="A126" s="137" t="n"/>
      <c r="B126" s="137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</row>
    <row r="127" ht="16.5" customHeight="1" s="220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</row>
    <row r="128" ht="16.5" customHeight="1" s="220">
      <c r="A128" s="1" t="n"/>
      <c r="B128" s="1" t="n"/>
      <c r="C128" s="137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</row>
    <row r="129" ht="16.5" customHeight="1" s="220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</row>
    <row r="130" ht="16.5" customHeight="1" s="220">
      <c r="A130" s="137" t="n"/>
      <c r="B130" s="137" t="n"/>
      <c r="C130" s="137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</row>
    <row r="131" ht="16.5" customHeight="1" s="220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</row>
    <row r="132" ht="16.5" customHeight="1" s="220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</row>
    <row r="133" ht="16.5" customHeight="1" s="220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</row>
    <row r="134" ht="16.5" customHeight="1" s="220">
      <c r="A134" s="1" t="n"/>
      <c r="B134" s="1" t="n"/>
      <c r="C134" s="2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</row>
    <row r="135" ht="16.5" customHeight="1" s="220">
      <c r="A135" s="1" t="n"/>
      <c r="B135" s="1" t="n"/>
      <c r="C135" s="2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</row>
    <row r="136" ht="16.5" customHeight="1" s="220">
      <c r="A136" s="1" t="n"/>
      <c r="B136" s="1" t="n"/>
      <c r="C136" s="2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</row>
    <row r="137" ht="16.5" customHeight="1" s="220">
      <c r="A137" s="1" t="n"/>
      <c r="B137" s="1" t="n"/>
      <c r="C137" s="2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</row>
    <row r="138" ht="16.5" customHeight="1" s="220">
      <c r="A138" s="1" t="n"/>
      <c r="B138" s="1" t="n"/>
      <c r="C138" s="2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</row>
    <row r="139" ht="16.5" customHeight="1" s="220">
      <c r="A139" s="1" t="n"/>
      <c r="B139" s="1" t="n"/>
      <c r="C139" s="2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</row>
    <row r="140" ht="16.5" customHeight="1" s="220">
      <c r="A140" s="1" t="n"/>
      <c r="B140" s="1" t="n"/>
      <c r="C140" s="2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</row>
    <row r="141" ht="16.5" customHeight="1" s="220">
      <c r="A141" s="1" t="n"/>
      <c r="B141" s="1" t="n"/>
      <c r="C141" s="2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</row>
    <row r="142" ht="16.5" customHeight="1" s="220">
      <c r="A142" s="1" t="n"/>
      <c r="B142" s="1" t="n"/>
      <c r="C142" s="2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</row>
    <row r="143" ht="16.5" customHeight="1" s="220">
      <c r="A143" s="1" t="n"/>
      <c r="B143" s="1" t="n"/>
      <c r="C143" s="2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</row>
    <row r="144" ht="16.5" customHeight="1" s="220">
      <c r="A144" s="1" t="n"/>
      <c r="B144" s="1" t="n"/>
      <c r="C144" s="2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</row>
    <row r="145" ht="16.5" customHeight="1" s="220">
      <c r="A145" s="1" t="n"/>
      <c r="B145" s="1" t="n"/>
      <c r="C145" s="2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</row>
    <row r="146" ht="16.5" customHeight="1" s="220">
      <c r="A146" s="1" t="n"/>
      <c r="B146" s="1" t="n"/>
      <c r="C146" s="2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</row>
    <row r="147" ht="16.5" customHeight="1" s="220">
      <c r="A147" s="1" t="n"/>
      <c r="B147" s="1" t="n"/>
      <c r="C147" s="2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</row>
    <row r="148" ht="16.5" customHeight="1" s="220">
      <c r="A148" s="1" t="n"/>
      <c r="B148" s="1" t="n"/>
      <c r="C148" s="2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</row>
    <row r="149" ht="16.5" customHeight="1" s="220">
      <c r="A149" s="1" t="n"/>
      <c r="B149" s="1" t="n"/>
      <c r="C149" s="2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</row>
    <row r="150" ht="16.5" customHeight="1" s="220">
      <c r="A150" s="1" t="n"/>
      <c r="B150" s="1" t="n"/>
      <c r="C150" s="2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</row>
    <row r="151" ht="16.5" customHeight="1" s="220">
      <c r="A151" s="1" t="n"/>
      <c r="B151" s="1" t="n"/>
      <c r="C151" s="2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</row>
    <row r="152" ht="16.5" customHeight="1" s="220">
      <c r="A152" s="1" t="n"/>
      <c r="B152" s="1" t="n"/>
      <c r="C152" s="2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</row>
    <row r="153" ht="16.5" customHeight="1" s="220">
      <c r="A153" s="1" t="n"/>
      <c r="B153" s="1" t="n"/>
      <c r="C153" s="2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</row>
    <row r="154" ht="16.5" customHeight="1" s="220">
      <c r="A154" s="1" t="n"/>
      <c r="B154" s="1" t="n"/>
      <c r="C154" s="2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</row>
    <row r="155" ht="16.5" customHeight="1" s="220">
      <c r="A155" s="1" t="n"/>
      <c r="B155" s="1" t="n"/>
      <c r="C155" s="2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</row>
    <row r="156" ht="16.5" customHeight="1" s="220">
      <c r="A156" s="1" t="n"/>
      <c r="B156" s="1" t="n"/>
      <c r="C156" s="2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</row>
    <row r="157" ht="16.5" customHeight="1" s="220">
      <c r="A157" s="1" t="n"/>
      <c r="B157" s="1" t="n"/>
      <c r="C157" s="2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</row>
    <row r="158" ht="16.5" customHeight="1" s="220">
      <c r="A158" s="1" t="n"/>
      <c r="B158" s="1" t="n"/>
      <c r="C158" s="2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  <c r="BA158" s="1" t="n"/>
    </row>
    <row r="159" ht="16.5" customHeight="1" s="220">
      <c r="A159" s="1" t="n"/>
      <c r="B159" s="1" t="n"/>
      <c r="C159" s="2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</row>
    <row r="160" ht="16.5" customHeight="1" s="220">
      <c r="A160" s="1" t="n"/>
      <c r="B160" s="1" t="n"/>
      <c r="C160" s="2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</row>
    <row r="161" ht="16.5" customHeight="1" s="220">
      <c r="A161" s="1" t="n"/>
      <c r="B161" s="1" t="n"/>
      <c r="C161" s="2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</row>
    <row r="162" ht="16.5" customHeight="1" s="220">
      <c r="A162" s="1" t="n"/>
      <c r="B162" s="1" t="n"/>
      <c r="C162" s="2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</row>
    <row r="163" ht="16.5" customHeight="1" s="220">
      <c r="A163" s="1" t="n"/>
      <c r="B163" s="1" t="n"/>
      <c r="C163" s="2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</row>
    <row r="164" ht="16.5" customHeight="1" s="220">
      <c r="A164" s="1" t="n"/>
      <c r="B164" s="1" t="n"/>
      <c r="C164" s="2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</row>
    <row r="165" ht="16.5" customHeight="1" s="220">
      <c r="A165" s="1" t="n"/>
      <c r="B165" s="1" t="n"/>
      <c r="C165" s="2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</row>
    <row r="166" ht="16.5" customHeight="1" s="220">
      <c r="A166" s="1" t="n"/>
      <c r="B166" s="1" t="n"/>
      <c r="C166" s="2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</row>
    <row r="167" ht="16.5" customHeight="1" s="220">
      <c r="A167" s="1" t="n"/>
      <c r="B167" s="1" t="n"/>
      <c r="C167" s="2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</row>
    <row r="168" ht="16.5" customHeight="1" s="220">
      <c r="A168" s="1" t="n"/>
      <c r="B168" s="1" t="n"/>
      <c r="C168" s="2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1" t="n"/>
    </row>
    <row r="169" ht="16.5" customHeight="1" s="220">
      <c r="A169" s="1" t="n"/>
      <c r="B169" s="1" t="n"/>
      <c r="C169" s="2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</row>
    <row r="170" ht="16.5" customHeight="1" s="220">
      <c r="A170" s="1" t="n"/>
      <c r="B170" s="1" t="n"/>
      <c r="C170" s="2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</row>
    <row r="171" ht="16.5" customHeight="1" s="220">
      <c r="A171" s="1" t="n"/>
      <c r="B171" s="1" t="n"/>
      <c r="C171" s="2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1" t="n"/>
    </row>
    <row r="172" ht="16.5" customHeight="1" s="220">
      <c r="A172" s="1" t="n"/>
      <c r="B172" s="1" t="n"/>
      <c r="C172" s="2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</row>
    <row r="173" ht="16.5" customHeight="1" s="220">
      <c r="A173" s="1" t="n"/>
      <c r="B173" s="1" t="n"/>
      <c r="C173" s="2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</row>
    <row r="174" ht="16.5" customHeight="1" s="220">
      <c r="A174" s="1" t="n"/>
      <c r="B174" s="1" t="n"/>
      <c r="C174" s="2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</row>
    <row r="175" ht="16.5" customHeight="1" s="220">
      <c r="A175" s="1" t="n"/>
      <c r="B175" s="1" t="n"/>
      <c r="C175" s="2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</row>
    <row r="176" ht="16.5" customHeight="1" s="220">
      <c r="A176" s="1" t="n"/>
      <c r="B176" s="1" t="n"/>
      <c r="C176" s="2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</row>
    <row r="177" ht="16.5" customHeight="1" s="220">
      <c r="A177" s="1" t="n"/>
      <c r="B177" s="1" t="n"/>
      <c r="C177" s="2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</row>
    <row r="178" ht="16.5" customHeight="1" s="220">
      <c r="A178" s="1" t="n"/>
      <c r="B178" s="1" t="n"/>
      <c r="C178" s="2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</row>
    <row r="179" ht="16.5" customHeight="1" s="220">
      <c r="A179" s="1" t="n"/>
      <c r="B179" s="1" t="n"/>
      <c r="C179" s="2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</row>
    <row r="180" ht="16.5" customHeight="1" s="220">
      <c r="A180" s="1" t="n"/>
      <c r="B180" s="1" t="n"/>
      <c r="C180" s="2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</row>
    <row r="181" ht="16.5" customHeight="1" s="220">
      <c r="A181" s="1" t="n"/>
      <c r="B181" s="1" t="n"/>
      <c r="C181" s="2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</row>
    <row r="182" ht="16.5" customHeight="1" s="220">
      <c r="A182" s="1" t="n"/>
      <c r="B182" s="1" t="n"/>
      <c r="C182" s="2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</row>
    <row r="183" ht="16.5" customHeight="1" s="220">
      <c r="A183" s="1" t="n"/>
      <c r="B183" s="1" t="n"/>
      <c r="C183" s="2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</row>
    <row r="184" ht="16.5" customHeight="1" s="220">
      <c r="A184" s="1" t="n"/>
      <c r="B184" s="1" t="n"/>
      <c r="C184" s="2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</row>
    <row r="185" ht="16.5" customHeight="1" s="220">
      <c r="A185" s="1" t="n"/>
      <c r="B185" s="1" t="n"/>
      <c r="C185" s="2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</row>
    <row r="186" ht="16.5" customHeight="1" s="220">
      <c r="A186" s="1" t="n"/>
      <c r="B186" s="1" t="n"/>
      <c r="C186" s="2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</row>
    <row r="187" ht="16.5" customHeight="1" s="220">
      <c r="A187" s="1" t="n"/>
      <c r="B187" s="1" t="n"/>
      <c r="C187" s="2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</row>
    <row r="188" ht="16.5" customHeight="1" s="220">
      <c r="A188" s="1" t="n"/>
      <c r="B188" s="1" t="n"/>
      <c r="C188" s="2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</row>
    <row r="189" ht="16.5" customHeight="1" s="220">
      <c r="A189" s="1" t="n"/>
      <c r="B189" s="1" t="n"/>
      <c r="C189" s="2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</row>
    <row r="190" ht="16.5" customHeight="1" s="220">
      <c r="A190" s="1" t="n"/>
      <c r="B190" s="1" t="n"/>
      <c r="C190" s="2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</row>
    <row r="191" ht="16.5" customHeight="1" s="220">
      <c r="A191" s="1" t="n"/>
      <c r="B191" s="1" t="n"/>
      <c r="C191" s="2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</row>
    <row r="192" ht="16.5" customHeight="1" s="220">
      <c r="A192" s="1" t="n"/>
      <c r="B192" s="1" t="n"/>
      <c r="C192" s="2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</row>
    <row r="193" ht="16.5" customHeight="1" s="220">
      <c r="A193" s="1" t="n"/>
      <c r="B193" s="1" t="n"/>
      <c r="C193" s="2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</row>
    <row r="194" ht="16.5" customHeight="1" s="220">
      <c r="A194" s="1" t="n"/>
      <c r="B194" s="1" t="n"/>
      <c r="C194" s="2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1" t="n"/>
    </row>
    <row r="195" ht="16.5" customHeight="1" s="220">
      <c r="A195" s="1" t="n"/>
      <c r="B195" s="1" t="n"/>
      <c r="C195" s="2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</row>
    <row r="196" ht="16.5" customHeight="1" s="220">
      <c r="A196" s="1" t="n"/>
      <c r="B196" s="1" t="n"/>
      <c r="C196" s="2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</row>
    <row r="197" ht="16.5" customHeight="1" s="220">
      <c r="A197" s="1" t="n"/>
      <c r="B197" s="1" t="n"/>
      <c r="C197" s="2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</row>
    <row r="198" ht="16.5" customHeight="1" s="220">
      <c r="A198" s="1" t="n"/>
      <c r="B198" s="1" t="n"/>
      <c r="C198" s="2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</row>
    <row r="199" ht="16.5" customHeight="1" s="220">
      <c r="A199" s="1" t="n"/>
      <c r="B199" s="1" t="n"/>
      <c r="C199" s="2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</row>
    <row r="200" ht="16.5" customHeight="1" s="220">
      <c r="A200" s="1" t="n"/>
      <c r="B200" s="1" t="n"/>
      <c r="C200" s="2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</row>
    <row r="201" ht="16.5" customHeight="1" s="220">
      <c r="A201" s="1" t="n"/>
      <c r="B201" s="1" t="n"/>
      <c r="C201" s="2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  <c r="BA201" s="1" t="n"/>
    </row>
    <row r="202" ht="16.5" customHeight="1" s="220">
      <c r="A202" s="1" t="n"/>
      <c r="B202" s="1" t="n"/>
      <c r="C202" s="2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  <c r="BA202" s="1" t="n"/>
    </row>
    <row r="203" ht="16.5" customHeight="1" s="220">
      <c r="A203" s="1" t="n"/>
      <c r="B203" s="1" t="n"/>
      <c r="C203" s="2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  <c r="BA203" s="1" t="n"/>
    </row>
    <row r="204" ht="16.5" customHeight="1" s="220">
      <c r="A204" s="1" t="n"/>
      <c r="B204" s="1" t="n"/>
      <c r="C204" s="2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  <c r="BA204" s="1" t="n"/>
    </row>
    <row r="205" ht="16.5" customHeight="1" s="220">
      <c r="A205" s="1" t="n"/>
      <c r="B205" s="1" t="n"/>
      <c r="C205" s="2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  <c r="BA205" s="1" t="n"/>
    </row>
    <row r="206" ht="16.5" customHeight="1" s="220">
      <c r="A206" s="1" t="n"/>
      <c r="B206" s="1" t="n"/>
      <c r="C206" s="2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  <c r="BA206" s="1" t="n"/>
    </row>
    <row r="207" ht="16.5" customHeight="1" s="220">
      <c r="A207" s="1" t="n"/>
      <c r="B207" s="1" t="n"/>
      <c r="C207" s="2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  <c r="BA207" s="1" t="n"/>
    </row>
    <row r="208" ht="16.5" customHeight="1" s="220">
      <c r="A208" s="1" t="n"/>
      <c r="B208" s="1" t="n"/>
      <c r="C208" s="2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  <c r="BA208" s="1" t="n"/>
    </row>
    <row r="209" ht="16.5" customHeight="1" s="220">
      <c r="A209" s="1" t="n"/>
      <c r="B209" s="1" t="n"/>
      <c r="C209" s="2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  <c r="BA209" s="1" t="n"/>
    </row>
    <row r="210" ht="16.5" customHeight="1" s="220">
      <c r="A210" s="1" t="n"/>
      <c r="B210" s="1" t="n"/>
      <c r="C210" s="2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  <c r="BA210" s="1" t="n"/>
    </row>
    <row r="211" ht="16.5" customHeight="1" s="220">
      <c r="A211" s="1" t="n"/>
      <c r="B211" s="1" t="n"/>
      <c r="C211" s="2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  <c r="BA211" s="1" t="n"/>
    </row>
    <row r="212" ht="16.5" customHeight="1" s="220">
      <c r="A212" s="1" t="n"/>
      <c r="B212" s="1" t="n"/>
      <c r="C212" s="2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  <c r="BA212" s="1" t="n"/>
    </row>
    <row r="213" ht="16.5" customHeight="1" s="220">
      <c r="A213" s="1" t="n"/>
      <c r="B213" s="1" t="n"/>
      <c r="C213" s="2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  <c r="BA213" s="1" t="n"/>
    </row>
    <row r="214" ht="16.5" customHeight="1" s="220">
      <c r="A214" s="1" t="n"/>
      <c r="B214" s="1" t="n"/>
      <c r="C214" s="2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  <c r="BA214" s="1" t="n"/>
    </row>
    <row r="215" ht="16.5" customHeight="1" s="220">
      <c r="A215" s="1" t="n"/>
      <c r="B215" s="1" t="n"/>
      <c r="C215" s="2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  <c r="BA215" s="1" t="n"/>
    </row>
    <row r="216" ht="16.5" customHeight="1" s="220">
      <c r="A216" s="1" t="n"/>
      <c r="B216" s="1" t="n"/>
      <c r="C216" s="2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  <c r="BA216" s="1" t="n"/>
    </row>
    <row r="217" ht="16.5" customHeight="1" s="220">
      <c r="A217" s="1" t="n"/>
      <c r="B217" s="1" t="n"/>
      <c r="C217" s="2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  <c r="BA217" s="1" t="n"/>
    </row>
    <row r="218" ht="16.5" customHeight="1" s="220">
      <c r="A218" s="1" t="n"/>
      <c r="B218" s="1" t="n"/>
      <c r="C218" s="2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  <c r="BA218" s="1" t="n"/>
    </row>
    <row r="219" ht="16.5" customHeight="1" s="220">
      <c r="A219" s="1" t="n"/>
      <c r="B219" s="1" t="n"/>
      <c r="C219" s="2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  <c r="BA219" s="1" t="n"/>
    </row>
    <row r="220" ht="16.5" customHeight="1" s="220">
      <c r="A220" s="1" t="n"/>
      <c r="B220" s="1" t="n"/>
      <c r="C220" s="2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  <c r="BA220" s="1" t="n"/>
    </row>
    <row r="221" ht="16.5" customHeight="1" s="220">
      <c r="A221" s="1" t="n"/>
      <c r="B221" s="1" t="n"/>
      <c r="C221" s="2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  <c r="BA221" s="1" t="n"/>
    </row>
    <row r="222" ht="16.5" customHeight="1" s="220">
      <c r="A222" s="1" t="n"/>
      <c r="B222" s="1" t="n"/>
      <c r="C222" s="2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  <c r="BA222" s="1" t="n"/>
    </row>
    <row r="223" ht="16.5" customHeight="1" s="220">
      <c r="A223" s="1" t="n"/>
      <c r="B223" s="1" t="n"/>
      <c r="C223" s="2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  <c r="BA223" s="1" t="n"/>
    </row>
    <row r="224" ht="16.5" customHeight="1" s="220">
      <c r="A224" s="1" t="n"/>
      <c r="B224" s="1" t="n"/>
      <c r="C224" s="2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  <c r="BA224" s="1" t="n"/>
    </row>
    <row r="225" ht="16.5" customHeight="1" s="220">
      <c r="A225" s="1" t="n"/>
      <c r="B225" s="1" t="n"/>
      <c r="C225" s="2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  <c r="BA225" s="1" t="n"/>
    </row>
    <row r="226" ht="16.5" customHeight="1" s="220">
      <c r="A226" s="1" t="n"/>
      <c r="B226" s="1" t="n"/>
      <c r="C226" s="2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  <c r="AZ226" s="1" t="n"/>
      <c r="BA226" s="1" t="n"/>
    </row>
    <row r="227" ht="16.5" customHeight="1" s="220">
      <c r="A227" s="1" t="n"/>
      <c r="B227" s="1" t="n"/>
      <c r="C227" s="2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  <c r="BA227" s="1" t="n"/>
    </row>
    <row r="228" ht="16.5" customHeight="1" s="220">
      <c r="A228" s="1" t="n"/>
      <c r="B228" s="1" t="n"/>
      <c r="C228" s="2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  <c r="AZ228" s="1" t="n"/>
      <c r="BA228" s="1" t="n"/>
    </row>
    <row r="229" ht="16.5" customHeight="1" s="220">
      <c r="A229" s="1" t="n"/>
      <c r="B229" s="1" t="n"/>
      <c r="C229" s="2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  <c r="BA229" s="1" t="n"/>
    </row>
    <row r="230" ht="16.5" customHeight="1" s="220">
      <c r="A230" s="1" t="n"/>
      <c r="B230" s="1" t="n"/>
      <c r="C230" s="2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  <c r="AZ230" s="1" t="n"/>
      <c r="BA230" s="1" t="n"/>
    </row>
    <row r="231" ht="16.5" customHeight="1" s="220">
      <c r="A231" s="1" t="n"/>
      <c r="B231" s="1" t="n"/>
      <c r="C231" s="2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  <c r="BA231" s="1" t="n"/>
    </row>
    <row r="232" ht="16.5" customHeight="1" s="220">
      <c r="A232" s="1" t="n"/>
      <c r="B232" s="1" t="n"/>
      <c r="C232" s="2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  <c r="AZ232" s="1" t="n"/>
      <c r="BA232" s="1" t="n"/>
    </row>
    <row r="233" ht="16.5" customHeight="1" s="220">
      <c r="A233" s="1" t="n"/>
      <c r="B233" s="1" t="n"/>
      <c r="C233" s="2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  <c r="BA233" s="1" t="n"/>
    </row>
    <row r="234" ht="16.5" customHeight="1" s="220">
      <c r="A234" s="1" t="n"/>
      <c r="B234" s="1" t="n"/>
      <c r="C234" s="2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  <c r="AY234" s="1" t="n"/>
      <c r="AZ234" s="1" t="n"/>
      <c r="BA234" s="1" t="n"/>
    </row>
    <row r="235" ht="16.5" customHeight="1" s="220">
      <c r="A235" s="1" t="n"/>
      <c r="B235" s="1" t="n"/>
      <c r="C235" s="2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  <c r="AZ235" s="1" t="n"/>
      <c r="BA235" s="1" t="n"/>
    </row>
    <row r="236" ht="16.5" customHeight="1" s="220">
      <c r="A236" s="1" t="n"/>
      <c r="B236" s="1" t="n"/>
      <c r="C236" s="2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  <c r="AY236" s="1" t="n"/>
      <c r="AZ236" s="1" t="n"/>
      <c r="BA236" s="1" t="n"/>
    </row>
    <row r="237" ht="16.5" customHeight="1" s="220">
      <c r="A237" s="1" t="n"/>
      <c r="B237" s="1" t="n"/>
      <c r="C237" s="2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  <c r="BA237" s="1" t="n"/>
    </row>
    <row r="238" ht="16.5" customHeight="1" s="220">
      <c r="A238" s="1" t="n"/>
      <c r="B238" s="1" t="n"/>
      <c r="C238" s="2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  <c r="AZ238" s="1" t="n"/>
      <c r="BA238" s="1" t="n"/>
    </row>
    <row r="239" ht="16.5" customHeight="1" s="220">
      <c r="A239" s="1" t="n"/>
      <c r="B239" s="1" t="n"/>
      <c r="C239" s="2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  <c r="AZ239" s="1" t="n"/>
      <c r="BA239" s="1" t="n"/>
    </row>
    <row r="240" ht="16.5" customHeight="1" s="220">
      <c r="A240" s="1" t="n"/>
      <c r="B240" s="1" t="n"/>
      <c r="C240" s="2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</row>
    <row r="241" ht="16.5" customHeight="1" s="220">
      <c r="A241" s="1" t="n"/>
      <c r="B241" s="1" t="n"/>
      <c r="C241" s="2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  <c r="AZ241" s="1" t="n"/>
      <c r="BA241" s="1" t="n"/>
    </row>
    <row r="242" ht="16.5" customHeight="1" s="220">
      <c r="A242" s="1" t="n"/>
      <c r="B242" s="1" t="n"/>
      <c r="C242" s="2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  <c r="BA242" s="1" t="n"/>
    </row>
    <row r="243" ht="16.5" customHeight="1" s="220">
      <c r="A243" s="1" t="n"/>
      <c r="B243" s="1" t="n"/>
      <c r="C243" s="2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  <c r="AZ243" s="1" t="n"/>
      <c r="BA243" s="1" t="n"/>
    </row>
    <row r="244" ht="16.5" customHeight="1" s="220">
      <c r="A244" s="1" t="n"/>
      <c r="B244" s="1" t="n"/>
      <c r="C244" s="2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  <c r="AY244" s="1" t="n"/>
      <c r="AZ244" s="1" t="n"/>
      <c r="BA244" s="1" t="n"/>
    </row>
    <row r="245" ht="16.5" customHeight="1" s="220">
      <c r="A245" s="1" t="n"/>
      <c r="B245" s="1" t="n"/>
      <c r="C245" s="2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  <c r="AZ245" s="1" t="n"/>
      <c r="BA245" s="1" t="n"/>
    </row>
    <row r="246" ht="16.5" customHeight="1" s="220">
      <c r="A246" s="1" t="n"/>
      <c r="B246" s="1" t="n"/>
      <c r="C246" s="2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  <c r="AX246" s="1" t="n"/>
      <c r="AY246" s="1" t="n"/>
      <c r="AZ246" s="1" t="n"/>
      <c r="BA246" s="1" t="n"/>
    </row>
    <row r="247" ht="16.5" customHeight="1" s="220">
      <c r="A247" s="1" t="n"/>
      <c r="B247" s="1" t="n"/>
      <c r="C247" s="2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  <c r="AY247" s="1" t="n"/>
      <c r="AZ247" s="1" t="n"/>
      <c r="BA247" s="1" t="n"/>
    </row>
    <row r="248" ht="16.5" customHeight="1" s="220">
      <c r="A248" s="1" t="n"/>
      <c r="B248" s="1" t="n"/>
      <c r="C248" s="2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  <c r="AX248" s="1" t="n"/>
      <c r="AY248" s="1" t="n"/>
      <c r="AZ248" s="1" t="n"/>
      <c r="BA248" s="1" t="n"/>
    </row>
    <row r="249" ht="16.5" customHeight="1" s="220">
      <c r="A249" s="1" t="n"/>
      <c r="B249" s="1" t="n"/>
      <c r="C249" s="2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  <c r="AY249" s="1" t="n"/>
      <c r="AZ249" s="1" t="n"/>
      <c r="BA249" s="1" t="n"/>
    </row>
    <row r="250" ht="16.5" customHeight="1" s="220">
      <c r="A250" s="1" t="n"/>
      <c r="B250" s="1" t="n"/>
      <c r="C250" s="2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  <c r="AY250" s="1" t="n"/>
      <c r="AZ250" s="1" t="n"/>
      <c r="BA250" s="1" t="n"/>
    </row>
    <row r="251" ht="16.5" customHeight="1" s="220">
      <c r="A251" s="1" t="n"/>
      <c r="B251" s="1" t="n"/>
      <c r="C251" s="2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  <c r="AZ251" s="1" t="n"/>
      <c r="BA251" s="1" t="n"/>
    </row>
    <row r="252" ht="16.5" customHeight="1" s="220">
      <c r="A252" s="1" t="n"/>
      <c r="B252" s="1" t="n"/>
      <c r="C252" s="2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  <c r="AY252" s="1" t="n"/>
      <c r="AZ252" s="1" t="n"/>
      <c r="BA252" s="1" t="n"/>
    </row>
    <row r="253" ht="16.5" customHeight="1" s="220">
      <c r="A253" s="1" t="n"/>
      <c r="B253" s="1" t="n"/>
      <c r="C253" s="2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  <c r="AZ253" s="1" t="n"/>
      <c r="BA253" s="1" t="n"/>
    </row>
    <row r="254" ht="16.5" customHeight="1" s="220">
      <c r="A254" s="1" t="n"/>
      <c r="B254" s="1" t="n"/>
      <c r="C254" s="2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  <c r="AX254" s="1" t="n"/>
      <c r="AY254" s="1" t="n"/>
      <c r="AZ254" s="1" t="n"/>
      <c r="BA254" s="1" t="n"/>
    </row>
    <row r="255" ht="16.5" customHeight="1" s="220">
      <c r="A255" s="1" t="n"/>
      <c r="B255" s="1" t="n"/>
      <c r="C255" s="2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  <c r="AZ255" s="1" t="n"/>
      <c r="BA255" s="1" t="n"/>
    </row>
    <row r="256" ht="16.5" customHeight="1" s="220">
      <c r="A256" s="1" t="n"/>
      <c r="B256" s="1" t="n"/>
      <c r="C256" s="2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  <c r="AY256" s="1" t="n"/>
      <c r="AZ256" s="1" t="n"/>
      <c r="BA256" s="1" t="n"/>
    </row>
    <row r="257" ht="16.5" customHeight="1" s="220">
      <c r="A257" s="1" t="n"/>
      <c r="B257" s="1" t="n"/>
      <c r="C257" s="2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  <c r="BA257" s="1" t="n"/>
    </row>
    <row r="258" ht="16.5" customHeight="1" s="220">
      <c r="A258" s="1" t="n"/>
      <c r="B258" s="1" t="n"/>
      <c r="C258" s="2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  <c r="AY258" s="1" t="n"/>
      <c r="AZ258" s="1" t="n"/>
      <c r="BA258" s="1" t="n"/>
    </row>
    <row r="259" ht="16.5" customHeight="1" s="220">
      <c r="A259" s="1" t="n"/>
      <c r="B259" s="1" t="n"/>
      <c r="C259" s="2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  <c r="BA259" s="1" t="n"/>
    </row>
    <row r="260" ht="16.5" customHeight="1" s="220">
      <c r="A260" s="1" t="n"/>
      <c r="B260" s="1" t="n"/>
      <c r="C260" s="2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  <c r="AX260" s="1" t="n"/>
      <c r="AY260" s="1" t="n"/>
      <c r="AZ260" s="1" t="n"/>
      <c r="BA260" s="1" t="n"/>
    </row>
    <row r="261" ht="16.5" customHeight="1" s="220">
      <c r="A261" s="1" t="n"/>
      <c r="B261" s="1" t="n"/>
      <c r="C261" s="2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  <c r="AZ261" s="1" t="n"/>
      <c r="BA261" s="1" t="n"/>
    </row>
    <row r="262" ht="16.5" customHeight="1" s="220">
      <c r="A262" s="1" t="n"/>
      <c r="B262" s="1" t="n"/>
      <c r="C262" s="2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  <c r="AX262" s="1" t="n"/>
      <c r="AY262" s="1" t="n"/>
      <c r="AZ262" s="1" t="n"/>
      <c r="BA262" s="1" t="n"/>
    </row>
    <row r="263" ht="16.5" customHeight="1" s="220">
      <c r="A263" s="1" t="n"/>
      <c r="B263" s="1" t="n"/>
      <c r="C263" s="2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  <c r="AZ263" s="1" t="n"/>
      <c r="BA263" s="1" t="n"/>
    </row>
    <row r="264" ht="16.5" customHeight="1" s="220">
      <c r="A264" s="1" t="n"/>
      <c r="B264" s="1" t="n"/>
      <c r="C264" s="2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  <c r="AX264" s="1" t="n"/>
      <c r="AY264" s="1" t="n"/>
      <c r="AZ264" s="1" t="n"/>
      <c r="BA264" s="1" t="n"/>
    </row>
    <row r="265" ht="16.5" customHeight="1" s="220">
      <c r="A265" s="1" t="n"/>
      <c r="B265" s="1" t="n"/>
      <c r="C265" s="2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  <c r="BA265" s="1" t="n"/>
    </row>
    <row r="266" ht="16.5" customHeight="1" s="220">
      <c r="A266" s="1" t="n"/>
      <c r="B266" s="1" t="n"/>
      <c r="C266" s="2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  <c r="AX266" s="1" t="n"/>
      <c r="AY266" s="1" t="n"/>
      <c r="AZ266" s="1" t="n"/>
      <c r="BA266" s="1" t="n"/>
    </row>
    <row r="267" ht="16.5" customHeight="1" s="220">
      <c r="A267" s="1" t="n"/>
      <c r="B267" s="1" t="n"/>
      <c r="C267" s="2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  <c r="BA267" s="1" t="n"/>
    </row>
    <row r="268" ht="16.5" customHeight="1" s="220">
      <c r="A268" s="1" t="n"/>
      <c r="B268" s="1" t="n"/>
      <c r="C268" s="2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  <c r="AZ268" s="1" t="n"/>
      <c r="BA268" s="1" t="n"/>
    </row>
    <row r="269" ht="16.5" customHeight="1" s="220">
      <c r="A269" s="1" t="n"/>
      <c r="B269" s="1" t="n"/>
      <c r="C269" s="2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  <c r="AZ269" s="1" t="n"/>
      <c r="BA269" s="1" t="n"/>
    </row>
    <row r="270" ht="16.5" customHeight="1" s="220">
      <c r="A270" s="1" t="n"/>
      <c r="B270" s="1" t="n"/>
      <c r="C270" s="2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  <c r="BA270" s="1" t="n"/>
    </row>
    <row r="271" ht="16.5" customHeight="1" s="220">
      <c r="A271" s="1" t="n"/>
      <c r="B271" s="1" t="n"/>
      <c r="C271" s="2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  <c r="AZ271" s="1" t="n"/>
      <c r="BA271" s="1" t="n"/>
    </row>
    <row r="272" ht="16.5" customHeight="1" s="220">
      <c r="A272" s="1" t="n"/>
      <c r="B272" s="1" t="n"/>
      <c r="C272" s="2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  <c r="AY272" s="1" t="n"/>
      <c r="AZ272" s="1" t="n"/>
      <c r="BA272" s="1" t="n"/>
    </row>
    <row r="273" ht="16.5" customHeight="1" s="220">
      <c r="A273" s="1" t="n"/>
      <c r="B273" s="1" t="n"/>
      <c r="C273" s="2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  <c r="AZ273" s="1" t="n"/>
      <c r="BA273" s="1" t="n"/>
    </row>
    <row r="274" ht="16.5" customHeight="1" s="220">
      <c r="A274" s="1" t="n"/>
      <c r="B274" s="1" t="n"/>
      <c r="C274" s="2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  <c r="AX274" s="1" t="n"/>
      <c r="AY274" s="1" t="n"/>
      <c r="AZ274" s="1" t="n"/>
      <c r="BA274" s="1" t="n"/>
    </row>
    <row r="275" ht="16.5" customHeight="1" s="220">
      <c r="A275" s="1" t="n"/>
      <c r="B275" s="1" t="n"/>
      <c r="C275" s="2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  <c r="AY275" s="1" t="n"/>
      <c r="AZ275" s="1" t="n"/>
      <c r="BA275" s="1" t="n"/>
    </row>
    <row r="276" ht="16.5" customHeight="1" s="220">
      <c r="A276" s="1" t="n"/>
      <c r="B276" s="1" t="n"/>
      <c r="C276" s="2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  <c r="BA276" s="1" t="n"/>
    </row>
    <row r="277" ht="16.5" customHeight="1" s="220">
      <c r="A277" s="1" t="n"/>
      <c r="B277" s="1" t="n"/>
      <c r="C277" s="2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  <c r="AX277" s="1" t="n"/>
      <c r="AY277" s="1" t="n"/>
      <c r="AZ277" s="1" t="n"/>
      <c r="BA277" s="1" t="n"/>
    </row>
    <row r="278" ht="16.5" customHeight="1" s="220">
      <c r="A278" s="1" t="n"/>
      <c r="B278" s="1" t="n"/>
      <c r="C278" s="2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  <c r="AZ278" s="1" t="n"/>
      <c r="BA278" s="1" t="n"/>
    </row>
    <row r="279" ht="16.5" customHeight="1" s="220">
      <c r="A279" s="1" t="n"/>
      <c r="B279" s="1" t="n"/>
      <c r="C279" s="2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  <c r="AX279" s="1" t="n"/>
      <c r="AY279" s="1" t="n"/>
      <c r="AZ279" s="1" t="n"/>
      <c r="BA279" s="1" t="n"/>
    </row>
    <row r="280" ht="16.5" customHeight="1" s="220">
      <c r="A280" s="1" t="n"/>
      <c r="B280" s="1" t="n"/>
      <c r="C280" s="2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  <c r="AX280" s="1" t="n"/>
      <c r="AY280" s="1" t="n"/>
      <c r="AZ280" s="1" t="n"/>
      <c r="BA280" s="1" t="n"/>
    </row>
    <row r="281" ht="16.5" customHeight="1" s="220">
      <c r="A281" s="1" t="n"/>
      <c r="B281" s="1" t="n"/>
      <c r="C281" s="2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  <c r="AX281" s="1" t="n"/>
      <c r="AY281" s="1" t="n"/>
      <c r="AZ281" s="1" t="n"/>
      <c r="BA281" s="1" t="n"/>
    </row>
    <row r="282" ht="16.5" customHeight="1" s="220">
      <c r="A282" s="1" t="n"/>
      <c r="B282" s="1" t="n"/>
      <c r="C282" s="2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  <c r="AX282" s="1" t="n"/>
      <c r="AY282" s="1" t="n"/>
      <c r="AZ282" s="1" t="n"/>
      <c r="BA282" s="1" t="n"/>
    </row>
    <row r="283" ht="16.5" customHeight="1" s="220">
      <c r="A283" s="1" t="n"/>
      <c r="B283" s="1" t="n"/>
      <c r="C283" s="2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  <c r="AX283" s="1" t="n"/>
      <c r="AY283" s="1" t="n"/>
      <c r="AZ283" s="1" t="n"/>
      <c r="BA283" s="1" t="n"/>
    </row>
    <row r="284" ht="16.5" customHeight="1" s="220">
      <c r="A284" s="1" t="n"/>
      <c r="B284" s="1" t="n"/>
      <c r="C284" s="2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  <c r="AX284" s="1" t="n"/>
      <c r="AY284" s="1" t="n"/>
      <c r="AZ284" s="1" t="n"/>
      <c r="BA284" s="1" t="n"/>
    </row>
    <row r="285" ht="16.5" customHeight="1" s="220">
      <c r="A285" s="1" t="n"/>
      <c r="B285" s="1" t="n"/>
      <c r="C285" s="2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  <c r="AX285" s="1" t="n"/>
      <c r="AY285" s="1" t="n"/>
      <c r="AZ285" s="1" t="n"/>
      <c r="BA285" s="1" t="n"/>
    </row>
    <row r="286" ht="16.5" customHeight="1" s="220">
      <c r="A286" s="1" t="n"/>
      <c r="B286" s="1" t="n"/>
      <c r="C286" s="2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  <c r="AX286" s="1" t="n"/>
      <c r="AY286" s="1" t="n"/>
      <c r="AZ286" s="1" t="n"/>
      <c r="BA286" s="1" t="n"/>
    </row>
    <row r="287" ht="16.5" customHeight="1" s="220">
      <c r="A287" s="1" t="n"/>
      <c r="B287" s="1" t="n"/>
      <c r="C287" s="2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  <c r="AX287" s="1" t="n"/>
      <c r="AY287" s="1" t="n"/>
      <c r="AZ287" s="1" t="n"/>
      <c r="BA287" s="1" t="n"/>
    </row>
    <row r="288" ht="16.5" customHeight="1" s="220">
      <c r="A288" s="1" t="n"/>
      <c r="B288" s="1" t="n"/>
      <c r="C288" s="2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  <c r="AX288" s="1" t="n"/>
      <c r="AY288" s="1" t="n"/>
      <c r="AZ288" s="1" t="n"/>
      <c r="BA288" s="1" t="n"/>
    </row>
    <row r="289" ht="16.5" customHeight="1" s="220">
      <c r="A289" s="1" t="n"/>
      <c r="B289" s="1" t="n"/>
      <c r="C289" s="2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  <c r="AX289" s="1" t="n"/>
      <c r="AY289" s="1" t="n"/>
      <c r="AZ289" s="1" t="n"/>
      <c r="BA289" s="1" t="n"/>
    </row>
    <row r="290" ht="16.5" customHeight="1" s="220">
      <c r="A290" s="1" t="n"/>
      <c r="B290" s="1" t="n"/>
      <c r="C290" s="2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  <c r="AX290" s="1" t="n"/>
      <c r="AY290" s="1" t="n"/>
      <c r="AZ290" s="1" t="n"/>
      <c r="BA290" s="1" t="n"/>
    </row>
    <row r="291" ht="16.5" customHeight="1" s="220">
      <c r="A291" s="1" t="n"/>
      <c r="B291" s="1" t="n"/>
      <c r="C291" s="2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  <c r="AX291" s="1" t="n"/>
      <c r="AY291" s="1" t="n"/>
      <c r="AZ291" s="1" t="n"/>
      <c r="BA291" s="1" t="n"/>
    </row>
    <row r="292" ht="16.5" customHeight="1" s="220">
      <c r="A292" s="1" t="n"/>
      <c r="B292" s="1" t="n"/>
      <c r="C292" s="2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  <c r="AW292" s="1" t="n"/>
      <c r="AX292" s="1" t="n"/>
      <c r="AY292" s="1" t="n"/>
      <c r="AZ292" s="1" t="n"/>
      <c r="BA292" s="1" t="n"/>
    </row>
    <row r="293" ht="16.5" customHeight="1" s="220">
      <c r="A293" s="1" t="n"/>
      <c r="B293" s="1" t="n"/>
      <c r="C293" s="2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  <c r="AX293" s="1" t="n"/>
      <c r="AY293" s="1" t="n"/>
      <c r="AZ293" s="1" t="n"/>
      <c r="BA293" s="1" t="n"/>
    </row>
    <row r="294" ht="16.5" customHeight="1" s="220">
      <c r="A294" s="1" t="n"/>
      <c r="B294" s="1" t="n"/>
      <c r="C294" s="2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  <c r="AS294" s="1" t="n"/>
      <c r="AT294" s="1" t="n"/>
      <c r="AU294" s="1" t="n"/>
      <c r="AV294" s="1" t="n"/>
      <c r="AW294" s="1" t="n"/>
      <c r="AX294" s="1" t="n"/>
      <c r="AY294" s="1" t="n"/>
      <c r="AZ294" s="1" t="n"/>
      <c r="BA294" s="1" t="n"/>
    </row>
    <row r="295" ht="16.5" customHeight="1" s="220">
      <c r="A295" s="1" t="n"/>
      <c r="B295" s="1" t="n"/>
      <c r="C295" s="2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  <c r="AX295" s="1" t="n"/>
      <c r="AY295" s="1" t="n"/>
      <c r="AZ295" s="1" t="n"/>
      <c r="BA295" s="1" t="n"/>
    </row>
    <row r="296" ht="16.5" customHeight="1" s="220">
      <c r="A296" s="1" t="n"/>
      <c r="B296" s="1" t="n"/>
      <c r="C296" s="2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T296" s="1" t="n"/>
      <c r="AU296" s="1" t="n"/>
      <c r="AV296" s="1" t="n"/>
      <c r="AW296" s="1" t="n"/>
      <c r="AX296" s="1" t="n"/>
      <c r="AY296" s="1" t="n"/>
      <c r="AZ296" s="1" t="n"/>
      <c r="BA296" s="1" t="n"/>
    </row>
    <row r="297" ht="16.5" customHeight="1" s="220">
      <c r="A297" s="1" t="n"/>
      <c r="B297" s="1" t="n"/>
      <c r="C297" s="2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  <c r="AX297" s="1" t="n"/>
      <c r="AY297" s="1" t="n"/>
      <c r="AZ297" s="1" t="n"/>
      <c r="BA297" s="1" t="n"/>
    </row>
    <row r="298" ht="16.5" customHeight="1" s="220">
      <c r="A298" s="1" t="n"/>
      <c r="B298" s="1" t="n"/>
      <c r="C298" s="2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  <c r="AW298" s="1" t="n"/>
      <c r="AX298" s="1" t="n"/>
      <c r="AY298" s="1" t="n"/>
      <c r="AZ298" s="1" t="n"/>
      <c r="BA298" s="1" t="n"/>
    </row>
    <row r="299" ht="16.5" customHeight="1" s="220">
      <c r="A299" s="1" t="n"/>
      <c r="B299" s="1" t="n"/>
      <c r="C299" s="2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  <c r="AX299" s="1" t="n"/>
      <c r="AY299" s="1" t="n"/>
      <c r="AZ299" s="1" t="n"/>
      <c r="BA299" s="1" t="n"/>
    </row>
    <row r="300" ht="16.5" customHeight="1" s="220">
      <c r="A300" s="1" t="n"/>
      <c r="B300" s="1" t="n"/>
      <c r="C300" s="2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  <c r="AW300" s="1" t="n"/>
      <c r="AX300" s="1" t="n"/>
      <c r="AY300" s="1" t="n"/>
      <c r="AZ300" s="1" t="n"/>
      <c r="BA300" s="1" t="n"/>
    </row>
    <row r="301" ht="16.5" customHeight="1" s="220">
      <c r="A301" s="1" t="n"/>
      <c r="B301" s="1" t="n"/>
      <c r="C301" s="2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  <c r="AX301" s="1" t="n"/>
      <c r="AY301" s="1" t="n"/>
      <c r="AZ301" s="1" t="n"/>
      <c r="BA301" s="1" t="n"/>
    </row>
    <row r="302" ht="16.5" customHeight="1" s="220">
      <c r="A302" s="1" t="n"/>
      <c r="B302" s="1" t="n"/>
      <c r="C302" s="2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  <c r="AW302" s="1" t="n"/>
      <c r="AX302" s="1" t="n"/>
      <c r="AY302" s="1" t="n"/>
      <c r="AZ302" s="1" t="n"/>
      <c r="BA302" s="1" t="n"/>
    </row>
    <row r="303" ht="16.5" customHeight="1" s="220">
      <c r="A303" s="1" t="n"/>
      <c r="B303" s="1" t="n"/>
      <c r="C303" s="2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  <c r="AX303" s="1" t="n"/>
      <c r="AY303" s="1" t="n"/>
      <c r="AZ303" s="1" t="n"/>
      <c r="BA303" s="1" t="n"/>
    </row>
    <row r="304" ht="16.5" customHeight="1" s="220">
      <c r="A304" s="1" t="n"/>
      <c r="B304" s="1" t="n"/>
      <c r="C304" s="2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  <c r="AW304" s="1" t="n"/>
      <c r="AX304" s="1" t="n"/>
      <c r="AY304" s="1" t="n"/>
      <c r="AZ304" s="1" t="n"/>
      <c r="BA304" s="1" t="n"/>
    </row>
    <row r="305" ht="16.5" customHeight="1" s="220">
      <c r="A305" s="1" t="n"/>
      <c r="B305" s="1" t="n"/>
      <c r="C305" s="2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  <c r="AX305" s="1" t="n"/>
      <c r="AY305" s="1" t="n"/>
      <c r="AZ305" s="1" t="n"/>
      <c r="BA305" s="1" t="n"/>
    </row>
    <row r="306" ht="16.5" customHeight="1" s="220">
      <c r="A306" s="1" t="n"/>
      <c r="B306" s="1" t="n"/>
      <c r="C306" s="2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  <c r="AW306" s="1" t="n"/>
      <c r="AX306" s="1" t="n"/>
      <c r="AY306" s="1" t="n"/>
      <c r="AZ306" s="1" t="n"/>
      <c r="BA306" s="1" t="n"/>
    </row>
    <row r="307" ht="16.5" customHeight="1" s="220">
      <c r="A307" s="1" t="n"/>
      <c r="B307" s="1" t="n"/>
      <c r="C307" s="2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  <c r="AX307" s="1" t="n"/>
      <c r="AY307" s="1" t="n"/>
      <c r="AZ307" s="1" t="n"/>
      <c r="BA307" s="1" t="n"/>
    </row>
    <row r="308" ht="16.5" customHeight="1" s="220">
      <c r="A308" s="1" t="n"/>
      <c r="B308" s="1" t="n"/>
      <c r="C308" s="2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  <c r="AW308" s="1" t="n"/>
      <c r="AX308" s="1" t="n"/>
      <c r="AY308" s="1" t="n"/>
      <c r="AZ308" s="1" t="n"/>
      <c r="BA308" s="1" t="n"/>
    </row>
    <row r="309" ht="16.5" customHeight="1" s="220">
      <c r="A309" s="1" t="n"/>
      <c r="B309" s="1" t="n"/>
      <c r="C309" s="2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  <c r="AX309" s="1" t="n"/>
      <c r="AY309" s="1" t="n"/>
      <c r="AZ309" s="1" t="n"/>
      <c r="BA309" s="1" t="n"/>
    </row>
    <row r="310" ht="16.5" customHeight="1" s="220">
      <c r="A310" s="1" t="n"/>
      <c r="B310" s="1" t="n"/>
      <c r="C310" s="2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  <c r="AW310" s="1" t="n"/>
      <c r="AX310" s="1" t="n"/>
      <c r="AY310" s="1" t="n"/>
      <c r="AZ310" s="1" t="n"/>
      <c r="BA310" s="1" t="n"/>
    </row>
    <row r="311" ht="16.5" customHeight="1" s="220">
      <c r="A311" s="1" t="n"/>
      <c r="B311" s="1" t="n"/>
      <c r="C311" s="2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  <c r="AX311" s="1" t="n"/>
      <c r="AY311" s="1" t="n"/>
      <c r="AZ311" s="1" t="n"/>
      <c r="BA311" s="1" t="n"/>
    </row>
    <row r="312" ht="16.5" customHeight="1" s="220">
      <c r="A312" s="1" t="n"/>
      <c r="B312" s="1" t="n"/>
      <c r="C312" s="2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  <c r="AS312" s="1" t="n"/>
      <c r="AT312" s="1" t="n"/>
      <c r="AU312" s="1" t="n"/>
      <c r="AV312" s="1" t="n"/>
      <c r="AW312" s="1" t="n"/>
      <c r="AX312" s="1" t="n"/>
      <c r="AY312" s="1" t="n"/>
      <c r="AZ312" s="1" t="n"/>
      <c r="BA312" s="1" t="n"/>
    </row>
    <row r="313" ht="16.5" customHeight="1" s="220">
      <c r="A313" s="1" t="n"/>
      <c r="B313" s="1" t="n"/>
      <c r="C313" s="2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  <c r="AX313" s="1" t="n"/>
      <c r="AY313" s="1" t="n"/>
      <c r="AZ313" s="1" t="n"/>
      <c r="BA313" s="1" t="n"/>
    </row>
    <row r="314" ht="16.5" customHeight="1" s="220">
      <c r="A314" s="1" t="n"/>
      <c r="B314" s="1" t="n"/>
      <c r="C314" s="2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  <c r="AW314" s="1" t="n"/>
      <c r="AX314" s="1" t="n"/>
      <c r="AY314" s="1" t="n"/>
      <c r="AZ314" s="1" t="n"/>
      <c r="BA314" s="1" t="n"/>
    </row>
    <row r="315" ht="16.5" customHeight="1" s="220">
      <c r="A315" s="1" t="n"/>
      <c r="B315" s="1" t="n"/>
      <c r="C315" s="2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  <c r="AX315" s="1" t="n"/>
      <c r="AY315" s="1" t="n"/>
      <c r="AZ315" s="1" t="n"/>
      <c r="BA315" s="1" t="n"/>
    </row>
    <row r="316" ht="16.5" customHeight="1" s="220">
      <c r="A316" s="1" t="n"/>
      <c r="B316" s="1" t="n"/>
      <c r="C316" s="2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  <c r="AW316" s="1" t="n"/>
      <c r="AX316" s="1" t="n"/>
      <c r="AY316" s="1" t="n"/>
      <c r="AZ316" s="1" t="n"/>
      <c r="BA316" s="1" t="n"/>
    </row>
    <row r="317" ht="16.5" customHeight="1" s="220">
      <c r="A317" s="1" t="n"/>
      <c r="B317" s="1" t="n"/>
      <c r="C317" s="2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  <c r="AX317" s="1" t="n"/>
      <c r="AY317" s="1" t="n"/>
      <c r="AZ317" s="1" t="n"/>
      <c r="BA317" s="1" t="n"/>
    </row>
    <row r="318" ht="16.5" customHeight="1" s="220">
      <c r="A318" s="1" t="n"/>
      <c r="B318" s="1" t="n"/>
      <c r="C318" s="2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  <c r="AW318" s="1" t="n"/>
      <c r="AX318" s="1" t="n"/>
      <c r="AY318" s="1" t="n"/>
      <c r="AZ318" s="1" t="n"/>
      <c r="BA318" s="1" t="n"/>
    </row>
    <row r="319" ht="16.5" customHeight="1" s="220">
      <c r="A319" s="1" t="n"/>
      <c r="B319" s="1" t="n"/>
      <c r="C319" s="2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  <c r="AX319" s="1" t="n"/>
      <c r="AY319" s="1" t="n"/>
      <c r="AZ319" s="1" t="n"/>
      <c r="BA319" s="1" t="n"/>
    </row>
    <row r="320" ht="16.5" customHeight="1" s="220">
      <c r="A320" s="1" t="n"/>
      <c r="B320" s="1" t="n"/>
      <c r="C320" s="2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  <c r="AW320" s="1" t="n"/>
      <c r="AX320" s="1" t="n"/>
      <c r="AY320" s="1" t="n"/>
      <c r="AZ320" s="1" t="n"/>
      <c r="BA320" s="1" t="n"/>
    </row>
    <row r="321" ht="16.5" customHeight="1" s="220">
      <c r="A321" s="1" t="n"/>
      <c r="B321" s="1" t="n"/>
      <c r="C321" s="2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  <c r="AX321" s="1" t="n"/>
      <c r="AY321" s="1" t="n"/>
      <c r="AZ321" s="1" t="n"/>
      <c r="BA321" s="1" t="n"/>
    </row>
    <row r="322" ht="16.5" customHeight="1" s="220">
      <c r="A322" s="1" t="n"/>
      <c r="B322" s="1" t="n"/>
      <c r="C322" s="2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  <c r="AW322" s="1" t="n"/>
      <c r="AX322" s="1" t="n"/>
      <c r="AY322" s="1" t="n"/>
      <c r="AZ322" s="1" t="n"/>
      <c r="BA322" s="1" t="n"/>
    </row>
    <row r="323" ht="16.5" customHeight="1" s="220">
      <c r="A323" s="1" t="n"/>
      <c r="B323" s="1" t="n"/>
      <c r="C323" s="2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  <c r="AX323" s="1" t="n"/>
      <c r="AY323" s="1" t="n"/>
      <c r="AZ323" s="1" t="n"/>
      <c r="BA323" s="1" t="n"/>
    </row>
    <row r="324" ht="16.5" customHeight="1" s="220">
      <c r="A324" s="1" t="n"/>
      <c r="B324" s="1" t="n"/>
      <c r="C324" s="2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  <c r="AW324" s="1" t="n"/>
      <c r="AX324" s="1" t="n"/>
      <c r="AY324" s="1" t="n"/>
      <c r="AZ324" s="1" t="n"/>
      <c r="BA324" s="1" t="n"/>
    </row>
    <row r="325" ht="16.5" customHeight="1" s="220">
      <c r="A325" s="1" t="n"/>
      <c r="B325" s="1" t="n"/>
      <c r="C325" s="2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  <c r="AX325" s="1" t="n"/>
      <c r="AY325" s="1" t="n"/>
      <c r="AZ325" s="1" t="n"/>
      <c r="BA325" s="1" t="n"/>
    </row>
    <row r="326" ht="16.5" customHeight="1" s="220">
      <c r="A326" s="1" t="n"/>
      <c r="B326" s="1" t="n"/>
      <c r="C326" s="2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  <c r="AW326" s="1" t="n"/>
      <c r="AX326" s="1" t="n"/>
      <c r="AY326" s="1" t="n"/>
      <c r="AZ326" s="1" t="n"/>
      <c r="BA326" s="1" t="n"/>
    </row>
    <row r="327" ht="16.5" customHeight="1" s="220">
      <c r="A327" s="1" t="n"/>
      <c r="B327" s="1" t="n"/>
      <c r="C327" s="2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  <c r="AX327" s="1" t="n"/>
      <c r="AY327" s="1" t="n"/>
      <c r="AZ327" s="1" t="n"/>
      <c r="BA327" s="1" t="n"/>
    </row>
    <row r="328" ht="16.5" customHeight="1" s="220">
      <c r="A328" s="1" t="n"/>
      <c r="B328" s="1" t="n"/>
      <c r="C328" s="2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  <c r="AW328" s="1" t="n"/>
      <c r="AX328" s="1" t="n"/>
      <c r="AY328" s="1" t="n"/>
      <c r="AZ328" s="1" t="n"/>
      <c r="BA328" s="1" t="n"/>
    </row>
    <row r="329" ht="16.5" customHeight="1" s="220">
      <c r="A329" s="1" t="n"/>
      <c r="B329" s="1" t="n"/>
      <c r="C329" s="2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  <c r="AX329" s="1" t="n"/>
      <c r="AY329" s="1" t="n"/>
      <c r="AZ329" s="1" t="n"/>
      <c r="BA329" s="1" t="n"/>
    </row>
    <row r="330" ht="16.5" customHeight="1" s="220">
      <c r="A330" s="1" t="n"/>
      <c r="B330" s="1" t="n"/>
      <c r="C330" s="2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  <c r="AW330" s="1" t="n"/>
      <c r="AX330" s="1" t="n"/>
      <c r="AY330" s="1" t="n"/>
      <c r="AZ330" s="1" t="n"/>
      <c r="BA330" s="1" t="n"/>
    </row>
    <row r="331" ht="16.5" customHeight="1" s="220">
      <c r="A331" s="1" t="n"/>
      <c r="B331" s="1" t="n"/>
      <c r="C331" s="2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  <c r="AX331" s="1" t="n"/>
      <c r="AY331" s="1" t="n"/>
      <c r="AZ331" s="1" t="n"/>
      <c r="BA331" s="1" t="n"/>
    </row>
    <row r="332" ht="16.5" customHeight="1" s="220">
      <c r="A332" s="1" t="n"/>
      <c r="B332" s="1" t="n"/>
      <c r="C332" s="2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  <c r="AW332" s="1" t="n"/>
      <c r="AX332" s="1" t="n"/>
      <c r="AY332" s="1" t="n"/>
      <c r="AZ332" s="1" t="n"/>
      <c r="BA332" s="1" t="n"/>
    </row>
    <row r="333" ht="16.5" customHeight="1" s="220">
      <c r="A333" s="1" t="n"/>
      <c r="B333" s="1" t="n"/>
      <c r="C333" s="2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  <c r="AX333" s="1" t="n"/>
      <c r="AY333" s="1" t="n"/>
      <c r="AZ333" s="1" t="n"/>
      <c r="BA333" s="1" t="n"/>
    </row>
    <row r="334" ht="16.5" customHeight="1" s="220">
      <c r="A334" s="1" t="n"/>
      <c r="B334" s="1" t="n"/>
      <c r="C334" s="2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  <c r="AW334" s="1" t="n"/>
      <c r="AX334" s="1" t="n"/>
      <c r="AY334" s="1" t="n"/>
      <c r="AZ334" s="1" t="n"/>
      <c r="BA334" s="1" t="n"/>
    </row>
    <row r="335" ht="16.5" customHeight="1" s="220">
      <c r="A335" s="1" t="n"/>
      <c r="B335" s="1" t="n"/>
      <c r="C335" s="2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  <c r="AX335" s="1" t="n"/>
      <c r="AY335" s="1" t="n"/>
      <c r="AZ335" s="1" t="n"/>
      <c r="BA335" s="1" t="n"/>
    </row>
    <row r="336" ht="16.5" customHeight="1" s="220">
      <c r="A336" s="1" t="n"/>
      <c r="B336" s="1" t="n"/>
      <c r="C336" s="2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  <c r="AW336" s="1" t="n"/>
      <c r="AX336" s="1" t="n"/>
      <c r="AY336" s="1" t="n"/>
      <c r="AZ336" s="1" t="n"/>
      <c r="BA336" s="1" t="n"/>
    </row>
    <row r="337" ht="16.5" customHeight="1" s="220">
      <c r="A337" s="1" t="n"/>
      <c r="B337" s="1" t="n"/>
      <c r="C337" s="2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  <c r="AX337" s="1" t="n"/>
      <c r="AY337" s="1" t="n"/>
      <c r="AZ337" s="1" t="n"/>
      <c r="BA337" s="1" t="n"/>
    </row>
    <row r="338" ht="16.5" customHeight="1" s="220">
      <c r="A338" s="1" t="n"/>
      <c r="B338" s="1" t="n"/>
      <c r="C338" s="2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  <c r="AW338" s="1" t="n"/>
      <c r="AX338" s="1" t="n"/>
      <c r="AY338" s="1" t="n"/>
      <c r="AZ338" s="1" t="n"/>
      <c r="BA338" s="1" t="n"/>
    </row>
    <row r="339" ht="16.5" customHeight="1" s="220">
      <c r="A339" s="1" t="n"/>
      <c r="B339" s="1" t="n"/>
      <c r="C339" s="2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  <c r="AX339" s="1" t="n"/>
      <c r="AY339" s="1" t="n"/>
      <c r="AZ339" s="1" t="n"/>
      <c r="BA339" s="1" t="n"/>
    </row>
    <row r="340" ht="16.5" customHeight="1" s="220">
      <c r="A340" s="1" t="n"/>
      <c r="B340" s="1" t="n"/>
      <c r="C340" s="2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  <c r="AW340" s="1" t="n"/>
      <c r="AX340" s="1" t="n"/>
      <c r="AY340" s="1" t="n"/>
      <c r="AZ340" s="1" t="n"/>
      <c r="BA340" s="1" t="n"/>
    </row>
    <row r="341" ht="16.5" customHeight="1" s="220">
      <c r="A341" s="1" t="n"/>
      <c r="B341" s="1" t="n"/>
      <c r="C341" s="2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  <c r="AX341" s="1" t="n"/>
      <c r="AY341" s="1" t="n"/>
      <c r="AZ341" s="1" t="n"/>
      <c r="BA341" s="1" t="n"/>
    </row>
    <row r="342" ht="16.5" customHeight="1" s="220">
      <c r="A342" s="1" t="n"/>
      <c r="B342" s="1" t="n"/>
      <c r="C342" s="2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  <c r="AW342" s="1" t="n"/>
      <c r="AX342" s="1" t="n"/>
      <c r="AY342" s="1" t="n"/>
      <c r="AZ342" s="1" t="n"/>
      <c r="BA342" s="1" t="n"/>
    </row>
    <row r="343" ht="16.5" customHeight="1" s="220">
      <c r="A343" s="1" t="n"/>
      <c r="B343" s="1" t="n"/>
      <c r="C343" s="2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  <c r="AX343" s="1" t="n"/>
      <c r="AY343" s="1" t="n"/>
      <c r="AZ343" s="1" t="n"/>
      <c r="BA343" s="1" t="n"/>
    </row>
    <row r="344" ht="16.5" customHeight="1" s="220">
      <c r="A344" s="1" t="n"/>
      <c r="B344" s="1" t="n"/>
      <c r="C344" s="2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  <c r="AW344" s="1" t="n"/>
      <c r="AX344" s="1" t="n"/>
      <c r="AY344" s="1" t="n"/>
      <c r="AZ344" s="1" t="n"/>
      <c r="BA344" s="1" t="n"/>
    </row>
    <row r="345" ht="16.5" customHeight="1" s="220">
      <c r="A345" s="1" t="n"/>
      <c r="B345" s="1" t="n"/>
      <c r="C345" s="2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  <c r="AX345" s="1" t="n"/>
      <c r="AY345" s="1" t="n"/>
      <c r="AZ345" s="1" t="n"/>
      <c r="BA345" s="1" t="n"/>
    </row>
    <row r="346" ht="16.5" customHeight="1" s="220">
      <c r="A346" s="1" t="n"/>
      <c r="B346" s="1" t="n"/>
      <c r="C346" s="2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  <c r="AW346" s="1" t="n"/>
      <c r="AX346" s="1" t="n"/>
      <c r="AY346" s="1" t="n"/>
      <c r="AZ346" s="1" t="n"/>
      <c r="BA346" s="1" t="n"/>
    </row>
    <row r="347" ht="16.5" customHeight="1" s="220">
      <c r="A347" s="1" t="n"/>
      <c r="B347" s="1" t="n"/>
      <c r="C347" s="2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  <c r="AX347" s="1" t="n"/>
      <c r="AY347" s="1" t="n"/>
      <c r="AZ347" s="1" t="n"/>
      <c r="BA347" s="1" t="n"/>
    </row>
    <row r="348" ht="16.5" customHeight="1" s="220">
      <c r="A348" s="1" t="n"/>
      <c r="B348" s="1" t="n"/>
      <c r="C348" s="2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  <c r="AW348" s="1" t="n"/>
      <c r="AX348" s="1" t="n"/>
      <c r="AY348" s="1" t="n"/>
      <c r="AZ348" s="1" t="n"/>
      <c r="BA348" s="1" t="n"/>
    </row>
    <row r="349" ht="16.5" customHeight="1" s="220">
      <c r="A349" s="1" t="n"/>
      <c r="B349" s="1" t="n"/>
      <c r="C349" s="2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  <c r="AX349" s="1" t="n"/>
      <c r="AY349" s="1" t="n"/>
      <c r="AZ349" s="1" t="n"/>
      <c r="BA349" s="1" t="n"/>
    </row>
    <row r="350" ht="16.5" customHeight="1" s="220">
      <c r="A350" s="1" t="n"/>
      <c r="B350" s="1" t="n"/>
      <c r="C350" s="2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  <c r="AW350" s="1" t="n"/>
      <c r="AX350" s="1" t="n"/>
      <c r="AY350" s="1" t="n"/>
      <c r="AZ350" s="1" t="n"/>
      <c r="BA350" s="1" t="n"/>
    </row>
    <row r="351" ht="16.5" customHeight="1" s="220">
      <c r="A351" s="1" t="n"/>
      <c r="B351" s="1" t="n"/>
      <c r="C351" s="2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  <c r="AX351" s="1" t="n"/>
      <c r="AY351" s="1" t="n"/>
      <c r="AZ351" s="1" t="n"/>
      <c r="BA351" s="1" t="n"/>
    </row>
    <row r="352" ht="16.5" customHeight="1" s="220">
      <c r="A352" s="1" t="n"/>
      <c r="B352" s="1" t="n"/>
      <c r="C352" s="2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  <c r="AW352" s="1" t="n"/>
      <c r="AX352" s="1" t="n"/>
      <c r="AY352" s="1" t="n"/>
      <c r="AZ352" s="1" t="n"/>
      <c r="BA352" s="1" t="n"/>
    </row>
    <row r="353" ht="16.5" customHeight="1" s="220">
      <c r="A353" s="1" t="n"/>
      <c r="B353" s="1" t="n"/>
      <c r="C353" s="2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  <c r="AX353" s="1" t="n"/>
      <c r="AY353" s="1" t="n"/>
      <c r="AZ353" s="1" t="n"/>
      <c r="BA353" s="1" t="n"/>
    </row>
    <row r="354" ht="16.5" customHeight="1" s="220">
      <c r="A354" s="1" t="n"/>
      <c r="B354" s="1" t="n"/>
      <c r="C354" s="2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  <c r="AW354" s="1" t="n"/>
      <c r="AX354" s="1" t="n"/>
      <c r="AY354" s="1" t="n"/>
      <c r="AZ354" s="1" t="n"/>
      <c r="BA354" s="1" t="n"/>
    </row>
    <row r="355" ht="16.5" customHeight="1" s="220">
      <c r="A355" s="1" t="n"/>
      <c r="B355" s="1" t="n"/>
      <c r="C355" s="2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  <c r="AX355" s="1" t="n"/>
      <c r="AY355" s="1" t="n"/>
      <c r="AZ355" s="1" t="n"/>
      <c r="BA355" s="1" t="n"/>
    </row>
    <row r="356" ht="16.5" customHeight="1" s="220">
      <c r="A356" s="1" t="n"/>
      <c r="B356" s="1" t="n"/>
      <c r="C356" s="2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  <c r="AW356" s="1" t="n"/>
      <c r="AX356" s="1" t="n"/>
      <c r="AY356" s="1" t="n"/>
      <c r="AZ356" s="1" t="n"/>
      <c r="BA356" s="1" t="n"/>
    </row>
    <row r="357" ht="16.5" customHeight="1" s="220">
      <c r="A357" s="1" t="n"/>
      <c r="B357" s="1" t="n"/>
      <c r="C357" s="2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  <c r="AX357" s="1" t="n"/>
      <c r="AY357" s="1" t="n"/>
      <c r="AZ357" s="1" t="n"/>
      <c r="BA357" s="1" t="n"/>
    </row>
    <row r="358" ht="16.5" customHeight="1" s="220">
      <c r="A358" s="1" t="n"/>
      <c r="B358" s="1" t="n"/>
      <c r="C358" s="2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  <c r="AW358" s="1" t="n"/>
      <c r="AX358" s="1" t="n"/>
      <c r="AY358" s="1" t="n"/>
      <c r="AZ358" s="1" t="n"/>
      <c r="BA358" s="1" t="n"/>
    </row>
    <row r="359" ht="16.5" customHeight="1" s="220">
      <c r="A359" s="1" t="n"/>
      <c r="B359" s="1" t="n"/>
      <c r="C359" s="2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  <c r="AX359" s="1" t="n"/>
      <c r="AY359" s="1" t="n"/>
      <c r="AZ359" s="1" t="n"/>
      <c r="BA359" s="1" t="n"/>
    </row>
    <row r="360" ht="16.5" customHeight="1" s="220">
      <c r="A360" s="1" t="n"/>
      <c r="B360" s="1" t="n"/>
      <c r="C360" s="2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  <c r="AW360" s="1" t="n"/>
      <c r="AX360" s="1" t="n"/>
      <c r="AY360" s="1" t="n"/>
      <c r="AZ360" s="1" t="n"/>
      <c r="BA360" s="1" t="n"/>
    </row>
    <row r="361" ht="16.5" customHeight="1" s="220">
      <c r="A361" s="1" t="n"/>
      <c r="B361" s="1" t="n"/>
      <c r="C361" s="2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  <c r="AX361" s="1" t="n"/>
      <c r="AY361" s="1" t="n"/>
      <c r="AZ361" s="1" t="n"/>
      <c r="BA361" s="1" t="n"/>
    </row>
    <row r="362" ht="16.5" customHeight="1" s="220">
      <c r="A362" s="1" t="n"/>
      <c r="B362" s="1" t="n"/>
      <c r="C362" s="2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  <c r="AW362" s="1" t="n"/>
      <c r="AX362" s="1" t="n"/>
      <c r="AY362" s="1" t="n"/>
      <c r="AZ362" s="1" t="n"/>
      <c r="BA362" s="1" t="n"/>
    </row>
    <row r="363" ht="16.5" customHeight="1" s="220">
      <c r="A363" s="1" t="n"/>
      <c r="B363" s="1" t="n"/>
      <c r="C363" s="2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  <c r="AX363" s="1" t="n"/>
      <c r="AY363" s="1" t="n"/>
      <c r="AZ363" s="1" t="n"/>
      <c r="BA363" s="1" t="n"/>
    </row>
    <row r="364" ht="16.5" customHeight="1" s="220">
      <c r="A364" s="1" t="n"/>
      <c r="B364" s="1" t="n"/>
      <c r="C364" s="2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  <c r="AW364" s="1" t="n"/>
      <c r="AX364" s="1" t="n"/>
      <c r="AY364" s="1" t="n"/>
      <c r="AZ364" s="1" t="n"/>
      <c r="BA364" s="1" t="n"/>
    </row>
    <row r="365" ht="16.5" customHeight="1" s="220">
      <c r="A365" s="1" t="n"/>
      <c r="B365" s="1" t="n"/>
      <c r="C365" s="2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  <c r="AX365" s="1" t="n"/>
      <c r="AY365" s="1" t="n"/>
      <c r="AZ365" s="1" t="n"/>
      <c r="BA365" s="1" t="n"/>
    </row>
    <row r="366" ht="16.5" customHeight="1" s="220">
      <c r="A366" s="1" t="n"/>
      <c r="B366" s="1" t="n"/>
      <c r="C366" s="2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  <c r="AW366" s="1" t="n"/>
      <c r="AX366" s="1" t="n"/>
      <c r="AY366" s="1" t="n"/>
      <c r="AZ366" s="1" t="n"/>
      <c r="BA366" s="1" t="n"/>
    </row>
    <row r="367" ht="16.5" customHeight="1" s="220">
      <c r="A367" s="1" t="n"/>
      <c r="B367" s="1" t="n"/>
      <c r="C367" s="2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  <c r="AX367" s="1" t="n"/>
      <c r="AY367" s="1" t="n"/>
      <c r="AZ367" s="1" t="n"/>
      <c r="BA367" s="1" t="n"/>
    </row>
    <row r="368" ht="16.5" customHeight="1" s="220">
      <c r="A368" s="1" t="n"/>
      <c r="B368" s="1" t="n"/>
      <c r="C368" s="2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  <c r="AW368" s="1" t="n"/>
      <c r="AX368" s="1" t="n"/>
      <c r="AY368" s="1" t="n"/>
      <c r="AZ368" s="1" t="n"/>
      <c r="BA368" s="1" t="n"/>
    </row>
    <row r="369" ht="16.5" customHeight="1" s="220">
      <c r="A369" s="1" t="n"/>
      <c r="B369" s="1" t="n"/>
      <c r="C369" s="2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  <c r="AX369" s="1" t="n"/>
      <c r="AY369" s="1" t="n"/>
      <c r="AZ369" s="1" t="n"/>
      <c r="BA369" s="1" t="n"/>
    </row>
    <row r="370" ht="16.5" customHeight="1" s="220">
      <c r="A370" s="1" t="n"/>
      <c r="B370" s="1" t="n"/>
      <c r="C370" s="2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  <c r="AW370" s="1" t="n"/>
      <c r="AX370" s="1" t="n"/>
      <c r="AY370" s="1" t="n"/>
      <c r="AZ370" s="1" t="n"/>
      <c r="BA370" s="1" t="n"/>
    </row>
    <row r="371" ht="16.5" customHeight="1" s="220">
      <c r="A371" s="1" t="n"/>
      <c r="B371" s="1" t="n"/>
      <c r="C371" s="2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  <c r="AY371" s="1" t="n"/>
      <c r="AZ371" s="1" t="n"/>
      <c r="BA371" s="1" t="n"/>
    </row>
    <row r="372" ht="16.5" customHeight="1" s="220">
      <c r="A372" s="1" t="n"/>
      <c r="B372" s="1" t="n"/>
      <c r="C372" s="2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  <c r="AW372" s="1" t="n"/>
      <c r="AX372" s="1" t="n"/>
      <c r="AY372" s="1" t="n"/>
      <c r="AZ372" s="1" t="n"/>
      <c r="BA372" s="1" t="n"/>
    </row>
    <row r="373" ht="16.5" customHeight="1" s="220">
      <c r="A373" s="1" t="n"/>
      <c r="B373" s="1" t="n"/>
      <c r="C373" s="2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  <c r="AY373" s="1" t="n"/>
      <c r="AZ373" s="1" t="n"/>
      <c r="BA373" s="1" t="n"/>
    </row>
    <row r="374" ht="16.5" customHeight="1" s="220">
      <c r="A374" s="1" t="n"/>
      <c r="B374" s="1" t="n"/>
      <c r="C374" s="2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  <c r="AW374" s="1" t="n"/>
      <c r="AX374" s="1" t="n"/>
      <c r="AY374" s="1" t="n"/>
      <c r="AZ374" s="1" t="n"/>
      <c r="BA374" s="1" t="n"/>
    </row>
    <row r="375" ht="16.5" customHeight="1" s="220">
      <c r="A375" s="1" t="n"/>
      <c r="B375" s="1" t="n"/>
      <c r="C375" s="2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  <c r="AX375" s="1" t="n"/>
      <c r="AY375" s="1" t="n"/>
      <c r="AZ375" s="1" t="n"/>
      <c r="BA375" s="1" t="n"/>
    </row>
    <row r="376" ht="16.5" customHeight="1" s="220">
      <c r="A376" s="1" t="n"/>
      <c r="B376" s="1" t="n"/>
      <c r="C376" s="2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  <c r="AW376" s="1" t="n"/>
      <c r="AX376" s="1" t="n"/>
      <c r="AY376" s="1" t="n"/>
      <c r="AZ376" s="1" t="n"/>
      <c r="BA376" s="1" t="n"/>
    </row>
    <row r="377" ht="16.5" customHeight="1" s="220">
      <c r="A377" s="1" t="n"/>
      <c r="B377" s="1" t="n"/>
      <c r="C377" s="2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</row>
    <row r="378" ht="16.5" customHeight="1" s="220">
      <c r="A378" s="1" t="n"/>
      <c r="B378" s="1" t="n"/>
      <c r="C378" s="2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  <c r="AW378" s="1" t="n"/>
      <c r="AX378" s="1" t="n"/>
      <c r="AY378" s="1" t="n"/>
      <c r="AZ378" s="1" t="n"/>
      <c r="BA378" s="1" t="n"/>
    </row>
    <row r="379" ht="16.5" customHeight="1" s="220">
      <c r="A379" s="1" t="n"/>
      <c r="B379" s="1" t="n"/>
      <c r="C379" s="2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  <c r="AX379" s="1" t="n"/>
      <c r="AY379" s="1" t="n"/>
      <c r="AZ379" s="1" t="n"/>
      <c r="BA379" s="1" t="n"/>
    </row>
    <row r="380" ht="16.5" customHeight="1" s="220">
      <c r="A380" s="1" t="n"/>
      <c r="B380" s="1" t="n"/>
      <c r="C380" s="2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  <c r="AW380" s="1" t="n"/>
      <c r="AX380" s="1" t="n"/>
      <c r="AY380" s="1" t="n"/>
      <c r="AZ380" s="1" t="n"/>
      <c r="BA380" s="1" t="n"/>
    </row>
    <row r="381" ht="16.5" customHeight="1" s="220">
      <c r="A381" s="1" t="n"/>
      <c r="B381" s="1" t="n"/>
      <c r="C381" s="2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  <c r="AX381" s="1" t="n"/>
      <c r="AY381" s="1" t="n"/>
      <c r="AZ381" s="1" t="n"/>
      <c r="BA381" s="1" t="n"/>
    </row>
    <row r="382" ht="16.5" customHeight="1" s="220">
      <c r="A382" s="1" t="n"/>
      <c r="B382" s="1" t="n"/>
      <c r="C382" s="2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  <c r="AW382" s="1" t="n"/>
      <c r="AX382" s="1" t="n"/>
      <c r="AY382" s="1" t="n"/>
      <c r="AZ382" s="1" t="n"/>
      <c r="BA382" s="1" t="n"/>
    </row>
    <row r="383" ht="16.5" customHeight="1" s="220">
      <c r="A383" s="1" t="n"/>
      <c r="B383" s="1" t="n"/>
      <c r="C383" s="2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  <c r="AX383" s="1" t="n"/>
      <c r="AY383" s="1" t="n"/>
      <c r="AZ383" s="1" t="n"/>
      <c r="BA383" s="1" t="n"/>
    </row>
    <row r="384" ht="16.5" customHeight="1" s="220">
      <c r="A384" s="1" t="n"/>
      <c r="B384" s="1" t="n"/>
      <c r="C384" s="2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  <c r="AW384" s="1" t="n"/>
      <c r="AX384" s="1" t="n"/>
      <c r="AY384" s="1" t="n"/>
      <c r="AZ384" s="1" t="n"/>
      <c r="BA384" s="1" t="n"/>
    </row>
    <row r="385" ht="16.5" customHeight="1" s="220">
      <c r="A385" s="1" t="n"/>
      <c r="B385" s="1" t="n"/>
      <c r="C385" s="2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  <c r="AX385" s="1" t="n"/>
      <c r="AY385" s="1" t="n"/>
      <c r="AZ385" s="1" t="n"/>
      <c r="BA385" s="1" t="n"/>
    </row>
    <row r="386" ht="16.5" customHeight="1" s="220">
      <c r="A386" s="1" t="n"/>
      <c r="B386" s="1" t="n"/>
      <c r="C386" s="2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  <c r="BA386" s="1" t="n"/>
    </row>
    <row r="387" ht="16.5" customHeight="1" s="220">
      <c r="A387" s="1" t="n"/>
      <c r="B387" s="1" t="n"/>
      <c r="C387" s="2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  <c r="AX387" s="1" t="n"/>
      <c r="AY387" s="1" t="n"/>
      <c r="AZ387" s="1" t="n"/>
      <c r="BA387" s="1" t="n"/>
    </row>
    <row r="388" ht="16.5" customHeight="1" s="220">
      <c r="A388" s="1" t="n"/>
      <c r="B388" s="1" t="n"/>
      <c r="C388" s="2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  <c r="BA388" s="1" t="n"/>
    </row>
    <row r="389" ht="16.5" customHeight="1" s="220">
      <c r="A389" s="1" t="n"/>
      <c r="B389" s="1" t="n"/>
      <c r="C389" s="2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  <c r="AX389" s="1" t="n"/>
      <c r="AY389" s="1" t="n"/>
      <c r="AZ389" s="1" t="n"/>
      <c r="BA389" s="1" t="n"/>
    </row>
    <row r="390" ht="16.5" customHeight="1" s="220">
      <c r="A390" s="1" t="n"/>
      <c r="B390" s="1" t="n"/>
      <c r="C390" s="2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  <c r="AW390" s="1" t="n"/>
      <c r="AX390" s="1" t="n"/>
      <c r="AY390" s="1" t="n"/>
      <c r="AZ390" s="1" t="n"/>
      <c r="BA390" s="1" t="n"/>
    </row>
    <row r="391" ht="16.5" customHeight="1" s="220">
      <c r="A391" s="1" t="n"/>
      <c r="B391" s="1" t="n"/>
      <c r="C391" s="2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</row>
    <row r="392" ht="16.5" customHeight="1" s="220">
      <c r="A392" s="1" t="n"/>
      <c r="B392" s="1" t="n"/>
      <c r="C392" s="2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  <c r="AW392" s="1" t="n"/>
      <c r="AX392" s="1" t="n"/>
      <c r="AY392" s="1" t="n"/>
      <c r="AZ392" s="1" t="n"/>
      <c r="BA392" s="1" t="n"/>
    </row>
    <row r="393" ht="16.5" customHeight="1" s="220">
      <c r="A393" s="1" t="n"/>
      <c r="B393" s="1" t="n"/>
      <c r="C393" s="2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  <c r="AX393" s="1" t="n"/>
      <c r="AY393" s="1" t="n"/>
      <c r="AZ393" s="1" t="n"/>
      <c r="BA393" s="1" t="n"/>
    </row>
    <row r="394" ht="16.5" customHeight="1" s="220">
      <c r="A394" s="1" t="n"/>
      <c r="B394" s="1" t="n"/>
      <c r="C394" s="2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  <c r="AW394" s="1" t="n"/>
      <c r="AX394" s="1" t="n"/>
      <c r="AY394" s="1" t="n"/>
      <c r="AZ394" s="1" t="n"/>
      <c r="BA394" s="1" t="n"/>
    </row>
    <row r="395" ht="16.5" customHeight="1" s="220">
      <c r="A395" s="1" t="n"/>
      <c r="B395" s="1" t="n"/>
      <c r="C395" s="2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  <c r="AX395" s="1" t="n"/>
      <c r="AY395" s="1" t="n"/>
      <c r="AZ395" s="1" t="n"/>
      <c r="BA395" s="1" t="n"/>
    </row>
    <row r="396" ht="16.5" customHeight="1" s="220">
      <c r="A396" s="1" t="n"/>
      <c r="B396" s="1" t="n"/>
      <c r="C396" s="2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  <c r="BA396" s="1" t="n"/>
    </row>
    <row r="397" ht="16.5" customHeight="1" s="220">
      <c r="A397" s="1" t="n"/>
      <c r="B397" s="1" t="n"/>
      <c r="C397" s="2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  <c r="AX397" s="1" t="n"/>
      <c r="AY397" s="1" t="n"/>
      <c r="AZ397" s="1" t="n"/>
      <c r="BA397" s="1" t="n"/>
    </row>
    <row r="398" ht="16.5" customHeight="1" s="220">
      <c r="A398" s="1" t="n"/>
      <c r="B398" s="1" t="n"/>
      <c r="C398" s="2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  <c r="BA398" s="1" t="n"/>
    </row>
    <row r="399" ht="16.5" customHeight="1" s="220">
      <c r="A399" s="1" t="n"/>
      <c r="B399" s="1" t="n"/>
      <c r="C399" s="2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  <c r="AX399" s="1" t="n"/>
      <c r="AY399" s="1" t="n"/>
      <c r="AZ399" s="1" t="n"/>
      <c r="BA399" s="1" t="n"/>
    </row>
    <row r="400" ht="16.5" customHeight="1" s="220">
      <c r="A400" s="1" t="n"/>
      <c r="B400" s="1" t="n"/>
      <c r="C400" s="2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  <c r="AW400" s="1" t="n"/>
      <c r="AX400" s="1" t="n"/>
      <c r="AY400" s="1" t="n"/>
      <c r="AZ400" s="1" t="n"/>
      <c r="BA400" s="1" t="n"/>
    </row>
    <row r="401" ht="16.5" customHeight="1" s="220">
      <c r="A401" s="1" t="n"/>
      <c r="B401" s="1" t="n"/>
      <c r="C401" s="2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  <c r="AX401" s="1" t="n"/>
      <c r="AY401" s="1" t="n"/>
      <c r="AZ401" s="1" t="n"/>
      <c r="BA401" s="1" t="n"/>
    </row>
    <row r="402" ht="16.5" customHeight="1" s="220">
      <c r="A402" s="1" t="n"/>
      <c r="B402" s="1" t="n"/>
      <c r="C402" s="2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  <c r="AW402" s="1" t="n"/>
      <c r="AX402" s="1" t="n"/>
      <c r="AY402" s="1" t="n"/>
      <c r="AZ402" s="1" t="n"/>
      <c r="BA402" s="1" t="n"/>
    </row>
    <row r="403" ht="16.5" customHeight="1" s="220">
      <c r="A403" s="1" t="n"/>
      <c r="B403" s="1" t="n"/>
      <c r="C403" s="2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  <c r="AX403" s="1" t="n"/>
      <c r="AY403" s="1" t="n"/>
      <c r="AZ403" s="1" t="n"/>
      <c r="BA403" s="1" t="n"/>
    </row>
    <row r="404" ht="16.5" customHeight="1" s="220">
      <c r="A404" s="1" t="n"/>
      <c r="B404" s="1" t="n"/>
      <c r="C404" s="2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  <c r="AW404" s="1" t="n"/>
      <c r="AX404" s="1" t="n"/>
      <c r="AY404" s="1" t="n"/>
      <c r="AZ404" s="1" t="n"/>
      <c r="BA404" s="1" t="n"/>
    </row>
    <row r="405" ht="16.5" customHeight="1" s="220">
      <c r="A405" s="1" t="n"/>
      <c r="B405" s="1" t="n"/>
      <c r="C405" s="2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  <c r="AX405" s="1" t="n"/>
      <c r="AY405" s="1" t="n"/>
      <c r="AZ405" s="1" t="n"/>
      <c r="BA405" s="1" t="n"/>
    </row>
    <row r="406" ht="16.5" customHeight="1" s="220">
      <c r="A406" s="1" t="n"/>
      <c r="B406" s="1" t="n"/>
      <c r="C406" s="2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  <c r="AW406" s="1" t="n"/>
      <c r="AX406" s="1" t="n"/>
      <c r="AY406" s="1" t="n"/>
      <c r="AZ406" s="1" t="n"/>
      <c r="BA406" s="1" t="n"/>
    </row>
    <row r="407" ht="16.5" customHeight="1" s="220">
      <c r="A407" s="1" t="n"/>
      <c r="B407" s="1" t="n"/>
      <c r="C407" s="2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</row>
    <row r="408" ht="16.5" customHeight="1" s="220">
      <c r="A408" s="1" t="n"/>
      <c r="B408" s="1" t="n"/>
      <c r="C408" s="2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  <c r="AW408" s="1" t="n"/>
      <c r="AX408" s="1" t="n"/>
      <c r="AY408" s="1" t="n"/>
      <c r="AZ408" s="1" t="n"/>
      <c r="BA408" s="1" t="n"/>
    </row>
    <row r="409" ht="16.5" customHeight="1" s="220">
      <c r="A409" s="1" t="n"/>
      <c r="B409" s="1" t="n"/>
      <c r="C409" s="2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  <c r="AX409" s="1" t="n"/>
      <c r="AY409" s="1" t="n"/>
      <c r="AZ409" s="1" t="n"/>
      <c r="BA409" s="1" t="n"/>
    </row>
    <row r="410" ht="16.5" customHeight="1" s="220">
      <c r="A410" s="1" t="n"/>
      <c r="B410" s="1" t="n"/>
      <c r="C410" s="2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  <c r="AW410" s="1" t="n"/>
      <c r="AX410" s="1" t="n"/>
      <c r="AY410" s="1" t="n"/>
      <c r="AZ410" s="1" t="n"/>
      <c r="BA410" s="1" t="n"/>
    </row>
    <row r="411" ht="16.5" customHeight="1" s="220">
      <c r="A411" s="1" t="n"/>
      <c r="B411" s="1" t="n"/>
      <c r="C411" s="2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  <c r="AX411" s="1" t="n"/>
      <c r="AY411" s="1" t="n"/>
      <c r="AZ411" s="1" t="n"/>
      <c r="BA411" s="1" t="n"/>
    </row>
    <row r="412" ht="16.5" customHeight="1" s="220">
      <c r="A412" s="1" t="n"/>
      <c r="B412" s="1" t="n"/>
      <c r="C412" s="2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  <c r="AW412" s="1" t="n"/>
      <c r="AX412" s="1" t="n"/>
      <c r="AY412" s="1" t="n"/>
      <c r="AZ412" s="1" t="n"/>
      <c r="BA412" s="1" t="n"/>
    </row>
    <row r="413" ht="16.5" customHeight="1" s="220">
      <c r="A413" s="1" t="n"/>
      <c r="B413" s="1" t="n"/>
      <c r="C413" s="2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  <c r="AX413" s="1" t="n"/>
      <c r="AY413" s="1" t="n"/>
      <c r="AZ413" s="1" t="n"/>
      <c r="BA413" s="1" t="n"/>
    </row>
    <row r="414" ht="16.5" customHeight="1" s="220">
      <c r="A414" s="1" t="n"/>
      <c r="B414" s="1" t="n"/>
      <c r="C414" s="2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  <c r="AW414" s="1" t="n"/>
      <c r="AX414" s="1" t="n"/>
      <c r="AY414" s="1" t="n"/>
      <c r="AZ414" s="1" t="n"/>
      <c r="BA414" s="1" t="n"/>
    </row>
    <row r="415" ht="16.5" customHeight="1" s="220">
      <c r="A415" s="1" t="n"/>
      <c r="B415" s="1" t="n"/>
      <c r="C415" s="2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  <c r="AX415" s="1" t="n"/>
      <c r="AY415" s="1" t="n"/>
      <c r="AZ415" s="1" t="n"/>
      <c r="BA415" s="1" t="n"/>
    </row>
    <row r="416" ht="16.5" customHeight="1" s="220">
      <c r="A416" s="1" t="n"/>
      <c r="B416" s="1" t="n"/>
      <c r="C416" s="2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  <c r="AW416" s="1" t="n"/>
      <c r="AX416" s="1" t="n"/>
      <c r="AY416" s="1" t="n"/>
      <c r="AZ416" s="1" t="n"/>
      <c r="BA416" s="1" t="n"/>
    </row>
    <row r="417" ht="16.5" customHeight="1" s="220">
      <c r="A417" s="1" t="n"/>
      <c r="B417" s="1" t="n"/>
      <c r="C417" s="2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  <c r="AX417" s="1" t="n"/>
      <c r="AY417" s="1" t="n"/>
      <c r="AZ417" s="1" t="n"/>
      <c r="BA417" s="1" t="n"/>
    </row>
    <row r="418" ht="16.5" customHeight="1" s="220">
      <c r="A418" s="1" t="n"/>
      <c r="B418" s="1" t="n"/>
      <c r="C418" s="2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  <c r="AW418" s="1" t="n"/>
      <c r="AX418" s="1" t="n"/>
      <c r="AY418" s="1" t="n"/>
      <c r="AZ418" s="1" t="n"/>
      <c r="BA418" s="1" t="n"/>
    </row>
    <row r="419" ht="16.5" customHeight="1" s="220">
      <c r="A419" s="1" t="n"/>
      <c r="B419" s="1" t="n"/>
      <c r="C419" s="2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  <c r="AX419" s="1" t="n"/>
      <c r="AY419" s="1" t="n"/>
      <c r="AZ419" s="1" t="n"/>
      <c r="BA419" s="1" t="n"/>
    </row>
    <row r="420" ht="16.5" customHeight="1" s="220">
      <c r="A420" s="1" t="n"/>
      <c r="B420" s="1" t="n"/>
      <c r="C420" s="2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  <c r="AW420" s="1" t="n"/>
      <c r="AX420" s="1" t="n"/>
      <c r="AY420" s="1" t="n"/>
      <c r="AZ420" s="1" t="n"/>
      <c r="BA420" s="1" t="n"/>
    </row>
    <row r="421" ht="16.5" customHeight="1" s="220">
      <c r="A421" s="1" t="n"/>
      <c r="B421" s="1" t="n"/>
      <c r="C421" s="2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  <c r="AX421" s="1" t="n"/>
      <c r="AY421" s="1" t="n"/>
      <c r="AZ421" s="1" t="n"/>
      <c r="BA421" s="1" t="n"/>
    </row>
    <row r="422" ht="16.5" customHeight="1" s="220">
      <c r="A422" s="1" t="n"/>
      <c r="B422" s="1" t="n"/>
      <c r="C422" s="2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  <c r="AW422" s="1" t="n"/>
      <c r="AX422" s="1" t="n"/>
      <c r="AY422" s="1" t="n"/>
      <c r="AZ422" s="1" t="n"/>
      <c r="BA422" s="1" t="n"/>
    </row>
    <row r="423" ht="16.5" customHeight="1" s="220">
      <c r="A423" s="1" t="n"/>
      <c r="B423" s="1" t="n"/>
      <c r="C423" s="2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  <c r="AX423" s="1" t="n"/>
      <c r="AY423" s="1" t="n"/>
      <c r="AZ423" s="1" t="n"/>
      <c r="BA423" s="1" t="n"/>
    </row>
    <row r="424" ht="16.5" customHeight="1" s="220">
      <c r="A424" s="1" t="n"/>
      <c r="B424" s="1" t="n"/>
      <c r="C424" s="2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  <c r="AW424" s="1" t="n"/>
      <c r="AX424" s="1" t="n"/>
      <c r="AY424" s="1" t="n"/>
      <c r="AZ424" s="1" t="n"/>
      <c r="BA424" s="1" t="n"/>
    </row>
    <row r="425" ht="16.5" customHeight="1" s="220">
      <c r="A425" s="1" t="n"/>
      <c r="B425" s="1" t="n"/>
      <c r="C425" s="2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  <c r="AX425" s="1" t="n"/>
      <c r="AY425" s="1" t="n"/>
      <c r="AZ425" s="1" t="n"/>
      <c r="BA425" s="1" t="n"/>
    </row>
    <row r="426" ht="16.5" customHeight="1" s="220">
      <c r="A426" s="1" t="n"/>
      <c r="B426" s="1" t="n"/>
      <c r="C426" s="2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  <c r="AW426" s="1" t="n"/>
      <c r="AX426" s="1" t="n"/>
      <c r="AY426" s="1" t="n"/>
      <c r="AZ426" s="1" t="n"/>
      <c r="BA426" s="1" t="n"/>
    </row>
    <row r="427" ht="16.5" customHeight="1" s="220">
      <c r="A427" s="1" t="n"/>
      <c r="B427" s="1" t="n"/>
      <c r="C427" s="2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  <c r="AX427" s="1" t="n"/>
      <c r="AY427" s="1" t="n"/>
      <c r="AZ427" s="1" t="n"/>
      <c r="BA427" s="1" t="n"/>
    </row>
    <row r="428" ht="16.5" customHeight="1" s="220">
      <c r="A428" s="1" t="n"/>
      <c r="B428" s="1" t="n"/>
      <c r="C428" s="2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  <c r="AW428" s="1" t="n"/>
      <c r="AX428" s="1" t="n"/>
      <c r="AY428" s="1" t="n"/>
      <c r="AZ428" s="1" t="n"/>
      <c r="BA428" s="1" t="n"/>
    </row>
    <row r="429" ht="16.5" customHeight="1" s="220">
      <c r="A429" s="1" t="n"/>
      <c r="B429" s="1" t="n"/>
      <c r="C429" s="2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  <c r="AX429" s="1" t="n"/>
      <c r="AY429" s="1" t="n"/>
      <c r="AZ429" s="1" t="n"/>
      <c r="BA429" s="1" t="n"/>
    </row>
    <row r="430" ht="16.5" customHeight="1" s="220">
      <c r="A430" s="1" t="n"/>
      <c r="B430" s="1" t="n"/>
      <c r="C430" s="2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  <c r="AW430" s="1" t="n"/>
      <c r="AX430" s="1" t="n"/>
      <c r="AY430" s="1" t="n"/>
      <c r="AZ430" s="1" t="n"/>
      <c r="BA430" s="1" t="n"/>
    </row>
    <row r="431" ht="16.5" customHeight="1" s="220">
      <c r="A431" s="1" t="n"/>
      <c r="B431" s="1" t="n"/>
      <c r="C431" s="2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  <c r="AX431" s="1" t="n"/>
      <c r="AY431" s="1" t="n"/>
      <c r="AZ431" s="1" t="n"/>
      <c r="BA431" s="1" t="n"/>
    </row>
    <row r="432" ht="16.5" customHeight="1" s="220">
      <c r="A432" s="1" t="n"/>
      <c r="B432" s="1" t="n"/>
      <c r="C432" s="2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  <c r="AW432" s="1" t="n"/>
      <c r="AX432" s="1" t="n"/>
      <c r="AY432" s="1" t="n"/>
      <c r="AZ432" s="1" t="n"/>
      <c r="BA432" s="1" t="n"/>
    </row>
    <row r="433" ht="16.5" customHeight="1" s="220">
      <c r="A433" s="1" t="n"/>
      <c r="B433" s="1" t="n"/>
      <c r="C433" s="2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  <c r="AX433" s="1" t="n"/>
      <c r="AY433" s="1" t="n"/>
      <c r="AZ433" s="1" t="n"/>
      <c r="BA433" s="1" t="n"/>
    </row>
    <row r="434" ht="16.5" customHeight="1" s="220">
      <c r="A434" s="1" t="n"/>
      <c r="B434" s="1" t="n"/>
      <c r="C434" s="2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  <c r="AS434" s="1" t="n"/>
      <c r="AT434" s="1" t="n"/>
      <c r="AU434" s="1" t="n"/>
      <c r="AV434" s="1" t="n"/>
      <c r="AW434" s="1" t="n"/>
      <c r="AX434" s="1" t="n"/>
      <c r="AY434" s="1" t="n"/>
      <c r="AZ434" s="1" t="n"/>
      <c r="BA434" s="1" t="n"/>
    </row>
    <row r="435" ht="16.5" customHeight="1" s="220">
      <c r="A435" s="1" t="n"/>
      <c r="B435" s="1" t="n"/>
      <c r="C435" s="2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  <c r="AX435" s="1" t="n"/>
      <c r="AY435" s="1" t="n"/>
      <c r="AZ435" s="1" t="n"/>
      <c r="BA435" s="1" t="n"/>
    </row>
    <row r="436" ht="16.5" customHeight="1" s="220">
      <c r="A436" s="1" t="n"/>
      <c r="B436" s="1" t="n"/>
      <c r="C436" s="2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  <c r="AW436" s="1" t="n"/>
      <c r="AX436" s="1" t="n"/>
      <c r="AY436" s="1" t="n"/>
      <c r="AZ436" s="1" t="n"/>
      <c r="BA436" s="1" t="n"/>
    </row>
    <row r="437" ht="16.5" customHeight="1" s="220">
      <c r="A437" s="1" t="n"/>
      <c r="B437" s="1" t="n"/>
      <c r="C437" s="2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  <c r="AX437" s="1" t="n"/>
      <c r="AY437" s="1" t="n"/>
      <c r="AZ437" s="1" t="n"/>
      <c r="BA437" s="1" t="n"/>
    </row>
    <row r="438" ht="16.5" customHeight="1" s="220">
      <c r="A438" s="1" t="n"/>
      <c r="B438" s="1" t="n"/>
      <c r="C438" s="2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  <c r="AW438" s="1" t="n"/>
      <c r="AX438" s="1" t="n"/>
      <c r="AY438" s="1" t="n"/>
      <c r="AZ438" s="1" t="n"/>
      <c r="BA438" s="1" t="n"/>
    </row>
    <row r="439" ht="16.5" customHeight="1" s="220">
      <c r="A439" s="1" t="n"/>
      <c r="B439" s="1" t="n"/>
      <c r="C439" s="2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  <c r="AX439" s="1" t="n"/>
      <c r="AY439" s="1" t="n"/>
      <c r="AZ439" s="1" t="n"/>
      <c r="BA439" s="1" t="n"/>
    </row>
    <row r="440" ht="16.5" customHeight="1" s="220">
      <c r="A440" s="1" t="n"/>
      <c r="B440" s="1" t="n"/>
      <c r="C440" s="2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  <c r="AW440" s="1" t="n"/>
      <c r="AX440" s="1" t="n"/>
      <c r="AY440" s="1" t="n"/>
      <c r="AZ440" s="1" t="n"/>
      <c r="BA440" s="1" t="n"/>
    </row>
    <row r="441" ht="16.5" customHeight="1" s="220">
      <c r="A441" s="1" t="n"/>
      <c r="B441" s="1" t="n"/>
      <c r="C441" s="2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  <c r="AX441" s="1" t="n"/>
      <c r="AY441" s="1" t="n"/>
      <c r="AZ441" s="1" t="n"/>
      <c r="BA441" s="1" t="n"/>
    </row>
    <row r="442" ht="16.5" customHeight="1" s="220">
      <c r="A442" s="1" t="n"/>
      <c r="B442" s="1" t="n"/>
      <c r="C442" s="2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  <c r="AW442" s="1" t="n"/>
      <c r="AX442" s="1" t="n"/>
      <c r="AY442" s="1" t="n"/>
      <c r="AZ442" s="1" t="n"/>
      <c r="BA442" s="1" t="n"/>
    </row>
    <row r="443" ht="16.5" customHeight="1" s="220">
      <c r="A443" s="1" t="n"/>
      <c r="B443" s="1" t="n"/>
      <c r="C443" s="2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  <c r="AX443" s="1" t="n"/>
      <c r="AY443" s="1" t="n"/>
      <c r="AZ443" s="1" t="n"/>
      <c r="BA443" s="1" t="n"/>
    </row>
    <row r="444" ht="16.5" customHeight="1" s="220">
      <c r="A444" s="1" t="n"/>
      <c r="B444" s="1" t="n"/>
      <c r="C444" s="2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  <c r="AW444" s="1" t="n"/>
      <c r="AX444" s="1" t="n"/>
      <c r="AY444" s="1" t="n"/>
      <c r="AZ444" s="1" t="n"/>
      <c r="BA444" s="1" t="n"/>
    </row>
    <row r="445" ht="16.5" customHeight="1" s="220">
      <c r="A445" s="1" t="n"/>
      <c r="B445" s="1" t="n"/>
      <c r="C445" s="2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  <c r="AW445" s="1" t="n"/>
      <c r="AX445" s="1" t="n"/>
      <c r="AY445" s="1" t="n"/>
      <c r="AZ445" s="1" t="n"/>
      <c r="BA445" s="1" t="n"/>
    </row>
    <row r="446" ht="16.5" customHeight="1" s="220">
      <c r="A446" s="1" t="n"/>
      <c r="B446" s="1" t="n"/>
      <c r="C446" s="2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  <c r="AW446" s="1" t="n"/>
      <c r="AX446" s="1" t="n"/>
      <c r="AY446" s="1" t="n"/>
      <c r="AZ446" s="1" t="n"/>
      <c r="BA446" s="1" t="n"/>
    </row>
    <row r="447" ht="16.5" customHeight="1" s="220">
      <c r="A447" s="1" t="n"/>
      <c r="B447" s="1" t="n"/>
      <c r="C447" s="2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  <c r="AX447" s="1" t="n"/>
      <c r="AY447" s="1" t="n"/>
      <c r="AZ447" s="1" t="n"/>
      <c r="BA447" s="1" t="n"/>
    </row>
    <row r="448" ht="16.5" customHeight="1" s="220">
      <c r="A448" s="1" t="n"/>
      <c r="B448" s="1" t="n"/>
      <c r="C448" s="2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  <c r="AW448" s="1" t="n"/>
      <c r="AX448" s="1" t="n"/>
      <c r="AY448" s="1" t="n"/>
      <c r="AZ448" s="1" t="n"/>
      <c r="BA448" s="1" t="n"/>
    </row>
    <row r="449" ht="16.5" customHeight="1" s="220">
      <c r="A449" s="1" t="n"/>
      <c r="B449" s="1" t="n"/>
      <c r="C449" s="2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  <c r="AX449" s="1" t="n"/>
      <c r="AY449" s="1" t="n"/>
      <c r="AZ449" s="1" t="n"/>
      <c r="BA449" s="1" t="n"/>
    </row>
    <row r="450" ht="16.5" customHeight="1" s="220">
      <c r="A450" s="1" t="n"/>
      <c r="B450" s="1" t="n"/>
      <c r="C450" s="2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  <c r="AS450" s="1" t="n"/>
      <c r="AT450" s="1" t="n"/>
      <c r="AU450" s="1" t="n"/>
      <c r="AV450" s="1" t="n"/>
      <c r="AW450" s="1" t="n"/>
      <c r="AX450" s="1" t="n"/>
      <c r="AY450" s="1" t="n"/>
      <c r="AZ450" s="1" t="n"/>
      <c r="BA450" s="1" t="n"/>
    </row>
    <row r="451" ht="16.5" customHeight="1" s="220">
      <c r="A451" s="1" t="n"/>
      <c r="B451" s="1" t="n"/>
      <c r="C451" s="2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  <c r="AW451" s="1" t="n"/>
      <c r="AX451" s="1" t="n"/>
      <c r="AY451" s="1" t="n"/>
      <c r="AZ451" s="1" t="n"/>
      <c r="BA451" s="1" t="n"/>
    </row>
    <row r="452" ht="16.5" customHeight="1" s="220">
      <c r="A452" s="1" t="n"/>
      <c r="B452" s="1" t="n"/>
      <c r="C452" s="2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  <c r="AS452" s="1" t="n"/>
      <c r="AT452" s="1" t="n"/>
      <c r="AU452" s="1" t="n"/>
      <c r="AV452" s="1" t="n"/>
      <c r="AW452" s="1" t="n"/>
      <c r="AX452" s="1" t="n"/>
      <c r="AY452" s="1" t="n"/>
      <c r="AZ452" s="1" t="n"/>
      <c r="BA452" s="1" t="n"/>
    </row>
    <row r="453" ht="16.5" customHeight="1" s="220">
      <c r="A453" s="1" t="n"/>
      <c r="B453" s="1" t="n"/>
      <c r="C453" s="2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  <c r="AW453" s="1" t="n"/>
      <c r="AX453" s="1" t="n"/>
      <c r="AY453" s="1" t="n"/>
      <c r="AZ453" s="1" t="n"/>
      <c r="BA453" s="1" t="n"/>
    </row>
    <row r="454" ht="16.5" customHeight="1" s="220">
      <c r="A454" s="1" t="n"/>
      <c r="B454" s="1" t="n"/>
      <c r="C454" s="2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  <c r="AS454" s="1" t="n"/>
      <c r="AT454" s="1" t="n"/>
      <c r="AU454" s="1" t="n"/>
      <c r="AV454" s="1" t="n"/>
      <c r="AW454" s="1" t="n"/>
      <c r="AX454" s="1" t="n"/>
      <c r="AY454" s="1" t="n"/>
      <c r="AZ454" s="1" t="n"/>
      <c r="BA454" s="1" t="n"/>
    </row>
    <row r="455" ht="16.5" customHeight="1" s="220">
      <c r="A455" s="1" t="n"/>
      <c r="B455" s="1" t="n"/>
      <c r="C455" s="2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  <c r="AW455" s="1" t="n"/>
      <c r="AX455" s="1" t="n"/>
      <c r="AY455" s="1" t="n"/>
      <c r="AZ455" s="1" t="n"/>
      <c r="BA455" s="1" t="n"/>
    </row>
    <row r="456" ht="16.5" customHeight="1" s="220">
      <c r="A456" s="1" t="n"/>
      <c r="B456" s="1" t="n"/>
      <c r="C456" s="2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  <c r="AS456" s="1" t="n"/>
      <c r="AT456" s="1" t="n"/>
      <c r="AU456" s="1" t="n"/>
      <c r="AV456" s="1" t="n"/>
      <c r="AW456" s="1" t="n"/>
      <c r="AX456" s="1" t="n"/>
      <c r="AY456" s="1" t="n"/>
      <c r="AZ456" s="1" t="n"/>
      <c r="BA456" s="1" t="n"/>
    </row>
    <row r="457" ht="16.5" customHeight="1" s="220">
      <c r="A457" s="1" t="n"/>
      <c r="B457" s="1" t="n"/>
      <c r="C457" s="2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  <c r="AW457" s="1" t="n"/>
      <c r="AX457" s="1" t="n"/>
      <c r="AY457" s="1" t="n"/>
      <c r="AZ457" s="1" t="n"/>
      <c r="BA457" s="1" t="n"/>
    </row>
    <row r="458" ht="16.5" customHeight="1" s="220">
      <c r="A458" s="1" t="n"/>
      <c r="B458" s="1" t="n"/>
      <c r="C458" s="2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  <c r="AS458" s="1" t="n"/>
      <c r="AT458" s="1" t="n"/>
      <c r="AU458" s="1" t="n"/>
      <c r="AV458" s="1" t="n"/>
      <c r="AW458" s="1" t="n"/>
      <c r="AX458" s="1" t="n"/>
      <c r="AY458" s="1" t="n"/>
      <c r="AZ458" s="1" t="n"/>
      <c r="BA458" s="1" t="n"/>
    </row>
    <row r="459" ht="16.5" customHeight="1" s="220">
      <c r="A459" s="1" t="n"/>
      <c r="B459" s="1" t="n"/>
      <c r="C459" s="2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  <c r="AW459" s="1" t="n"/>
      <c r="AX459" s="1" t="n"/>
      <c r="AY459" s="1" t="n"/>
      <c r="AZ459" s="1" t="n"/>
      <c r="BA459" s="1" t="n"/>
    </row>
    <row r="460" ht="16.5" customHeight="1" s="220">
      <c r="A460" s="1" t="n"/>
      <c r="B460" s="1" t="n"/>
      <c r="C460" s="2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  <c r="AS460" s="1" t="n"/>
      <c r="AT460" s="1" t="n"/>
      <c r="AU460" s="1" t="n"/>
      <c r="AV460" s="1" t="n"/>
      <c r="AW460" s="1" t="n"/>
      <c r="AX460" s="1" t="n"/>
      <c r="AY460" s="1" t="n"/>
      <c r="AZ460" s="1" t="n"/>
      <c r="BA460" s="1" t="n"/>
    </row>
    <row r="461" ht="16.5" customHeight="1" s="220">
      <c r="A461" s="1" t="n"/>
      <c r="B461" s="1" t="n"/>
      <c r="C461" s="2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  <c r="AW461" s="1" t="n"/>
      <c r="AX461" s="1" t="n"/>
      <c r="AY461" s="1" t="n"/>
      <c r="AZ461" s="1" t="n"/>
      <c r="BA461" s="1" t="n"/>
    </row>
    <row r="462" ht="16.5" customHeight="1" s="220">
      <c r="A462" s="1" t="n"/>
      <c r="B462" s="1" t="n"/>
      <c r="C462" s="2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  <c r="AS462" s="1" t="n"/>
      <c r="AT462" s="1" t="n"/>
      <c r="AU462" s="1" t="n"/>
      <c r="AV462" s="1" t="n"/>
      <c r="AW462" s="1" t="n"/>
      <c r="AX462" s="1" t="n"/>
      <c r="AY462" s="1" t="n"/>
      <c r="AZ462" s="1" t="n"/>
      <c r="BA462" s="1" t="n"/>
    </row>
    <row r="463" ht="16.5" customHeight="1" s="220">
      <c r="A463" s="1" t="n"/>
      <c r="B463" s="1" t="n"/>
      <c r="C463" s="2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  <c r="AW463" s="1" t="n"/>
      <c r="AX463" s="1" t="n"/>
      <c r="AY463" s="1" t="n"/>
      <c r="AZ463" s="1" t="n"/>
      <c r="BA463" s="1" t="n"/>
    </row>
    <row r="464" ht="16.5" customHeight="1" s="220">
      <c r="A464" s="1" t="n"/>
      <c r="B464" s="1" t="n"/>
      <c r="C464" s="2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  <c r="AS464" s="1" t="n"/>
      <c r="AT464" s="1" t="n"/>
      <c r="AU464" s="1" t="n"/>
      <c r="AV464" s="1" t="n"/>
      <c r="AW464" s="1" t="n"/>
      <c r="AX464" s="1" t="n"/>
      <c r="AY464" s="1" t="n"/>
      <c r="AZ464" s="1" t="n"/>
      <c r="BA464" s="1" t="n"/>
    </row>
    <row r="465" ht="16.5" customHeight="1" s="220">
      <c r="A465" s="1" t="n"/>
      <c r="B465" s="1" t="n"/>
      <c r="C465" s="2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  <c r="AW465" s="1" t="n"/>
      <c r="AX465" s="1" t="n"/>
      <c r="AY465" s="1" t="n"/>
      <c r="AZ465" s="1" t="n"/>
      <c r="BA465" s="1" t="n"/>
    </row>
    <row r="466" ht="16.5" customHeight="1" s="220">
      <c r="A466" s="1" t="n"/>
      <c r="B466" s="1" t="n"/>
      <c r="C466" s="2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  <c r="AS466" s="1" t="n"/>
      <c r="AT466" s="1" t="n"/>
      <c r="AU466" s="1" t="n"/>
      <c r="AV466" s="1" t="n"/>
      <c r="AW466" s="1" t="n"/>
      <c r="AX466" s="1" t="n"/>
      <c r="AY466" s="1" t="n"/>
      <c r="AZ466" s="1" t="n"/>
      <c r="BA466" s="1" t="n"/>
    </row>
    <row r="467" ht="16.5" customHeight="1" s="220">
      <c r="A467" s="1" t="n"/>
      <c r="B467" s="1" t="n"/>
      <c r="C467" s="2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  <c r="AW467" s="1" t="n"/>
      <c r="AX467" s="1" t="n"/>
      <c r="AY467" s="1" t="n"/>
      <c r="AZ467" s="1" t="n"/>
      <c r="BA467" s="1" t="n"/>
    </row>
    <row r="468" ht="16.5" customHeight="1" s="220">
      <c r="A468" s="1" t="n"/>
      <c r="B468" s="1" t="n"/>
      <c r="C468" s="2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  <c r="AS468" s="1" t="n"/>
      <c r="AT468" s="1" t="n"/>
      <c r="AU468" s="1" t="n"/>
      <c r="AV468" s="1" t="n"/>
      <c r="AW468" s="1" t="n"/>
      <c r="AX468" s="1" t="n"/>
      <c r="AY468" s="1" t="n"/>
      <c r="AZ468" s="1" t="n"/>
      <c r="BA468" s="1" t="n"/>
    </row>
    <row r="469" ht="16.5" customHeight="1" s="220">
      <c r="A469" s="1" t="n"/>
      <c r="B469" s="1" t="n"/>
      <c r="C469" s="2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  <c r="AW469" s="1" t="n"/>
      <c r="AX469" s="1" t="n"/>
      <c r="AY469" s="1" t="n"/>
      <c r="AZ469" s="1" t="n"/>
      <c r="BA469" s="1" t="n"/>
    </row>
    <row r="470" ht="16.5" customHeight="1" s="220">
      <c r="A470" s="1" t="n"/>
      <c r="B470" s="1" t="n"/>
      <c r="C470" s="2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  <c r="AS470" s="1" t="n"/>
      <c r="AT470" s="1" t="n"/>
      <c r="AU470" s="1" t="n"/>
      <c r="AV470" s="1" t="n"/>
      <c r="AW470" s="1" t="n"/>
      <c r="AX470" s="1" t="n"/>
      <c r="AY470" s="1" t="n"/>
      <c r="AZ470" s="1" t="n"/>
      <c r="BA470" s="1" t="n"/>
    </row>
    <row r="471" ht="16.5" customHeight="1" s="220">
      <c r="A471" s="1" t="n"/>
      <c r="B471" s="1" t="n"/>
      <c r="C471" s="2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  <c r="AW471" s="1" t="n"/>
      <c r="AX471" s="1" t="n"/>
      <c r="AY471" s="1" t="n"/>
      <c r="AZ471" s="1" t="n"/>
      <c r="BA471" s="1" t="n"/>
    </row>
    <row r="472" ht="16.5" customHeight="1" s="220">
      <c r="A472" s="1" t="n"/>
      <c r="B472" s="1" t="n"/>
      <c r="C472" s="2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  <c r="AS472" s="1" t="n"/>
      <c r="AT472" s="1" t="n"/>
      <c r="AU472" s="1" t="n"/>
      <c r="AV472" s="1" t="n"/>
      <c r="AW472" s="1" t="n"/>
      <c r="AX472" s="1" t="n"/>
      <c r="AY472" s="1" t="n"/>
      <c r="AZ472" s="1" t="n"/>
      <c r="BA472" s="1" t="n"/>
    </row>
    <row r="473" ht="16.5" customHeight="1" s="220">
      <c r="A473" s="1" t="n"/>
      <c r="B473" s="1" t="n"/>
      <c r="C473" s="2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  <c r="AW473" s="1" t="n"/>
      <c r="AX473" s="1" t="n"/>
      <c r="AY473" s="1" t="n"/>
      <c r="AZ473" s="1" t="n"/>
      <c r="BA473" s="1" t="n"/>
    </row>
    <row r="474" ht="16.5" customHeight="1" s="220">
      <c r="A474" s="1" t="n"/>
      <c r="B474" s="1" t="n"/>
      <c r="C474" s="2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  <c r="AS474" s="1" t="n"/>
      <c r="AT474" s="1" t="n"/>
      <c r="AU474" s="1" t="n"/>
      <c r="AV474" s="1" t="n"/>
      <c r="AW474" s="1" t="n"/>
      <c r="AX474" s="1" t="n"/>
      <c r="AY474" s="1" t="n"/>
      <c r="AZ474" s="1" t="n"/>
      <c r="BA474" s="1" t="n"/>
    </row>
    <row r="475" ht="16.5" customHeight="1" s="220">
      <c r="A475" s="1" t="n"/>
      <c r="B475" s="1" t="n"/>
      <c r="C475" s="2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  <c r="AW475" s="1" t="n"/>
      <c r="AX475" s="1" t="n"/>
      <c r="AY475" s="1" t="n"/>
      <c r="AZ475" s="1" t="n"/>
      <c r="BA475" s="1" t="n"/>
    </row>
    <row r="476" ht="16.5" customHeight="1" s="220">
      <c r="A476" s="1" t="n"/>
      <c r="B476" s="1" t="n"/>
      <c r="C476" s="2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  <c r="AS476" s="1" t="n"/>
      <c r="AT476" s="1" t="n"/>
      <c r="AU476" s="1" t="n"/>
      <c r="AV476" s="1" t="n"/>
      <c r="AW476" s="1" t="n"/>
      <c r="AX476" s="1" t="n"/>
      <c r="AY476" s="1" t="n"/>
      <c r="AZ476" s="1" t="n"/>
      <c r="BA476" s="1" t="n"/>
    </row>
    <row r="477" ht="16.5" customHeight="1" s="220">
      <c r="A477" s="1" t="n"/>
      <c r="B477" s="1" t="n"/>
      <c r="C477" s="2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  <c r="AW477" s="1" t="n"/>
      <c r="AX477" s="1" t="n"/>
      <c r="AY477" s="1" t="n"/>
      <c r="AZ477" s="1" t="n"/>
      <c r="BA477" s="1" t="n"/>
    </row>
    <row r="478" ht="16.5" customHeight="1" s="220">
      <c r="A478" s="1" t="n"/>
      <c r="B478" s="1" t="n"/>
      <c r="C478" s="2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  <c r="AS478" s="1" t="n"/>
      <c r="AT478" s="1" t="n"/>
      <c r="AU478" s="1" t="n"/>
      <c r="AV478" s="1" t="n"/>
      <c r="AW478" s="1" t="n"/>
      <c r="AX478" s="1" t="n"/>
      <c r="AY478" s="1" t="n"/>
      <c r="AZ478" s="1" t="n"/>
      <c r="BA478" s="1" t="n"/>
    </row>
    <row r="479" ht="16.5" customHeight="1" s="220">
      <c r="A479" s="1" t="n"/>
      <c r="B479" s="1" t="n"/>
      <c r="C479" s="2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  <c r="AW479" s="1" t="n"/>
      <c r="AX479" s="1" t="n"/>
      <c r="AY479" s="1" t="n"/>
      <c r="AZ479" s="1" t="n"/>
      <c r="BA479" s="1" t="n"/>
    </row>
    <row r="480" ht="16.5" customHeight="1" s="220">
      <c r="A480" s="1" t="n"/>
      <c r="B480" s="1" t="n"/>
      <c r="C480" s="2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  <c r="AS480" s="1" t="n"/>
      <c r="AT480" s="1" t="n"/>
      <c r="AU480" s="1" t="n"/>
      <c r="AV480" s="1" t="n"/>
      <c r="AW480" s="1" t="n"/>
      <c r="AX480" s="1" t="n"/>
      <c r="AY480" s="1" t="n"/>
      <c r="AZ480" s="1" t="n"/>
      <c r="BA480" s="1" t="n"/>
    </row>
    <row r="481" ht="16.5" customHeight="1" s="220">
      <c r="A481" s="1" t="n"/>
      <c r="B481" s="1" t="n"/>
      <c r="C481" s="2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  <c r="AW481" s="1" t="n"/>
      <c r="AX481" s="1" t="n"/>
      <c r="AY481" s="1" t="n"/>
      <c r="AZ481" s="1" t="n"/>
      <c r="BA481" s="1" t="n"/>
    </row>
    <row r="482" ht="16.5" customHeight="1" s="220">
      <c r="A482" s="1" t="n"/>
      <c r="B482" s="1" t="n"/>
      <c r="C482" s="2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  <c r="AR482" s="1" t="n"/>
      <c r="AS482" s="1" t="n"/>
      <c r="AT482" s="1" t="n"/>
      <c r="AU482" s="1" t="n"/>
      <c r="AV482" s="1" t="n"/>
      <c r="AW482" s="1" t="n"/>
      <c r="AX482" s="1" t="n"/>
      <c r="AY482" s="1" t="n"/>
      <c r="AZ482" s="1" t="n"/>
      <c r="BA482" s="1" t="n"/>
    </row>
    <row r="483" ht="16.5" customHeight="1" s="220">
      <c r="A483" s="1" t="n"/>
      <c r="B483" s="1" t="n"/>
      <c r="C483" s="2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  <c r="AW483" s="1" t="n"/>
      <c r="AX483" s="1" t="n"/>
      <c r="AY483" s="1" t="n"/>
      <c r="AZ483" s="1" t="n"/>
      <c r="BA483" s="1" t="n"/>
    </row>
    <row r="484" ht="16.5" customHeight="1" s="220">
      <c r="A484" s="1" t="n"/>
      <c r="B484" s="1" t="n"/>
      <c r="C484" s="2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  <c r="AS484" s="1" t="n"/>
      <c r="AT484" s="1" t="n"/>
      <c r="AU484" s="1" t="n"/>
      <c r="AV484" s="1" t="n"/>
      <c r="AW484" s="1" t="n"/>
      <c r="AX484" s="1" t="n"/>
      <c r="AY484" s="1" t="n"/>
      <c r="AZ484" s="1" t="n"/>
      <c r="BA484" s="1" t="n"/>
    </row>
    <row r="485" ht="16.5" customHeight="1" s="220">
      <c r="A485" s="1" t="n"/>
      <c r="B485" s="1" t="n"/>
      <c r="C485" s="2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  <c r="AW485" s="1" t="n"/>
      <c r="AX485" s="1" t="n"/>
      <c r="AY485" s="1" t="n"/>
      <c r="AZ485" s="1" t="n"/>
      <c r="BA485" s="1" t="n"/>
    </row>
    <row r="486" ht="16.5" customHeight="1" s="220">
      <c r="A486" s="1" t="n"/>
      <c r="B486" s="1" t="n"/>
      <c r="C486" s="2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  <c r="AS486" s="1" t="n"/>
      <c r="AT486" s="1" t="n"/>
      <c r="AU486" s="1" t="n"/>
      <c r="AV486" s="1" t="n"/>
      <c r="AW486" s="1" t="n"/>
      <c r="AX486" s="1" t="n"/>
      <c r="AY486" s="1" t="n"/>
      <c r="AZ486" s="1" t="n"/>
      <c r="BA486" s="1" t="n"/>
    </row>
    <row r="487" ht="16.5" customHeight="1" s="220">
      <c r="A487" s="1" t="n"/>
      <c r="B487" s="1" t="n"/>
      <c r="C487" s="2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  <c r="AW487" s="1" t="n"/>
      <c r="AX487" s="1" t="n"/>
      <c r="AY487" s="1" t="n"/>
      <c r="AZ487" s="1" t="n"/>
      <c r="BA487" s="1" t="n"/>
    </row>
    <row r="488" ht="16.5" customHeight="1" s="220">
      <c r="A488" s="1" t="n"/>
      <c r="B488" s="1" t="n"/>
      <c r="C488" s="2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  <c r="AS488" s="1" t="n"/>
      <c r="AT488" s="1" t="n"/>
      <c r="AU488" s="1" t="n"/>
      <c r="AV488" s="1" t="n"/>
      <c r="AW488" s="1" t="n"/>
      <c r="AX488" s="1" t="n"/>
      <c r="AY488" s="1" t="n"/>
      <c r="AZ488" s="1" t="n"/>
      <c r="BA488" s="1" t="n"/>
    </row>
    <row r="489" ht="16.5" customHeight="1" s="220">
      <c r="A489" s="1" t="n"/>
      <c r="B489" s="1" t="n"/>
      <c r="C489" s="2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  <c r="AW489" s="1" t="n"/>
      <c r="AX489" s="1" t="n"/>
      <c r="AY489" s="1" t="n"/>
      <c r="AZ489" s="1" t="n"/>
      <c r="BA489" s="1" t="n"/>
    </row>
    <row r="490" ht="16.5" customHeight="1" s="220">
      <c r="A490" s="1" t="n"/>
      <c r="B490" s="1" t="n"/>
      <c r="C490" s="2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  <c r="AS490" s="1" t="n"/>
      <c r="AT490" s="1" t="n"/>
      <c r="AU490" s="1" t="n"/>
      <c r="AV490" s="1" t="n"/>
      <c r="AW490" s="1" t="n"/>
      <c r="AX490" s="1" t="n"/>
      <c r="AY490" s="1" t="n"/>
      <c r="AZ490" s="1" t="n"/>
      <c r="BA490" s="1" t="n"/>
    </row>
    <row r="491" ht="16.5" customHeight="1" s="220">
      <c r="A491" s="1" t="n"/>
      <c r="B491" s="1" t="n"/>
      <c r="C491" s="2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  <c r="AW491" s="1" t="n"/>
      <c r="AX491" s="1" t="n"/>
      <c r="AY491" s="1" t="n"/>
      <c r="AZ491" s="1" t="n"/>
      <c r="BA491" s="1" t="n"/>
    </row>
    <row r="492" ht="16.5" customHeight="1" s="220">
      <c r="A492" s="1" t="n"/>
      <c r="B492" s="1" t="n"/>
      <c r="C492" s="2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  <c r="AS492" s="1" t="n"/>
      <c r="AT492" s="1" t="n"/>
      <c r="AU492" s="1" t="n"/>
      <c r="AV492" s="1" t="n"/>
      <c r="AW492" s="1" t="n"/>
      <c r="AX492" s="1" t="n"/>
      <c r="AY492" s="1" t="n"/>
      <c r="AZ492" s="1" t="n"/>
      <c r="BA492" s="1" t="n"/>
    </row>
    <row r="493" ht="16.5" customHeight="1" s="220">
      <c r="A493" s="1" t="n"/>
      <c r="B493" s="1" t="n"/>
      <c r="C493" s="2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  <c r="AW493" s="1" t="n"/>
      <c r="AX493" s="1" t="n"/>
      <c r="AY493" s="1" t="n"/>
      <c r="AZ493" s="1" t="n"/>
      <c r="BA493" s="1" t="n"/>
    </row>
    <row r="494" ht="16.5" customHeight="1" s="220">
      <c r="A494" s="1" t="n"/>
      <c r="B494" s="1" t="n"/>
      <c r="C494" s="2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  <c r="AS494" s="1" t="n"/>
      <c r="AT494" s="1" t="n"/>
      <c r="AU494" s="1" t="n"/>
      <c r="AV494" s="1" t="n"/>
      <c r="AW494" s="1" t="n"/>
      <c r="AX494" s="1" t="n"/>
      <c r="AY494" s="1" t="n"/>
      <c r="AZ494" s="1" t="n"/>
      <c r="BA494" s="1" t="n"/>
    </row>
    <row r="495" ht="16.5" customHeight="1" s="220">
      <c r="A495" s="1" t="n"/>
      <c r="B495" s="1" t="n"/>
      <c r="C495" s="2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  <c r="AW495" s="1" t="n"/>
      <c r="AX495" s="1" t="n"/>
      <c r="AY495" s="1" t="n"/>
      <c r="AZ495" s="1" t="n"/>
      <c r="BA495" s="1" t="n"/>
    </row>
    <row r="496" ht="16.5" customHeight="1" s="220">
      <c r="A496" s="1" t="n"/>
      <c r="B496" s="1" t="n"/>
      <c r="C496" s="2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  <c r="AS496" s="1" t="n"/>
      <c r="AT496" s="1" t="n"/>
      <c r="AU496" s="1" t="n"/>
      <c r="AV496" s="1" t="n"/>
      <c r="AW496" s="1" t="n"/>
      <c r="AX496" s="1" t="n"/>
      <c r="AY496" s="1" t="n"/>
      <c r="AZ496" s="1" t="n"/>
      <c r="BA496" s="1" t="n"/>
    </row>
    <row r="497" ht="16.5" customHeight="1" s="220">
      <c r="A497" s="1" t="n"/>
      <c r="B497" s="1" t="n"/>
      <c r="C497" s="2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  <c r="AW497" s="1" t="n"/>
      <c r="AX497" s="1" t="n"/>
      <c r="AY497" s="1" t="n"/>
      <c r="AZ497" s="1" t="n"/>
      <c r="BA497" s="1" t="n"/>
    </row>
    <row r="498" ht="16.5" customHeight="1" s="220">
      <c r="A498" s="1" t="n"/>
      <c r="B498" s="1" t="n"/>
      <c r="C498" s="2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  <c r="AS498" s="1" t="n"/>
      <c r="AT498" s="1" t="n"/>
      <c r="AU498" s="1" t="n"/>
      <c r="AV498" s="1" t="n"/>
      <c r="AW498" s="1" t="n"/>
      <c r="AX498" s="1" t="n"/>
      <c r="AY498" s="1" t="n"/>
      <c r="AZ498" s="1" t="n"/>
      <c r="BA498" s="1" t="n"/>
    </row>
    <row r="499" ht="16.5" customHeight="1" s="220">
      <c r="A499" s="1" t="n"/>
      <c r="B499" s="1" t="n"/>
      <c r="C499" s="2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  <c r="AW499" s="1" t="n"/>
      <c r="AX499" s="1" t="n"/>
      <c r="AY499" s="1" t="n"/>
      <c r="AZ499" s="1" t="n"/>
      <c r="BA499" s="1" t="n"/>
    </row>
    <row r="500" ht="16.5" customHeight="1" s="220">
      <c r="A500" s="1" t="n"/>
      <c r="B500" s="1" t="n"/>
      <c r="C500" s="2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  <c r="AR500" s="1" t="n"/>
      <c r="AS500" s="1" t="n"/>
      <c r="AT500" s="1" t="n"/>
      <c r="AU500" s="1" t="n"/>
      <c r="AV500" s="1" t="n"/>
      <c r="AW500" s="1" t="n"/>
      <c r="AX500" s="1" t="n"/>
      <c r="AY500" s="1" t="n"/>
      <c r="AZ500" s="1" t="n"/>
      <c r="BA500" s="1" t="n"/>
    </row>
    <row r="501" ht="16.5" customHeight="1" s="220">
      <c r="A501" s="1" t="n"/>
      <c r="B501" s="1" t="n"/>
      <c r="C501" s="2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  <c r="AR501" s="1" t="n"/>
      <c r="AS501" s="1" t="n"/>
      <c r="AT501" s="1" t="n"/>
      <c r="AU501" s="1" t="n"/>
      <c r="AV501" s="1" t="n"/>
      <c r="AW501" s="1" t="n"/>
      <c r="AX501" s="1" t="n"/>
      <c r="AY501" s="1" t="n"/>
      <c r="AZ501" s="1" t="n"/>
      <c r="BA501" s="1" t="n"/>
    </row>
    <row r="502" ht="16.5" customHeight="1" s="220">
      <c r="A502" s="1" t="n"/>
      <c r="B502" s="1" t="n"/>
      <c r="C502" s="2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  <c r="AR502" s="1" t="n"/>
      <c r="AS502" s="1" t="n"/>
      <c r="AT502" s="1" t="n"/>
      <c r="AU502" s="1" t="n"/>
      <c r="AV502" s="1" t="n"/>
      <c r="AW502" s="1" t="n"/>
      <c r="AX502" s="1" t="n"/>
      <c r="AY502" s="1" t="n"/>
      <c r="AZ502" s="1" t="n"/>
      <c r="BA502" s="1" t="n"/>
    </row>
    <row r="503" ht="16.5" customHeight="1" s="220">
      <c r="A503" s="1" t="n"/>
      <c r="B503" s="1" t="n"/>
      <c r="C503" s="2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  <c r="AR503" s="1" t="n"/>
      <c r="AS503" s="1" t="n"/>
      <c r="AT503" s="1" t="n"/>
      <c r="AU503" s="1" t="n"/>
      <c r="AV503" s="1" t="n"/>
      <c r="AW503" s="1" t="n"/>
      <c r="AX503" s="1" t="n"/>
      <c r="AY503" s="1" t="n"/>
      <c r="AZ503" s="1" t="n"/>
      <c r="BA503" s="1" t="n"/>
    </row>
    <row r="504" ht="16.5" customHeight="1" s="220">
      <c r="A504" s="1" t="n"/>
      <c r="B504" s="1" t="n"/>
      <c r="C504" s="2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  <c r="AR504" s="1" t="n"/>
      <c r="AS504" s="1" t="n"/>
      <c r="AT504" s="1" t="n"/>
      <c r="AU504" s="1" t="n"/>
      <c r="AV504" s="1" t="n"/>
      <c r="AW504" s="1" t="n"/>
      <c r="AX504" s="1" t="n"/>
      <c r="AY504" s="1" t="n"/>
      <c r="AZ504" s="1" t="n"/>
      <c r="BA504" s="1" t="n"/>
    </row>
    <row r="505" ht="16.5" customHeight="1" s="220">
      <c r="A505" s="1" t="n"/>
      <c r="B505" s="1" t="n"/>
      <c r="C505" s="2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  <c r="AR505" s="1" t="n"/>
      <c r="AS505" s="1" t="n"/>
      <c r="AT505" s="1" t="n"/>
      <c r="AU505" s="1" t="n"/>
      <c r="AV505" s="1" t="n"/>
      <c r="AW505" s="1" t="n"/>
      <c r="AX505" s="1" t="n"/>
      <c r="AY505" s="1" t="n"/>
      <c r="AZ505" s="1" t="n"/>
      <c r="BA505" s="1" t="n"/>
    </row>
    <row r="506" ht="16.5" customHeight="1" s="220">
      <c r="A506" s="1" t="n"/>
      <c r="B506" s="1" t="n"/>
      <c r="C506" s="2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  <c r="AR506" s="1" t="n"/>
      <c r="AS506" s="1" t="n"/>
      <c r="AT506" s="1" t="n"/>
      <c r="AU506" s="1" t="n"/>
      <c r="AV506" s="1" t="n"/>
      <c r="AW506" s="1" t="n"/>
      <c r="AX506" s="1" t="n"/>
      <c r="AY506" s="1" t="n"/>
      <c r="AZ506" s="1" t="n"/>
      <c r="BA506" s="1" t="n"/>
    </row>
    <row r="507" ht="16.5" customHeight="1" s="220">
      <c r="A507" s="1" t="n"/>
      <c r="B507" s="1" t="n"/>
      <c r="C507" s="2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  <c r="AR507" s="1" t="n"/>
      <c r="AS507" s="1" t="n"/>
      <c r="AT507" s="1" t="n"/>
      <c r="AU507" s="1" t="n"/>
      <c r="AV507" s="1" t="n"/>
      <c r="AW507" s="1" t="n"/>
      <c r="AX507" s="1" t="n"/>
      <c r="AY507" s="1" t="n"/>
      <c r="AZ507" s="1" t="n"/>
      <c r="BA507" s="1" t="n"/>
    </row>
    <row r="508" ht="16.5" customHeight="1" s="220">
      <c r="A508" s="1" t="n"/>
      <c r="B508" s="1" t="n"/>
      <c r="C508" s="2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  <c r="AR508" s="1" t="n"/>
      <c r="AS508" s="1" t="n"/>
      <c r="AT508" s="1" t="n"/>
      <c r="AU508" s="1" t="n"/>
      <c r="AV508" s="1" t="n"/>
      <c r="AW508" s="1" t="n"/>
      <c r="AX508" s="1" t="n"/>
      <c r="AY508" s="1" t="n"/>
      <c r="AZ508" s="1" t="n"/>
      <c r="BA508" s="1" t="n"/>
    </row>
    <row r="509" ht="16.5" customHeight="1" s="220">
      <c r="A509" s="1" t="n"/>
      <c r="B509" s="1" t="n"/>
      <c r="C509" s="2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  <c r="AR509" s="1" t="n"/>
      <c r="AS509" s="1" t="n"/>
      <c r="AT509" s="1" t="n"/>
      <c r="AU509" s="1" t="n"/>
      <c r="AV509" s="1" t="n"/>
      <c r="AW509" s="1" t="n"/>
      <c r="AX509" s="1" t="n"/>
      <c r="AY509" s="1" t="n"/>
      <c r="AZ509" s="1" t="n"/>
      <c r="BA509" s="1" t="n"/>
    </row>
    <row r="510" ht="16.5" customHeight="1" s="220">
      <c r="A510" s="1" t="n"/>
      <c r="B510" s="1" t="n"/>
      <c r="C510" s="2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  <c r="AR510" s="1" t="n"/>
      <c r="AS510" s="1" t="n"/>
      <c r="AT510" s="1" t="n"/>
      <c r="AU510" s="1" t="n"/>
      <c r="AV510" s="1" t="n"/>
      <c r="AW510" s="1" t="n"/>
      <c r="AX510" s="1" t="n"/>
      <c r="AY510" s="1" t="n"/>
      <c r="AZ510" s="1" t="n"/>
      <c r="BA510" s="1" t="n"/>
    </row>
    <row r="511" ht="16.5" customHeight="1" s="220">
      <c r="A511" s="1" t="n"/>
      <c r="B511" s="1" t="n"/>
      <c r="C511" s="2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  <c r="AR511" s="1" t="n"/>
      <c r="AS511" s="1" t="n"/>
      <c r="AT511" s="1" t="n"/>
      <c r="AU511" s="1" t="n"/>
      <c r="AV511" s="1" t="n"/>
      <c r="AW511" s="1" t="n"/>
      <c r="AX511" s="1" t="n"/>
      <c r="AY511" s="1" t="n"/>
      <c r="AZ511" s="1" t="n"/>
      <c r="BA511" s="1" t="n"/>
    </row>
    <row r="512" ht="16.5" customHeight="1" s="220">
      <c r="A512" s="1" t="n"/>
      <c r="B512" s="1" t="n"/>
      <c r="C512" s="2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  <c r="AR512" s="1" t="n"/>
      <c r="AS512" s="1" t="n"/>
      <c r="AT512" s="1" t="n"/>
      <c r="AU512" s="1" t="n"/>
      <c r="AV512" s="1" t="n"/>
      <c r="AW512" s="1" t="n"/>
      <c r="AX512" s="1" t="n"/>
      <c r="AY512" s="1" t="n"/>
      <c r="AZ512" s="1" t="n"/>
      <c r="BA512" s="1" t="n"/>
    </row>
    <row r="513" ht="16.5" customHeight="1" s="220">
      <c r="A513" s="1" t="n"/>
      <c r="B513" s="1" t="n"/>
      <c r="C513" s="2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  <c r="AR513" s="1" t="n"/>
      <c r="AS513" s="1" t="n"/>
      <c r="AT513" s="1" t="n"/>
      <c r="AU513" s="1" t="n"/>
      <c r="AV513" s="1" t="n"/>
      <c r="AW513" s="1" t="n"/>
      <c r="AX513" s="1" t="n"/>
      <c r="AY513" s="1" t="n"/>
      <c r="AZ513" s="1" t="n"/>
      <c r="BA513" s="1" t="n"/>
    </row>
    <row r="514" ht="16.5" customHeight="1" s="220">
      <c r="A514" s="1" t="n"/>
      <c r="B514" s="1" t="n"/>
      <c r="C514" s="2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  <c r="AR514" s="1" t="n"/>
      <c r="AS514" s="1" t="n"/>
      <c r="AT514" s="1" t="n"/>
      <c r="AU514" s="1" t="n"/>
      <c r="AV514" s="1" t="n"/>
      <c r="AW514" s="1" t="n"/>
      <c r="AX514" s="1" t="n"/>
      <c r="AY514" s="1" t="n"/>
      <c r="AZ514" s="1" t="n"/>
      <c r="BA514" s="1" t="n"/>
    </row>
    <row r="515" ht="16.5" customHeight="1" s="220">
      <c r="A515" s="1" t="n"/>
      <c r="B515" s="1" t="n"/>
      <c r="C515" s="2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  <c r="AR515" s="1" t="n"/>
      <c r="AS515" s="1" t="n"/>
      <c r="AT515" s="1" t="n"/>
      <c r="AU515" s="1" t="n"/>
      <c r="AV515" s="1" t="n"/>
      <c r="AW515" s="1" t="n"/>
      <c r="AX515" s="1" t="n"/>
      <c r="AY515" s="1" t="n"/>
      <c r="AZ515" s="1" t="n"/>
      <c r="BA515" s="1" t="n"/>
    </row>
    <row r="516" ht="16.5" customHeight="1" s="220">
      <c r="A516" s="1" t="n"/>
      <c r="B516" s="1" t="n"/>
      <c r="C516" s="2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  <c r="AR516" s="1" t="n"/>
      <c r="AS516" s="1" t="n"/>
      <c r="AT516" s="1" t="n"/>
      <c r="AU516" s="1" t="n"/>
      <c r="AV516" s="1" t="n"/>
      <c r="AW516" s="1" t="n"/>
      <c r="AX516" s="1" t="n"/>
      <c r="AY516" s="1" t="n"/>
      <c r="AZ516" s="1" t="n"/>
      <c r="BA516" s="1" t="n"/>
    </row>
    <row r="517" ht="16.5" customHeight="1" s="220">
      <c r="A517" s="1" t="n"/>
      <c r="B517" s="1" t="n"/>
      <c r="C517" s="2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  <c r="AR517" s="1" t="n"/>
      <c r="AS517" s="1" t="n"/>
      <c r="AT517" s="1" t="n"/>
      <c r="AU517" s="1" t="n"/>
      <c r="AV517" s="1" t="n"/>
      <c r="AW517" s="1" t="n"/>
      <c r="AX517" s="1" t="n"/>
      <c r="AY517" s="1" t="n"/>
      <c r="AZ517" s="1" t="n"/>
      <c r="BA517" s="1" t="n"/>
    </row>
    <row r="518" ht="16.5" customHeight="1" s="220">
      <c r="A518" s="1" t="n"/>
      <c r="B518" s="1" t="n"/>
      <c r="C518" s="2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  <c r="AR518" s="1" t="n"/>
      <c r="AS518" s="1" t="n"/>
      <c r="AT518" s="1" t="n"/>
      <c r="AU518" s="1" t="n"/>
      <c r="AV518" s="1" t="n"/>
      <c r="AW518" s="1" t="n"/>
      <c r="AX518" s="1" t="n"/>
      <c r="AY518" s="1" t="n"/>
      <c r="AZ518" s="1" t="n"/>
      <c r="BA518" s="1" t="n"/>
    </row>
    <row r="519" ht="16.5" customHeight="1" s="220">
      <c r="A519" s="1" t="n"/>
      <c r="B519" s="1" t="n"/>
      <c r="C519" s="2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  <c r="AR519" s="1" t="n"/>
      <c r="AS519" s="1" t="n"/>
      <c r="AT519" s="1" t="n"/>
      <c r="AU519" s="1" t="n"/>
      <c r="AV519" s="1" t="n"/>
      <c r="AW519" s="1" t="n"/>
      <c r="AX519" s="1" t="n"/>
      <c r="AY519" s="1" t="n"/>
      <c r="AZ519" s="1" t="n"/>
      <c r="BA519" s="1" t="n"/>
    </row>
    <row r="520" ht="16.5" customHeight="1" s="220">
      <c r="A520" s="1" t="n"/>
      <c r="B520" s="1" t="n"/>
      <c r="C520" s="2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  <c r="AR520" s="1" t="n"/>
      <c r="AS520" s="1" t="n"/>
      <c r="AT520" s="1" t="n"/>
      <c r="AU520" s="1" t="n"/>
      <c r="AV520" s="1" t="n"/>
      <c r="AW520" s="1" t="n"/>
      <c r="AX520" s="1" t="n"/>
      <c r="AY520" s="1" t="n"/>
      <c r="AZ520" s="1" t="n"/>
      <c r="BA520" s="1" t="n"/>
    </row>
    <row r="521" ht="16.5" customHeight="1" s="220">
      <c r="A521" s="1" t="n"/>
      <c r="B521" s="1" t="n"/>
      <c r="C521" s="2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  <c r="AR521" s="1" t="n"/>
      <c r="AS521" s="1" t="n"/>
      <c r="AT521" s="1" t="n"/>
      <c r="AU521" s="1" t="n"/>
      <c r="AV521" s="1" t="n"/>
      <c r="AW521" s="1" t="n"/>
      <c r="AX521" s="1" t="n"/>
      <c r="AY521" s="1" t="n"/>
      <c r="AZ521" s="1" t="n"/>
      <c r="BA521" s="1" t="n"/>
    </row>
    <row r="522" ht="16.5" customHeight="1" s="220">
      <c r="A522" s="1" t="n"/>
      <c r="B522" s="1" t="n"/>
      <c r="C522" s="2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  <c r="AR522" s="1" t="n"/>
      <c r="AS522" s="1" t="n"/>
      <c r="AT522" s="1" t="n"/>
      <c r="AU522" s="1" t="n"/>
      <c r="AV522" s="1" t="n"/>
      <c r="AW522" s="1" t="n"/>
      <c r="AX522" s="1" t="n"/>
      <c r="AY522" s="1" t="n"/>
      <c r="AZ522" s="1" t="n"/>
      <c r="BA522" s="1" t="n"/>
    </row>
    <row r="523" ht="16.5" customHeight="1" s="220">
      <c r="A523" s="1" t="n"/>
      <c r="B523" s="1" t="n"/>
      <c r="C523" s="2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  <c r="AR523" s="1" t="n"/>
      <c r="AS523" s="1" t="n"/>
      <c r="AT523" s="1" t="n"/>
      <c r="AU523" s="1" t="n"/>
      <c r="AV523" s="1" t="n"/>
      <c r="AW523" s="1" t="n"/>
      <c r="AX523" s="1" t="n"/>
      <c r="AY523" s="1" t="n"/>
      <c r="AZ523" s="1" t="n"/>
      <c r="BA523" s="1" t="n"/>
    </row>
    <row r="524" ht="16.5" customHeight="1" s="220">
      <c r="A524" s="1" t="n"/>
      <c r="B524" s="1" t="n"/>
      <c r="C524" s="2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  <c r="AR524" s="1" t="n"/>
      <c r="AS524" s="1" t="n"/>
      <c r="AT524" s="1" t="n"/>
      <c r="AU524" s="1" t="n"/>
      <c r="AV524" s="1" t="n"/>
      <c r="AW524" s="1" t="n"/>
      <c r="AX524" s="1" t="n"/>
      <c r="AY524" s="1" t="n"/>
      <c r="AZ524" s="1" t="n"/>
      <c r="BA524" s="1" t="n"/>
    </row>
    <row r="525" ht="16.5" customHeight="1" s="220">
      <c r="A525" s="1" t="n"/>
      <c r="B525" s="1" t="n"/>
      <c r="C525" s="2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  <c r="AR525" s="1" t="n"/>
      <c r="AS525" s="1" t="n"/>
      <c r="AT525" s="1" t="n"/>
      <c r="AU525" s="1" t="n"/>
      <c r="AV525" s="1" t="n"/>
      <c r="AW525" s="1" t="n"/>
      <c r="AX525" s="1" t="n"/>
      <c r="AY525" s="1" t="n"/>
      <c r="AZ525" s="1" t="n"/>
      <c r="BA525" s="1" t="n"/>
    </row>
    <row r="526" ht="16.5" customHeight="1" s="220">
      <c r="A526" s="1" t="n"/>
      <c r="B526" s="1" t="n"/>
      <c r="C526" s="2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  <c r="AR526" s="1" t="n"/>
      <c r="AS526" s="1" t="n"/>
      <c r="AT526" s="1" t="n"/>
      <c r="AU526" s="1" t="n"/>
      <c r="AV526" s="1" t="n"/>
      <c r="AW526" s="1" t="n"/>
      <c r="AX526" s="1" t="n"/>
      <c r="AY526" s="1" t="n"/>
      <c r="AZ526" s="1" t="n"/>
      <c r="BA526" s="1" t="n"/>
    </row>
    <row r="527" ht="16.5" customHeight="1" s="220">
      <c r="A527" s="1" t="n"/>
      <c r="B527" s="1" t="n"/>
      <c r="C527" s="2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  <c r="AR527" s="1" t="n"/>
      <c r="AS527" s="1" t="n"/>
      <c r="AT527" s="1" t="n"/>
      <c r="AU527" s="1" t="n"/>
      <c r="AV527" s="1" t="n"/>
      <c r="AW527" s="1" t="n"/>
      <c r="AX527" s="1" t="n"/>
      <c r="AY527" s="1" t="n"/>
      <c r="AZ527" s="1" t="n"/>
      <c r="BA527" s="1" t="n"/>
    </row>
    <row r="528" ht="16.5" customHeight="1" s="220">
      <c r="A528" s="1" t="n"/>
      <c r="B528" s="1" t="n"/>
      <c r="C528" s="2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  <c r="AR528" s="1" t="n"/>
      <c r="AS528" s="1" t="n"/>
      <c r="AT528" s="1" t="n"/>
      <c r="AU528" s="1" t="n"/>
      <c r="AV528" s="1" t="n"/>
      <c r="AW528" s="1" t="n"/>
      <c r="AX528" s="1" t="n"/>
      <c r="AY528" s="1" t="n"/>
      <c r="AZ528" s="1" t="n"/>
      <c r="BA528" s="1" t="n"/>
    </row>
    <row r="529" ht="16.5" customHeight="1" s="220">
      <c r="A529" s="1" t="n"/>
      <c r="B529" s="1" t="n"/>
      <c r="C529" s="2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  <c r="AR529" s="1" t="n"/>
      <c r="AS529" s="1" t="n"/>
      <c r="AT529" s="1" t="n"/>
      <c r="AU529" s="1" t="n"/>
      <c r="AV529" s="1" t="n"/>
      <c r="AW529" s="1" t="n"/>
      <c r="AX529" s="1" t="n"/>
      <c r="AY529" s="1" t="n"/>
      <c r="AZ529" s="1" t="n"/>
      <c r="BA529" s="1" t="n"/>
    </row>
    <row r="530" ht="16.5" customHeight="1" s="220">
      <c r="A530" s="1" t="n"/>
      <c r="B530" s="1" t="n"/>
      <c r="C530" s="2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  <c r="AR530" s="1" t="n"/>
      <c r="AS530" s="1" t="n"/>
      <c r="AT530" s="1" t="n"/>
      <c r="AU530" s="1" t="n"/>
      <c r="AV530" s="1" t="n"/>
      <c r="AW530" s="1" t="n"/>
      <c r="AX530" s="1" t="n"/>
      <c r="AY530" s="1" t="n"/>
      <c r="AZ530" s="1" t="n"/>
      <c r="BA530" s="1" t="n"/>
    </row>
    <row r="531" ht="16.5" customHeight="1" s="220">
      <c r="A531" s="1" t="n"/>
      <c r="B531" s="1" t="n"/>
      <c r="C531" s="2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  <c r="AR531" s="1" t="n"/>
      <c r="AS531" s="1" t="n"/>
      <c r="AT531" s="1" t="n"/>
      <c r="AU531" s="1" t="n"/>
      <c r="AV531" s="1" t="n"/>
      <c r="AW531" s="1" t="n"/>
      <c r="AX531" s="1" t="n"/>
      <c r="AY531" s="1" t="n"/>
      <c r="AZ531" s="1" t="n"/>
      <c r="BA531" s="1" t="n"/>
    </row>
    <row r="532" ht="16.5" customHeight="1" s="220">
      <c r="A532" s="1" t="n"/>
      <c r="B532" s="1" t="n"/>
      <c r="C532" s="2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  <c r="AR532" s="1" t="n"/>
      <c r="AS532" s="1" t="n"/>
      <c r="AT532" s="1" t="n"/>
      <c r="AU532" s="1" t="n"/>
      <c r="AV532" s="1" t="n"/>
      <c r="AW532" s="1" t="n"/>
      <c r="AX532" s="1" t="n"/>
      <c r="AY532" s="1" t="n"/>
      <c r="AZ532" s="1" t="n"/>
      <c r="BA532" s="1" t="n"/>
    </row>
    <row r="533" ht="16.5" customHeight="1" s="220">
      <c r="A533" s="1" t="n"/>
      <c r="B533" s="1" t="n"/>
      <c r="C533" s="2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  <c r="AR533" s="1" t="n"/>
      <c r="AS533" s="1" t="n"/>
      <c r="AT533" s="1" t="n"/>
      <c r="AU533" s="1" t="n"/>
      <c r="AV533" s="1" t="n"/>
      <c r="AW533" s="1" t="n"/>
      <c r="AX533" s="1" t="n"/>
      <c r="AY533" s="1" t="n"/>
      <c r="AZ533" s="1" t="n"/>
      <c r="BA533" s="1" t="n"/>
    </row>
    <row r="534" ht="16.5" customHeight="1" s="220">
      <c r="A534" s="1" t="n"/>
      <c r="B534" s="1" t="n"/>
      <c r="C534" s="2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  <c r="AR534" s="1" t="n"/>
      <c r="AS534" s="1" t="n"/>
      <c r="AT534" s="1" t="n"/>
      <c r="AU534" s="1" t="n"/>
      <c r="AV534" s="1" t="n"/>
      <c r="AW534" s="1" t="n"/>
      <c r="AX534" s="1" t="n"/>
      <c r="AY534" s="1" t="n"/>
      <c r="AZ534" s="1" t="n"/>
      <c r="BA534" s="1" t="n"/>
    </row>
    <row r="535" ht="16.5" customHeight="1" s="220">
      <c r="A535" s="1" t="n"/>
      <c r="B535" s="1" t="n"/>
      <c r="C535" s="2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  <c r="AR535" s="1" t="n"/>
      <c r="AS535" s="1" t="n"/>
      <c r="AT535" s="1" t="n"/>
      <c r="AU535" s="1" t="n"/>
      <c r="AV535" s="1" t="n"/>
      <c r="AW535" s="1" t="n"/>
      <c r="AX535" s="1" t="n"/>
      <c r="AY535" s="1" t="n"/>
      <c r="AZ535" s="1" t="n"/>
      <c r="BA535" s="1" t="n"/>
    </row>
    <row r="536" ht="16.5" customHeight="1" s="220">
      <c r="A536" s="1" t="n"/>
      <c r="B536" s="1" t="n"/>
      <c r="C536" s="2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  <c r="AR536" s="1" t="n"/>
      <c r="AS536" s="1" t="n"/>
      <c r="AT536" s="1" t="n"/>
      <c r="AU536" s="1" t="n"/>
      <c r="AV536" s="1" t="n"/>
      <c r="AW536" s="1" t="n"/>
      <c r="AX536" s="1" t="n"/>
      <c r="AY536" s="1" t="n"/>
      <c r="AZ536" s="1" t="n"/>
      <c r="BA536" s="1" t="n"/>
    </row>
    <row r="537" ht="16.5" customHeight="1" s="220">
      <c r="A537" s="1" t="n"/>
      <c r="B537" s="1" t="n"/>
      <c r="C537" s="2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  <c r="AR537" s="1" t="n"/>
      <c r="AS537" s="1" t="n"/>
      <c r="AT537" s="1" t="n"/>
      <c r="AU537" s="1" t="n"/>
      <c r="AV537" s="1" t="n"/>
      <c r="AW537" s="1" t="n"/>
      <c r="AX537" s="1" t="n"/>
      <c r="AY537" s="1" t="n"/>
      <c r="AZ537" s="1" t="n"/>
      <c r="BA537" s="1" t="n"/>
    </row>
    <row r="538" ht="16.5" customHeight="1" s="220">
      <c r="A538" s="1" t="n"/>
      <c r="B538" s="1" t="n"/>
      <c r="C538" s="2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  <c r="AR538" s="1" t="n"/>
      <c r="AS538" s="1" t="n"/>
      <c r="AT538" s="1" t="n"/>
      <c r="AU538" s="1" t="n"/>
      <c r="AV538" s="1" t="n"/>
      <c r="AW538" s="1" t="n"/>
      <c r="AX538" s="1" t="n"/>
      <c r="AY538" s="1" t="n"/>
      <c r="AZ538" s="1" t="n"/>
      <c r="BA538" s="1" t="n"/>
    </row>
    <row r="539" ht="16.5" customHeight="1" s="220">
      <c r="A539" s="1" t="n"/>
      <c r="B539" s="1" t="n"/>
      <c r="C539" s="2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  <c r="AR539" s="1" t="n"/>
      <c r="AS539" s="1" t="n"/>
      <c r="AT539" s="1" t="n"/>
      <c r="AU539" s="1" t="n"/>
      <c r="AV539" s="1" t="n"/>
      <c r="AW539" s="1" t="n"/>
      <c r="AX539" s="1" t="n"/>
      <c r="AY539" s="1" t="n"/>
      <c r="AZ539" s="1" t="n"/>
      <c r="BA539" s="1" t="n"/>
    </row>
    <row r="540" ht="16.5" customHeight="1" s="220">
      <c r="A540" s="1" t="n"/>
      <c r="B540" s="1" t="n"/>
      <c r="C540" s="2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  <c r="AR540" s="1" t="n"/>
      <c r="AS540" s="1" t="n"/>
      <c r="AT540" s="1" t="n"/>
      <c r="AU540" s="1" t="n"/>
      <c r="AV540" s="1" t="n"/>
      <c r="AW540" s="1" t="n"/>
      <c r="AX540" s="1" t="n"/>
      <c r="AY540" s="1" t="n"/>
      <c r="AZ540" s="1" t="n"/>
      <c r="BA540" s="1" t="n"/>
    </row>
    <row r="541" ht="16.5" customHeight="1" s="220">
      <c r="A541" s="1" t="n"/>
      <c r="B541" s="1" t="n"/>
      <c r="C541" s="2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  <c r="AR541" s="1" t="n"/>
      <c r="AS541" s="1" t="n"/>
      <c r="AT541" s="1" t="n"/>
      <c r="AU541" s="1" t="n"/>
      <c r="AV541" s="1" t="n"/>
      <c r="AW541" s="1" t="n"/>
      <c r="AX541" s="1" t="n"/>
      <c r="AY541" s="1" t="n"/>
      <c r="AZ541" s="1" t="n"/>
      <c r="BA541" s="1" t="n"/>
    </row>
    <row r="542" ht="16.5" customHeight="1" s="220">
      <c r="A542" s="1" t="n"/>
      <c r="B542" s="1" t="n"/>
      <c r="C542" s="2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  <c r="AR542" s="1" t="n"/>
      <c r="AS542" s="1" t="n"/>
      <c r="AT542" s="1" t="n"/>
      <c r="AU542" s="1" t="n"/>
      <c r="AV542" s="1" t="n"/>
      <c r="AW542" s="1" t="n"/>
      <c r="AX542" s="1" t="n"/>
      <c r="AY542" s="1" t="n"/>
      <c r="AZ542" s="1" t="n"/>
      <c r="BA542" s="1" t="n"/>
    </row>
    <row r="543" ht="16.5" customHeight="1" s="220">
      <c r="A543" s="1" t="n"/>
      <c r="B543" s="1" t="n"/>
      <c r="C543" s="2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  <c r="AR543" s="1" t="n"/>
      <c r="AS543" s="1" t="n"/>
      <c r="AT543" s="1" t="n"/>
      <c r="AU543" s="1" t="n"/>
      <c r="AV543" s="1" t="n"/>
      <c r="AW543" s="1" t="n"/>
      <c r="AX543" s="1" t="n"/>
      <c r="AY543" s="1" t="n"/>
      <c r="AZ543" s="1" t="n"/>
      <c r="BA543" s="1" t="n"/>
    </row>
    <row r="544" ht="16.5" customHeight="1" s="220">
      <c r="A544" s="1" t="n"/>
      <c r="B544" s="1" t="n"/>
      <c r="C544" s="2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  <c r="AR544" s="1" t="n"/>
      <c r="AS544" s="1" t="n"/>
      <c r="AT544" s="1" t="n"/>
      <c r="AU544" s="1" t="n"/>
      <c r="AV544" s="1" t="n"/>
      <c r="AW544" s="1" t="n"/>
      <c r="AX544" s="1" t="n"/>
      <c r="AY544" s="1" t="n"/>
      <c r="AZ544" s="1" t="n"/>
      <c r="BA544" s="1" t="n"/>
    </row>
    <row r="545" ht="16.5" customHeight="1" s="220">
      <c r="A545" s="1" t="n"/>
      <c r="B545" s="1" t="n"/>
      <c r="C545" s="2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  <c r="AR545" s="1" t="n"/>
      <c r="AS545" s="1" t="n"/>
      <c r="AT545" s="1" t="n"/>
      <c r="AU545" s="1" t="n"/>
      <c r="AV545" s="1" t="n"/>
      <c r="AW545" s="1" t="n"/>
      <c r="AX545" s="1" t="n"/>
      <c r="AY545" s="1" t="n"/>
      <c r="AZ545" s="1" t="n"/>
      <c r="BA545" s="1" t="n"/>
    </row>
    <row r="546" ht="16.5" customHeight="1" s="220">
      <c r="A546" s="1" t="n"/>
      <c r="B546" s="1" t="n"/>
      <c r="C546" s="2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  <c r="AR546" s="1" t="n"/>
      <c r="AS546" s="1" t="n"/>
      <c r="AT546" s="1" t="n"/>
      <c r="AU546" s="1" t="n"/>
      <c r="AV546" s="1" t="n"/>
      <c r="AW546" s="1" t="n"/>
      <c r="AX546" s="1" t="n"/>
      <c r="AY546" s="1" t="n"/>
      <c r="AZ546" s="1" t="n"/>
      <c r="BA546" s="1" t="n"/>
    </row>
    <row r="547" ht="16.5" customHeight="1" s="220">
      <c r="A547" s="1" t="n"/>
      <c r="B547" s="1" t="n"/>
      <c r="C547" s="2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  <c r="AR547" s="1" t="n"/>
      <c r="AS547" s="1" t="n"/>
      <c r="AT547" s="1" t="n"/>
      <c r="AU547" s="1" t="n"/>
      <c r="AV547" s="1" t="n"/>
      <c r="AW547" s="1" t="n"/>
      <c r="AX547" s="1" t="n"/>
      <c r="AY547" s="1" t="n"/>
      <c r="AZ547" s="1" t="n"/>
      <c r="BA547" s="1" t="n"/>
    </row>
    <row r="548" ht="16.5" customHeight="1" s="220">
      <c r="A548" s="1" t="n"/>
      <c r="B548" s="1" t="n"/>
      <c r="C548" s="2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  <c r="AR548" s="1" t="n"/>
      <c r="AS548" s="1" t="n"/>
      <c r="AT548" s="1" t="n"/>
      <c r="AU548" s="1" t="n"/>
      <c r="AV548" s="1" t="n"/>
      <c r="AW548" s="1" t="n"/>
      <c r="AX548" s="1" t="n"/>
      <c r="AY548" s="1" t="n"/>
      <c r="AZ548" s="1" t="n"/>
      <c r="BA548" s="1" t="n"/>
    </row>
    <row r="549" ht="16.5" customHeight="1" s="220">
      <c r="A549" s="1" t="n"/>
      <c r="B549" s="1" t="n"/>
      <c r="C549" s="2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  <c r="AR549" s="1" t="n"/>
      <c r="AS549" s="1" t="n"/>
      <c r="AT549" s="1" t="n"/>
      <c r="AU549" s="1" t="n"/>
      <c r="AV549" s="1" t="n"/>
      <c r="AW549" s="1" t="n"/>
      <c r="AX549" s="1" t="n"/>
      <c r="AY549" s="1" t="n"/>
      <c r="AZ549" s="1" t="n"/>
      <c r="BA549" s="1" t="n"/>
    </row>
    <row r="550" ht="16.5" customHeight="1" s="220">
      <c r="A550" s="1" t="n"/>
      <c r="B550" s="1" t="n"/>
      <c r="C550" s="2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  <c r="AR550" s="1" t="n"/>
      <c r="AS550" s="1" t="n"/>
      <c r="AT550" s="1" t="n"/>
      <c r="AU550" s="1" t="n"/>
      <c r="AV550" s="1" t="n"/>
      <c r="AW550" s="1" t="n"/>
      <c r="AX550" s="1" t="n"/>
      <c r="AY550" s="1" t="n"/>
      <c r="AZ550" s="1" t="n"/>
      <c r="BA550" s="1" t="n"/>
    </row>
    <row r="551" ht="16.5" customHeight="1" s="220">
      <c r="A551" s="1" t="n"/>
      <c r="B551" s="1" t="n"/>
      <c r="C551" s="2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  <c r="AR551" s="1" t="n"/>
      <c r="AS551" s="1" t="n"/>
      <c r="AT551" s="1" t="n"/>
      <c r="AU551" s="1" t="n"/>
      <c r="AV551" s="1" t="n"/>
      <c r="AW551" s="1" t="n"/>
      <c r="AX551" s="1" t="n"/>
      <c r="AY551" s="1" t="n"/>
      <c r="AZ551" s="1" t="n"/>
      <c r="BA551" s="1" t="n"/>
    </row>
    <row r="552" ht="16.5" customHeight="1" s="220">
      <c r="A552" s="1" t="n"/>
      <c r="B552" s="1" t="n"/>
      <c r="C552" s="2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  <c r="AR552" s="1" t="n"/>
      <c r="AS552" s="1" t="n"/>
      <c r="AT552" s="1" t="n"/>
      <c r="AU552" s="1" t="n"/>
      <c r="AV552" s="1" t="n"/>
      <c r="AW552" s="1" t="n"/>
      <c r="AX552" s="1" t="n"/>
      <c r="AY552" s="1" t="n"/>
      <c r="AZ552" s="1" t="n"/>
      <c r="BA552" s="1" t="n"/>
    </row>
    <row r="553" ht="16.5" customHeight="1" s="220">
      <c r="A553" s="1" t="n"/>
      <c r="B553" s="1" t="n"/>
      <c r="C553" s="2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  <c r="AR553" s="1" t="n"/>
      <c r="AS553" s="1" t="n"/>
      <c r="AT553" s="1" t="n"/>
      <c r="AU553" s="1" t="n"/>
      <c r="AV553" s="1" t="n"/>
      <c r="AW553" s="1" t="n"/>
      <c r="AX553" s="1" t="n"/>
      <c r="AY553" s="1" t="n"/>
      <c r="AZ553" s="1" t="n"/>
      <c r="BA553" s="1" t="n"/>
    </row>
    <row r="554" ht="16.5" customHeight="1" s="220">
      <c r="A554" s="1" t="n"/>
      <c r="B554" s="1" t="n"/>
      <c r="C554" s="2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  <c r="AR554" s="1" t="n"/>
      <c r="AS554" s="1" t="n"/>
      <c r="AT554" s="1" t="n"/>
      <c r="AU554" s="1" t="n"/>
      <c r="AV554" s="1" t="n"/>
      <c r="AW554" s="1" t="n"/>
      <c r="AX554" s="1" t="n"/>
      <c r="AY554" s="1" t="n"/>
      <c r="AZ554" s="1" t="n"/>
      <c r="BA554" s="1" t="n"/>
    </row>
    <row r="555" ht="16.5" customHeight="1" s="220">
      <c r="A555" s="1" t="n"/>
      <c r="B555" s="1" t="n"/>
      <c r="C555" s="2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  <c r="AR555" s="1" t="n"/>
      <c r="AS555" s="1" t="n"/>
      <c r="AT555" s="1" t="n"/>
      <c r="AU555" s="1" t="n"/>
      <c r="AV555" s="1" t="n"/>
      <c r="AW555" s="1" t="n"/>
      <c r="AX555" s="1" t="n"/>
      <c r="AY555" s="1" t="n"/>
      <c r="AZ555" s="1" t="n"/>
      <c r="BA555" s="1" t="n"/>
    </row>
    <row r="556" ht="16.5" customHeight="1" s="220">
      <c r="A556" s="1" t="n"/>
      <c r="B556" s="1" t="n"/>
      <c r="C556" s="2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  <c r="AR556" s="1" t="n"/>
      <c r="AS556" s="1" t="n"/>
      <c r="AT556" s="1" t="n"/>
      <c r="AU556" s="1" t="n"/>
      <c r="AV556" s="1" t="n"/>
      <c r="AW556" s="1" t="n"/>
      <c r="AX556" s="1" t="n"/>
      <c r="AY556" s="1" t="n"/>
      <c r="AZ556" s="1" t="n"/>
      <c r="BA556" s="1" t="n"/>
    </row>
    <row r="557" ht="16.5" customHeight="1" s="220">
      <c r="A557" s="1" t="n"/>
      <c r="B557" s="1" t="n"/>
      <c r="C557" s="2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  <c r="AR557" s="1" t="n"/>
      <c r="AS557" s="1" t="n"/>
      <c r="AT557" s="1" t="n"/>
      <c r="AU557" s="1" t="n"/>
      <c r="AV557" s="1" t="n"/>
      <c r="AW557" s="1" t="n"/>
      <c r="AX557" s="1" t="n"/>
      <c r="AY557" s="1" t="n"/>
      <c r="AZ557" s="1" t="n"/>
      <c r="BA557" s="1" t="n"/>
    </row>
    <row r="558" ht="16.5" customHeight="1" s="220">
      <c r="A558" s="1" t="n"/>
      <c r="B558" s="1" t="n"/>
      <c r="C558" s="2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  <c r="AR558" s="1" t="n"/>
      <c r="AS558" s="1" t="n"/>
      <c r="AT558" s="1" t="n"/>
      <c r="AU558" s="1" t="n"/>
      <c r="AV558" s="1" t="n"/>
      <c r="AW558" s="1" t="n"/>
      <c r="AX558" s="1" t="n"/>
      <c r="AY558" s="1" t="n"/>
      <c r="AZ558" s="1" t="n"/>
      <c r="BA558" s="1" t="n"/>
    </row>
    <row r="559" ht="16.5" customHeight="1" s="220">
      <c r="A559" s="1" t="n"/>
      <c r="B559" s="1" t="n"/>
      <c r="C559" s="2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  <c r="AR559" s="1" t="n"/>
      <c r="AS559" s="1" t="n"/>
      <c r="AT559" s="1" t="n"/>
      <c r="AU559" s="1" t="n"/>
      <c r="AV559" s="1" t="n"/>
      <c r="AW559" s="1" t="n"/>
      <c r="AX559" s="1" t="n"/>
      <c r="AY559" s="1" t="n"/>
      <c r="AZ559" s="1" t="n"/>
      <c r="BA559" s="1" t="n"/>
    </row>
    <row r="560" ht="16.5" customHeight="1" s="220">
      <c r="A560" s="1" t="n"/>
      <c r="B560" s="1" t="n"/>
      <c r="C560" s="2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  <c r="AR560" s="1" t="n"/>
      <c r="AS560" s="1" t="n"/>
      <c r="AT560" s="1" t="n"/>
      <c r="AU560" s="1" t="n"/>
      <c r="AV560" s="1" t="n"/>
      <c r="AW560" s="1" t="n"/>
      <c r="AX560" s="1" t="n"/>
      <c r="AY560" s="1" t="n"/>
      <c r="AZ560" s="1" t="n"/>
      <c r="BA560" s="1" t="n"/>
    </row>
    <row r="561" ht="16.5" customHeight="1" s="220">
      <c r="A561" s="1" t="n"/>
      <c r="B561" s="1" t="n"/>
      <c r="C561" s="2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  <c r="AR561" s="1" t="n"/>
      <c r="AS561" s="1" t="n"/>
      <c r="AT561" s="1" t="n"/>
      <c r="AU561" s="1" t="n"/>
      <c r="AV561" s="1" t="n"/>
      <c r="AW561" s="1" t="n"/>
      <c r="AX561" s="1" t="n"/>
      <c r="AY561" s="1" t="n"/>
      <c r="AZ561" s="1" t="n"/>
      <c r="BA561" s="1" t="n"/>
    </row>
    <row r="562" ht="16.5" customHeight="1" s="220">
      <c r="A562" s="1" t="n"/>
      <c r="B562" s="1" t="n"/>
      <c r="C562" s="2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  <c r="AR562" s="1" t="n"/>
      <c r="AS562" s="1" t="n"/>
      <c r="AT562" s="1" t="n"/>
      <c r="AU562" s="1" t="n"/>
      <c r="AV562" s="1" t="n"/>
      <c r="AW562" s="1" t="n"/>
      <c r="AX562" s="1" t="n"/>
      <c r="AY562" s="1" t="n"/>
      <c r="AZ562" s="1" t="n"/>
      <c r="BA562" s="1" t="n"/>
    </row>
    <row r="563" ht="16.5" customHeight="1" s="220">
      <c r="A563" s="1" t="n"/>
      <c r="B563" s="1" t="n"/>
      <c r="C563" s="2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  <c r="AR563" s="1" t="n"/>
      <c r="AS563" s="1" t="n"/>
      <c r="AT563" s="1" t="n"/>
      <c r="AU563" s="1" t="n"/>
      <c r="AV563" s="1" t="n"/>
      <c r="AW563" s="1" t="n"/>
      <c r="AX563" s="1" t="n"/>
      <c r="AY563" s="1" t="n"/>
      <c r="AZ563" s="1" t="n"/>
      <c r="BA563" s="1" t="n"/>
    </row>
    <row r="564" ht="16.5" customHeight="1" s="220">
      <c r="A564" s="1" t="n"/>
      <c r="B564" s="1" t="n"/>
      <c r="C564" s="2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Q564" s="1" t="n"/>
      <c r="AR564" s="1" t="n"/>
      <c r="AS564" s="1" t="n"/>
      <c r="AT564" s="1" t="n"/>
      <c r="AU564" s="1" t="n"/>
      <c r="AV564" s="1" t="n"/>
      <c r="AW564" s="1" t="n"/>
      <c r="AX564" s="1" t="n"/>
      <c r="AY564" s="1" t="n"/>
      <c r="AZ564" s="1" t="n"/>
      <c r="BA564" s="1" t="n"/>
    </row>
    <row r="565" ht="16.5" customHeight="1" s="220">
      <c r="A565" s="1" t="n"/>
      <c r="B565" s="1" t="n"/>
      <c r="C565" s="2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  <c r="AR565" s="1" t="n"/>
      <c r="AS565" s="1" t="n"/>
      <c r="AT565" s="1" t="n"/>
      <c r="AU565" s="1" t="n"/>
      <c r="AV565" s="1" t="n"/>
      <c r="AW565" s="1" t="n"/>
      <c r="AX565" s="1" t="n"/>
      <c r="AY565" s="1" t="n"/>
      <c r="AZ565" s="1" t="n"/>
      <c r="BA565" s="1" t="n"/>
    </row>
    <row r="566" ht="16.5" customHeight="1" s="220">
      <c r="A566" s="1" t="n"/>
      <c r="B566" s="1" t="n"/>
      <c r="C566" s="2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  <c r="AR566" s="1" t="n"/>
      <c r="AS566" s="1" t="n"/>
      <c r="AT566" s="1" t="n"/>
      <c r="AU566" s="1" t="n"/>
      <c r="AV566" s="1" t="n"/>
      <c r="AW566" s="1" t="n"/>
      <c r="AX566" s="1" t="n"/>
      <c r="AY566" s="1" t="n"/>
      <c r="AZ566" s="1" t="n"/>
      <c r="BA566" s="1" t="n"/>
    </row>
    <row r="567" ht="16.5" customHeight="1" s="220">
      <c r="A567" s="1" t="n"/>
      <c r="B567" s="1" t="n"/>
      <c r="C567" s="2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  <c r="AR567" s="1" t="n"/>
      <c r="AS567" s="1" t="n"/>
      <c r="AT567" s="1" t="n"/>
      <c r="AU567" s="1" t="n"/>
      <c r="AV567" s="1" t="n"/>
      <c r="AW567" s="1" t="n"/>
      <c r="AX567" s="1" t="n"/>
      <c r="AY567" s="1" t="n"/>
      <c r="AZ567" s="1" t="n"/>
      <c r="BA567" s="1" t="n"/>
    </row>
    <row r="568" ht="16.5" customHeight="1" s="220">
      <c r="A568" s="1" t="n"/>
      <c r="B568" s="1" t="n"/>
      <c r="C568" s="2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  <c r="AR568" s="1" t="n"/>
      <c r="AS568" s="1" t="n"/>
      <c r="AT568" s="1" t="n"/>
      <c r="AU568" s="1" t="n"/>
      <c r="AV568" s="1" t="n"/>
      <c r="AW568" s="1" t="n"/>
      <c r="AX568" s="1" t="n"/>
      <c r="AY568" s="1" t="n"/>
      <c r="AZ568" s="1" t="n"/>
      <c r="BA568" s="1" t="n"/>
    </row>
    <row r="569" ht="16.5" customHeight="1" s="220">
      <c r="A569" s="1" t="n"/>
      <c r="B569" s="1" t="n"/>
      <c r="C569" s="2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  <c r="AR569" s="1" t="n"/>
      <c r="AS569" s="1" t="n"/>
      <c r="AT569" s="1" t="n"/>
      <c r="AU569" s="1" t="n"/>
      <c r="AV569" s="1" t="n"/>
      <c r="AW569" s="1" t="n"/>
      <c r="AX569" s="1" t="n"/>
      <c r="AY569" s="1" t="n"/>
      <c r="AZ569" s="1" t="n"/>
      <c r="BA569" s="1" t="n"/>
    </row>
    <row r="570" ht="16.5" customHeight="1" s="220">
      <c r="A570" s="1" t="n"/>
      <c r="B570" s="1" t="n"/>
      <c r="C570" s="2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Q570" s="1" t="n"/>
      <c r="AR570" s="1" t="n"/>
      <c r="AS570" s="1" t="n"/>
      <c r="AT570" s="1" t="n"/>
      <c r="AU570" s="1" t="n"/>
      <c r="AV570" s="1" t="n"/>
      <c r="AW570" s="1" t="n"/>
      <c r="AX570" s="1" t="n"/>
      <c r="AY570" s="1" t="n"/>
      <c r="AZ570" s="1" t="n"/>
      <c r="BA570" s="1" t="n"/>
    </row>
    <row r="571" ht="16.5" customHeight="1" s="220">
      <c r="A571" s="1" t="n"/>
      <c r="B571" s="1" t="n"/>
      <c r="C571" s="2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  <c r="AR571" s="1" t="n"/>
      <c r="AS571" s="1" t="n"/>
      <c r="AT571" s="1" t="n"/>
      <c r="AU571" s="1" t="n"/>
      <c r="AV571" s="1" t="n"/>
      <c r="AW571" s="1" t="n"/>
      <c r="AX571" s="1" t="n"/>
      <c r="AY571" s="1" t="n"/>
      <c r="AZ571" s="1" t="n"/>
      <c r="BA571" s="1" t="n"/>
    </row>
    <row r="572" ht="16.5" customHeight="1" s="220">
      <c r="A572" s="1" t="n"/>
      <c r="B572" s="1" t="n"/>
      <c r="C572" s="2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Q572" s="1" t="n"/>
      <c r="AR572" s="1" t="n"/>
      <c r="AS572" s="1" t="n"/>
      <c r="AT572" s="1" t="n"/>
      <c r="AU572" s="1" t="n"/>
      <c r="AV572" s="1" t="n"/>
      <c r="AW572" s="1" t="n"/>
      <c r="AX572" s="1" t="n"/>
      <c r="AY572" s="1" t="n"/>
      <c r="AZ572" s="1" t="n"/>
      <c r="BA572" s="1" t="n"/>
    </row>
    <row r="573" ht="16.5" customHeight="1" s="220">
      <c r="A573" s="1" t="n"/>
      <c r="B573" s="1" t="n"/>
      <c r="C573" s="2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  <c r="AR573" s="1" t="n"/>
      <c r="AS573" s="1" t="n"/>
      <c r="AT573" s="1" t="n"/>
      <c r="AU573" s="1" t="n"/>
      <c r="AV573" s="1" t="n"/>
      <c r="AW573" s="1" t="n"/>
      <c r="AX573" s="1" t="n"/>
      <c r="AY573" s="1" t="n"/>
      <c r="AZ573" s="1" t="n"/>
      <c r="BA573" s="1" t="n"/>
    </row>
    <row r="574" ht="16.5" customHeight="1" s="220">
      <c r="A574" s="1" t="n"/>
      <c r="B574" s="1" t="n"/>
      <c r="C574" s="2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  <c r="AR574" s="1" t="n"/>
      <c r="AS574" s="1" t="n"/>
      <c r="AT574" s="1" t="n"/>
      <c r="AU574" s="1" t="n"/>
      <c r="AV574" s="1" t="n"/>
      <c r="AW574" s="1" t="n"/>
      <c r="AX574" s="1" t="n"/>
      <c r="AY574" s="1" t="n"/>
      <c r="AZ574" s="1" t="n"/>
      <c r="BA574" s="1" t="n"/>
    </row>
    <row r="575" ht="16.5" customHeight="1" s="220">
      <c r="A575" s="1" t="n"/>
      <c r="B575" s="1" t="n"/>
      <c r="C575" s="2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  <c r="AR575" s="1" t="n"/>
      <c r="AS575" s="1" t="n"/>
      <c r="AT575" s="1" t="n"/>
      <c r="AU575" s="1" t="n"/>
      <c r="AV575" s="1" t="n"/>
      <c r="AW575" s="1" t="n"/>
      <c r="AX575" s="1" t="n"/>
      <c r="AY575" s="1" t="n"/>
      <c r="AZ575" s="1" t="n"/>
      <c r="BA575" s="1" t="n"/>
    </row>
    <row r="576" ht="16.5" customHeight="1" s="220">
      <c r="A576" s="1" t="n"/>
      <c r="B576" s="1" t="n"/>
      <c r="C576" s="2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  <c r="AR576" s="1" t="n"/>
      <c r="AS576" s="1" t="n"/>
      <c r="AT576" s="1" t="n"/>
      <c r="AU576" s="1" t="n"/>
      <c r="AV576" s="1" t="n"/>
      <c r="AW576" s="1" t="n"/>
      <c r="AX576" s="1" t="n"/>
      <c r="AY576" s="1" t="n"/>
      <c r="AZ576" s="1" t="n"/>
      <c r="BA576" s="1" t="n"/>
    </row>
    <row r="577" ht="16.5" customHeight="1" s="220">
      <c r="A577" s="1" t="n"/>
      <c r="B577" s="1" t="n"/>
      <c r="C577" s="2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  <c r="AR577" s="1" t="n"/>
      <c r="AS577" s="1" t="n"/>
      <c r="AT577" s="1" t="n"/>
      <c r="AU577" s="1" t="n"/>
      <c r="AV577" s="1" t="n"/>
      <c r="AW577" s="1" t="n"/>
      <c r="AX577" s="1" t="n"/>
      <c r="AY577" s="1" t="n"/>
      <c r="AZ577" s="1" t="n"/>
      <c r="BA577" s="1" t="n"/>
    </row>
    <row r="578" ht="16.5" customHeight="1" s="220">
      <c r="A578" s="1" t="n"/>
      <c r="B578" s="1" t="n"/>
      <c r="C578" s="2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  <c r="AR578" s="1" t="n"/>
      <c r="AS578" s="1" t="n"/>
      <c r="AT578" s="1" t="n"/>
      <c r="AU578" s="1" t="n"/>
      <c r="AV578" s="1" t="n"/>
      <c r="AW578" s="1" t="n"/>
      <c r="AX578" s="1" t="n"/>
      <c r="AY578" s="1" t="n"/>
      <c r="AZ578" s="1" t="n"/>
      <c r="BA578" s="1" t="n"/>
    </row>
    <row r="579" ht="16.5" customHeight="1" s="220">
      <c r="A579" s="1" t="n"/>
      <c r="B579" s="1" t="n"/>
      <c r="C579" s="2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  <c r="AR579" s="1" t="n"/>
      <c r="AS579" s="1" t="n"/>
      <c r="AT579" s="1" t="n"/>
      <c r="AU579" s="1" t="n"/>
      <c r="AV579" s="1" t="n"/>
      <c r="AW579" s="1" t="n"/>
      <c r="AX579" s="1" t="n"/>
      <c r="AY579" s="1" t="n"/>
      <c r="AZ579" s="1" t="n"/>
      <c r="BA579" s="1" t="n"/>
    </row>
    <row r="580" ht="16.5" customHeight="1" s="220">
      <c r="A580" s="1" t="n"/>
      <c r="B580" s="1" t="n"/>
      <c r="C580" s="2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  <c r="AR580" s="1" t="n"/>
      <c r="AS580" s="1" t="n"/>
      <c r="AT580" s="1" t="n"/>
      <c r="AU580" s="1" t="n"/>
      <c r="AV580" s="1" t="n"/>
      <c r="AW580" s="1" t="n"/>
      <c r="AX580" s="1" t="n"/>
      <c r="AY580" s="1" t="n"/>
      <c r="AZ580" s="1" t="n"/>
      <c r="BA580" s="1" t="n"/>
    </row>
    <row r="581" ht="16.5" customHeight="1" s="220">
      <c r="A581" s="1" t="n"/>
      <c r="B581" s="1" t="n"/>
      <c r="C581" s="2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  <c r="AR581" s="1" t="n"/>
      <c r="AS581" s="1" t="n"/>
      <c r="AT581" s="1" t="n"/>
      <c r="AU581" s="1" t="n"/>
      <c r="AV581" s="1" t="n"/>
      <c r="AW581" s="1" t="n"/>
      <c r="AX581" s="1" t="n"/>
      <c r="AY581" s="1" t="n"/>
      <c r="AZ581" s="1" t="n"/>
      <c r="BA581" s="1" t="n"/>
    </row>
    <row r="582" ht="16.5" customHeight="1" s="220">
      <c r="A582" s="1" t="n"/>
      <c r="B582" s="1" t="n"/>
      <c r="C582" s="2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Q582" s="1" t="n"/>
      <c r="AR582" s="1" t="n"/>
      <c r="AS582" s="1" t="n"/>
      <c r="AT582" s="1" t="n"/>
      <c r="AU582" s="1" t="n"/>
      <c r="AV582" s="1" t="n"/>
      <c r="AW582" s="1" t="n"/>
      <c r="AX582" s="1" t="n"/>
      <c r="AY582" s="1" t="n"/>
      <c r="AZ582" s="1" t="n"/>
      <c r="BA582" s="1" t="n"/>
    </row>
    <row r="583" ht="16.5" customHeight="1" s="220">
      <c r="A583" s="1" t="n"/>
      <c r="B583" s="1" t="n"/>
      <c r="C583" s="2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  <c r="AR583" s="1" t="n"/>
      <c r="AS583" s="1" t="n"/>
      <c r="AT583" s="1" t="n"/>
      <c r="AU583" s="1" t="n"/>
      <c r="AV583" s="1" t="n"/>
      <c r="AW583" s="1" t="n"/>
      <c r="AX583" s="1" t="n"/>
      <c r="AY583" s="1" t="n"/>
      <c r="AZ583" s="1" t="n"/>
      <c r="BA583" s="1" t="n"/>
    </row>
    <row r="584" ht="16.5" customHeight="1" s="220">
      <c r="A584" s="1" t="n"/>
      <c r="B584" s="1" t="n"/>
      <c r="C584" s="2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  <c r="AR584" s="1" t="n"/>
      <c r="AS584" s="1" t="n"/>
      <c r="AT584" s="1" t="n"/>
      <c r="AU584" s="1" t="n"/>
      <c r="AV584" s="1" t="n"/>
      <c r="AW584" s="1" t="n"/>
      <c r="AX584" s="1" t="n"/>
      <c r="AY584" s="1" t="n"/>
      <c r="AZ584" s="1" t="n"/>
      <c r="BA584" s="1" t="n"/>
    </row>
    <row r="585" ht="16.5" customHeight="1" s="220">
      <c r="A585" s="1" t="n"/>
      <c r="B585" s="1" t="n"/>
      <c r="C585" s="2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  <c r="AR585" s="1" t="n"/>
      <c r="AS585" s="1" t="n"/>
      <c r="AT585" s="1" t="n"/>
      <c r="AU585" s="1" t="n"/>
      <c r="AV585" s="1" t="n"/>
      <c r="AW585" s="1" t="n"/>
      <c r="AX585" s="1" t="n"/>
      <c r="AY585" s="1" t="n"/>
      <c r="AZ585" s="1" t="n"/>
      <c r="BA585" s="1" t="n"/>
    </row>
    <row r="586" ht="16.5" customHeight="1" s="220">
      <c r="A586" s="1" t="n"/>
      <c r="B586" s="1" t="n"/>
      <c r="C586" s="2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  <c r="AR586" s="1" t="n"/>
      <c r="AS586" s="1" t="n"/>
      <c r="AT586" s="1" t="n"/>
      <c r="AU586" s="1" t="n"/>
      <c r="AV586" s="1" t="n"/>
      <c r="AW586" s="1" t="n"/>
      <c r="AX586" s="1" t="n"/>
      <c r="AY586" s="1" t="n"/>
      <c r="AZ586" s="1" t="n"/>
      <c r="BA586" s="1" t="n"/>
    </row>
    <row r="587" ht="16.5" customHeight="1" s="220">
      <c r="A587" s="1" t="n"/>
      <c r="B587" s="1" t="n"/>
      <c r="C587" s="2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  <c r="AR587" s="1" t="n"/>
      <c r="AS587" s="1" t="n"/>
      <c r="AT587" s="1" t="n"/>
      <c r="AU587" s="1" t="n"/>
      <c r="AV587" s="1" t="n"/>
      <c r="AW587" s="1" t="n"/>
      <c r="AX587" s="1" t="n"/>
      <c r="AY587" s="1" t="n"/>
      <c r="AZ587" s="1" t="n"/>
      <c r="BA587" s="1" t="n"/>
    </row>
    <row r="588" ht="16.5" customHeight="1" s="220">
      <c r="A588" s="1" t="n"/>
      <c r="B588" s="1" t="n"/>
      <c r="C588" s="2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Q588" s="1" t="n"/>
      <c r="AR588" s="1" t="n"/>
      <c r="AS588" s="1" t="n"/>
      <c r="AT588" s="1" t="n"/>
      <c r="AU588" s="1" t="n"/>
      <c r="AV588" s="1" t="n"/>
      <c r="AW588" s="1" t="n"/>
      <c r="AX588" s="1" t="n"/>
      <c r="AY588" s="1" t="n"/>
      <c r="AZ588" s="1" t="n"/>
      <c r="BA588" s="1" t="n"/>
    </row>
    <row r="589" ht="16.5" customHeight="1" s="220">
      <c r="A589" s="1" t="n"/>
      <c r="B589" s="1" t="n"/>
      <c r="C589" s="2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  <c r="AR589" s="1" t="n"/>
      <c r="AS589" s="1" t="n"/>
      <c r="AT589" s="1" t="n"/>
      <c r="AU589" s="1" t="n"/>
      <c r="AV589" s="1" t="n"/>
      <c r="AW589" s="1" t="n"/>
      <c r="AX589" s="1" t="n"/>
      <c r="AY589" s="1" t="n"/>
      <c r="AZ589" s="1" t="n"/>
      <c r="BA589" s="1" t="n"/>
    </row>
    <row r="590" ht="16.5" customHeight="1" s="220">
      <c r="A590" s="1" t="n"/>
      <c r="B590" s="1" t="n"/>
      <c r="C590" s="2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  <c r="AR590" s="1" t="n"/>
      <c r="AS590" s="1" t="n"/>
      <c r="AT590" s="1" t="n"/>
      <c r="AU590" s="1" t="n"/>
      <c r="AV590" s="1" t="n"/>
      <c r="AW590" s="1" t="n"/>
      <c r="AX590" s="1" t="n"/>
      <c r="AY590" s="1" t="n"/>
      <c r="AZ590" s="1" t="n"/>
      <c r="BA590" s="1" t="n"/>
    </row>
    <row r="591" ht="16.5" customHeight="1" s="220">
      <c r="A591" s="1" t="n"/>
      <c r="B591" s="1" t="n"/>
      <c r="C591" s="2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  <c r="AR591" s="1" t="n"/>
      <c r="AS591" s="1" t="n"/>
      <c r="AT591" s="1" t="n"/>
      <c r="AU591" s="1" t="n"/>
      <c r="AV591" s="1" t="n"/>
      <c r="AW591" s="1" t="n"/>
      <c r="AX591" s="1" t="n"/>
      <c r="AY591" s="1" t="n"/>
      <c r="AZ591" s="1" t="n"/>
      <c r="BA591" s="1" t="n"/>
    </row>
    <row r="592" ht="16.5" customHeight="1" s="220">
      <c r="A592" s="1" t="n"/>
      <c r="B592" s="1" t="n"/>
      <c r="C592" s="2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Q592" s="1" t="n"/>
      <c r="AR592" s="1" t="n"/>
      <c r="AS592" s="1" t="n"/>
      <c r="AT592" s="1" t="n"/>
      <c r="AU592" s="1" t="n"/>
      <c r="AV592" s="1" t="n"/>
      <c r="AW592" s="1" t="n"/>
      <c r="AX592" s="1" t="n"/>
      <c r="AY592" s="1" t="n"/>
      <c r="AZ592" s="1" t="n"/>
      <c r="BA592" s="1" t="n"/>
    </row>
    <row r="593" ht="16.5" customHeight="1" s="220">
      <c r="A593" s="1" t="n"/>
      <c r="B593" s="1" t="n"/>
      <c r="C593" s="2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  <c r="AR593" s="1" t="n"/>
      <c r="AS593" s="1" t="n"/>
      <c r="AT593" s="1" t="n"/>
      <c r="AU593" s="1" t="n"/>
      <c r="AV593" s="1" t="n"/>
      <c r="AW593" s="1" t="n"/>
      <c r="AX593" s="1" t="n"/>
      <c r="AY593" s="1" t="n"/>
      <c r="AZ593" s="1" t="n"/>
      <c r="BA593" s="1" t="n"/>
    </row>
    <row r="594" ht="16.5" customHeight="1" s="220">
      <c r="A594" s="1" t="n"/>
      <c r="B594" s="1" t="n"/>
      <c r="C594" s="2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Q594" s="1" t="n"/>
      <c r="AR594" s="1" t="n"/>
      <c r="AS594" s="1" t="n"/>
      <c r="AT594" s="1" t="n"/>
      <c r="AU594" s="1" t="n"/>
      <c r="AV594" s="1" t="n"/>
      <c r="AW594" s="1" t="n"/>
      <c r="AX594" s="1" t="n"/>
      <c r="AY594" s="1" t="n"/>
      <c r="AZ594" s="1" t="n"/>
      <c r="BA594" s="1" t="n"/>
    </row>
    <row r="595" ht="16.5" customHeight="1" s="220">
      <c r="A595" s="1" t="n"/>
      <c r="B595" s="1" t="n"/>
      <c r="C595" s="2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  <c r="AR595" s="1" t="n"/>
      <c r="AS595" s="1" t="n"/>
      <c r="AT595" s="1" t="n"/>
      <c r="AU595" s="1" t="n"/>
      <c r="AV595" s="1" t="n"/>
      <c r="AW595" s="1" t="n"/>
      <c r="AX595" s="1" t="n"/>
      <c r="AY595" s="1" t="n"/>
      <c r="AZ595" s="1" t="n"/>
      <c r="BA595" s="1" t="n"/>
    </row>
    <row r="596" ht="16.5" customHeight="1" s="220">
      <c r="A596" s="1" t="n"/>
      <c r="B596" s="1" t="n"/>
      <c r="C596" s="2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  <c r="AR596" s="1" t="n"/>
      <c r="AS596" s="1" t="n"/>
      <c r="AT596" s="1" t="n"/>
      <c r="AU596" s="1" t="n"/>
      <c r="AV596" s="1" t="n"/>
      <c r="AW596" s="1" t="n"/>
      <c r="AX596" s="1" t="n"/>
      <c r="AY596" s="1" t="n"/>
      <c r="AZ596" s="1" t="n"/>
      <c r="BA596" s="1" t="n"/>
    </row>
    <row r="597" ht="16.5" customHeight="1" s="220">
      <c r="A597" s="1" t="n"/>
      <c r="B597" s="1" t="n"/>
      <c r="C597" s="2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  <c r="AR597" s="1" t="n"/>
      <c r="AS597" s="1" t="n"/>
      <c r="AT597" s="1" t="n"/>
      <c r="AU597" s="1" t="n"/>
      <c r="AV597" s="1" t="n"/>
      <c r="AW597" s="1" t="n"/>
      <c r="AX597" s="1" t="n"/>
      <c r="AY597" s="1" t="n"/>
      <c r="AZ597" s="1" t="n"/>
      <c r="BA597" s="1" t="n"/>
    </row>
    <row r="598" ht="16.5" customHeight="1" s="220">
      <c r="A598" s="1" t="n"/>
      <c r="B598" s="1" t="n"/>
      <c r="C598" s="2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Q598" s="1" t="n"/>
      <c r="AR598" s="1" t="n"/>
      <c r="AS598" s="1" t="n"/>
      <c r="AT598" s="1" t="n"/>
      <c r="AU598" s="1" t="n"/>
      <c r="AV598" s="1" t="n"/>
      <c r="AW598" s="1" t="n"/>
      <c r="AX598" s="1" t="n"/>
      <c r="AY598" s="1" t="n"/>
      <c r="AZ598" s="1" t="n"/>
      <c r="BA598" s="1" t="n"/>
    </row>
    <row r="599" ht="16.5" customHeight="1" s="220">
      <c r="A599" s="1" t="n"/>
      <c r="B599" s="1" t="n"/>
      <c r="C599" s="2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  <c r="AR599" s="1" t="n"/>
      <c r="AS599" s="1" t="n"/>
      <c r="AT599" s="1" t="n"/>
      <c r="AU599" s="1" t="n"/>
      <c r="AV599" s="1" t="n"/>
      <c r="AW599" s="1" t="n"/>
      <c r="AX599" s="1" t="n"/>
      <c r="AY599" s="1" t="n"/>
      <c r="AZ599" s="1" t="n"/>
      <c r="BA599" s="1" t="n"/>
    </row>
    <row r="600" ht="16.5" customHeight="1" s="220">
      <c r="A600" s="1" t="n"/>
      <c r="B600" s="1" t="n"/>
      <c r="C600" s="2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Q600" s="1" t="n"/>
      <c r="AR600" s="1" t="n"/>
      <c r="AS600" s="1" t="n"/>
      <c r="AT600" s="1" t="n"/>
      <c r="AU600" s="1" t="n"/>
      <c r="AV600" s="1" t="n"/>
      <c r="AW600" s="1" t="n"/>
      <c r="AX600" s="1" t="n"/>
      <c r="AY600" s="1" t="n"/>
      <c r="AZ600" s="1" t="n"/>
      <c r="BA600" s="1" t="n"/>
    </row>
    <row r="601" ht="16.5" customHeight="1" s="220">
      <c r="A601" s="1" t="n"/>
      <c r="B601" s="1" t="n"/>
      <c r="C601" s="2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  <c r="AR601" s="1" t="n"/>
      <c r="AS601" s="1" t="n"/>
      <c r="AT601" s="1" t="n"/>
      <c r="AU601" s="1" t="n"/>
      <c r="AV601" s="1" t="n"/>
      <c r="AW601" s="1" t="n"/>
      <c r="AX601" s="1" t="n"/>
      <c r="AY601" s="1" t="n"/>
      <c r="AZ601" s="1" t="n"/>
      <c r="BA601" s="1" t="n"/>
    </row>
    <row r="602" ht="16.5" customHeight="1" s="220">
      <c r="A602" s="1" t="n"/>
      <c r="B602" s="1" t="n"/>
      <c r="C602" s="2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Q602" s="1" t="n"/>
      <c r="AR602" s="1" t="n"/>
      <c r="AS602" s="1" t="n"/>
      <c r="AT602" s="1" t="n"/>
      <c r="AU602" s="1" t="n"/>
      <c r="AV602" s="1" t="n"/>
      <c r="AW602" s="1" t="n"/>
      <c r="AX602" s="1" t="n"/>
      <c r="AY602" s="1" t="n"/>
      <c r="AZ602" s="1" t="n"/>
      <c r="BA602" s="1" t="n"/>
    </row>
    <row r="603" ht="16.5" customHeight="1" s="220">
      <c r="A603" s="1" t="n"/>
      <c r="B603" s="1" t="n"/>
      <c r="C603" s="2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  <c r="AR603" s="1" t="n"/>
      <c r="AS603" s="1" t="n"/>
      <c r="AT603" s="1" t="n"/>
      <c r="AU603" s="1" t="n"/>
      <c r="AV603" s="1" t="n"/>
      <c r="AW603" s="1" t="n"/>
      <c r="AX603" s="1" t="n"/>
      <c r="AY603" s="1" t="n"/>
      <c r="AZ603" s="1" t="n"/>
      <c r="BA603" s="1" t="n"/>
    </row>
    <row r="604" ht="16.5" customHeight="1" s="220">
      <c r="A604" s="1" t="n"/>
      <c r="B604" s="1" t="n"/>
      <c r="C604" s="2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  <c r="AR604" s="1" t="n"/>
      <c r="AS604" s="1" t="n"/>
      <c r="AT604" s="1" t="n"/>
      <c r="AU604" s="1" t="n"/>
      <c r="AV604" s="1" t="n"/>
      <c r="AW604" s="1" t="n"/>
      <c r="AX604" s="1" t="n"/>
      <c r="AY604" s="1" t="n"/>
      <c r="AZ604" s="1" t="n"/>
      <c r="BA604" s="1" t="n"/>
    </row>
    <row r="605" ht="16.5" customHeight="1" s="220">
      <c r="A605" s="1" t="n"/>
      <c r="B605" s="1" t="n"/>
      <c r="C605" s="2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  <c r="AR605" s="1" t="n"/>
      <c r="AS605" s="1" t="n"/>
      <c r="AT605" s="1" t="n"/>
      <c r="AU605" s="1" t="n"/>
      <c r="AV605" s="1" t="n"/>
      <c r="AW605" s="1" t="n"/>
      <c r="AX605" s="1" t="n"/>
      <c r="AY605" s="1" t="n"/>
      <c r="AZ605" s="1" t="n"/>
      <c r="BA605" s="1" t="n"/>
    </row>
    <row r="606" ht="16.5" customHeight="1" s="220">
      <c r="A606" s="1" t="n"/>
      <c r="B606" s="1" t="n"/>
      <c r="C606" s="2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  <c r="AR606" s="1" t="n"/>
      <c r="AS606" s="1" t="n"/>
      <c r="AT606" s="1" t="n"/>
      <c r="AU606" s="1" t="n"/>
      <c r="AV606" s="1" t="n"/>
      <c r="AW606" s="1" t="n"/>
      <c r="AX606" s="1" t="n"/>
      <c r="AY606" s="1" t="n"/>
      <c r="AZ606" s="1" t="n"/>
      <c r="BA606" s="1" t="n"/>
    </row>
    <row r="607" ht="16.5" customHeight="1" s="220">
      <c r="A607" s="1" t="n"/>
      <c r="B607" s="1" t="n"/>
      <c r="C607" s="2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  <c r="AR607" s="1" t="n"/>
      <c r="AS607" s="1" t="n"/>
      <c r="AT607" s="1" t="n"/>
      <c r="AU607" s="1" t="n"/>
      <c r="AV607" s="1" t="n"/>
      <c r="AW607" s="1" t="n"/>
      <c r="AX607" s="1" t="n"/>
      <c r="AY607" s="1" t="n"/>
      <c r="AZ607" s="1" t="n"/>
      <c r="BA607" s="1" t="n"/>
    </row>
    <row r="608" ht="16.5" customHeight="1" s="220">
      <c r="A608" s="1" t="n"/>
      <c r="B608" s="1" t="n"/>
      <c r="C608" s="2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  <c r="AR608" s="1" t="n"/>
      <c r="AS608" s="1" t="n"/>
      <c r="AT608" s="1" t="n"/>
      <c r="AU608" s="1" t="n"/>
      <c r="AV608" s="1" t="n"/>
      <c r="AW608" s="1" t="n"/>
      <c r="AX608" s="1" t="n"/>
      <c r="AY608" s="1" t="n"/>
      <c r="AZ608" s="1" t="n"/>
      <c r="BA608" s="1" t="n"/>
    </row>
    <row r="609" ht="16.5" customHeight="1" s="220">
      <c r="A609" s="1" t="n"/>
      <c r="B609" s="1" t="n"/>
      <c r="C609" s="2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  <c r="AR609" s="1" t="n"/>
      <c r="AS609" s="1" t="n"/>
      <c r="AT609" s="1" t="n"/>
      <c r="AU609" s="1" t="n"/>
      <c r="AV609" s="1" t="n"/>
      <c r="AW609" s="1" t="n"/>
      <c r="AX609" s="1" t="n"/>
      <c r="AY609" s="1" t="n"/>
      <c r="AZ609" s="1" t="n"/>
      <c r="BA609" s="1" t="n"/>
    </row>
    <row r="610" ht="16.5" customHeight="1" s="220">
      <c r="A610" s="1" t="n"/>
      <c r="B610" s="1" t="n"/>
      <c r="C610" s="2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  <c r="AR610" s="1" t="n"/>
      <c r="AS610" s="1" t="n"/>
      <c r="AT610" s="1" t="n"/>
      <c r="AU610" s="1" t="n"/>
      <c r="AV610" s="1" t="n"/>
      <c r="AW610" s="1" t="n"/>
      <c r="AX610" s="1" t="n"/>
      <c r="AY610" s="1" t="n"/>
      <c r="AZ610" s="1" t="n"/>
      <c r="BA610" s="1" t="n"/>
    </row>
    <row r="611" ht="16.5" customHeight="1" s="220">
      <c r="A611" s="1" t="n"/>
      <c r="B611" s="1" t="n"/>
      <c r="C611" s="2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  <c r="AR611" s="1" t="n"/>
      <c r="AS611" s="1" t="n"/>
      <c r="AT611" s="1" t="n"/>
      <c r="AU611" s="1" t="n"/>
      <c r="AV611" s="1" t="n"/>
      <c r="AW611" s="1" t="n"/>
      <c r="AX611" s="1" t="n"/>
      <c r="AY611" s="1" t="n"/>
      <c r="AZ611" s="1" t="n"/>
      <c r="BA611" s="1" t="n"/>
    </row>
    <row r="612" ht="16.5" customHeight="1" s="220">
      <c r="A612" s="1" t="n"/>
      <c r="B612" s="1" t="n"/>
      <c r="C612" s="2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  <c r="AR612" s="1" t="n"/>
      <c r="AS612" s="1" t="n"/>
      <c r="AT612" s="1" t="n"/>
      <c r="AU612" s="1" t="n"/>
      <c r="AV612" s="1" t="n"/>
      <c r="AW612" s="1" t="n"/>
      <c r="AX612" s="1" t="n"/>
      <c r="AY612" s="1" t="n"/>
      <c r="AZ612" s="1" t="n"/>
      <c r="BA612" s="1" t="n"/>
    </row>
    <row r="613" ht="16.5" customHeight="1" s="220">
      <c r="A613" s="1" t="n"/>
      <c r="B613" s="1" t="n"/>
      <c r="C613" s="2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  <c r="AR613" s="1" t="n"/>
      <c r="AS613" s="1" t="n"/>
      <c r="AT613" s="1" t="n"/>
      <c r="AU613" s="1" t="n"/>
      <c r="AV613" s="1" t="n"/>
      <c r="AW613" s="1" t="n"/>
      <c r="AX613" s="1" t="n"/>
      <c r="AY613" s="1" t="n"/>
      <c r="AZ613" s="1" t="n"/>
      <c r="BA613" s="1" t="n"/>
    </row>
    <row r="614" ht="16.5" customHeight="1" s="220">
      <c r="A614" s="1" t="n"/>
      <c r="B614" s="1" t="n"/>
      <c r="C614" s="2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  <c r="AR614" s="1" t="n"/>
      <c r="AS614" s="1" t="n"/>
      <c r="AT614" s="1" t="n"/>
      <c r="AU614" s="1" t="n"/>
      <c r="AV614" s="1" t="n"/>
      <c r="AW614" s="1" t="n"/>
      <c r="AX614" s="1" t="n"/>
      <c r="AY614" s="1" t="n"/>
      <c r="AZ614" s="1" t="n"/>
      <c r="BA614" s="1" t="n"/>
    </row>
    <row r="615" ht="16.5" customHeight="1" s="220">
      <c r="A615" s="1" t="n"/>
      <c r="B615" s="1" t="n"/>
      <c r="C615" s="2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  <c r="AR615" s="1" t="n"/>
      <c r="AS615" s="1" t="n"/>
      <c r="AT615" s="1" t="n"/>
      <c r="AU615" s="1" t="n"/>
      <c r="AV615" s="1" t="n"/>
      <c r="AW615" s="1" t="n"/>
      <c r="AX615" s="1" t="n"/>
      <c r="AY615" s="1" t="n"/>
      <c r="AZ615" s="1" t="n"/>
      <c r="BA615" s="1" t="n"/>
    </row>
    <row r="616" ht="16.5" customHeight="1" s="220">
      <c r="A616" s="1" t="n"/>
      <c r="B616" s="1" t="n"/>
      <c r="C616" s="2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  <c r="AR616" s="1" t="n"/>
      <c r="AS616" s="1" t="n"/>
      <c r="AT616" s="1" t="n"/>
      <c r="AU616" s="1" t="n"/>
      <c r="AV616" s="1" t="n"/>
      <c r="AW616" s="1" t="n"/>
      <c r="AX616" s="1" t="n"/>
      <c r="AY616" s="1" t="n"/>
      <c r="AZ616" s="1" t="n"/>
      <c r="BA616" s="1" t="n"/>
    </row>
    <row r="617" ht="16.5" customHeight="1" s="220">
      <c r="A617" s="1" t="n"/>
      <c r="B617" s="1" t="n"/>
      <c r="C617" s="2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  <c r="AR617" s="1" t="n"/>
      <c r="AS617" s="1" t="n"/>
      <c r="AT617" s="1" t="n"/>
      <c r="AU617" s="1" t="n"/>
      <c r="AV617" s="1" t="n"/>
      <c r="AW617" s="1" t="n"/>
      <c r="AX617" s="1" t="n"/>
      <c r="AY617" s="1" t="n"/>
      <c r="AZ617" s="1" t="n"/>
      <c r="BA617" s="1" t="n"/>
    </row>
    <row r="618" ht="16.5" customHeight="1" s="220">
      <c r="A618" s="1" t="n"/>
      <c r="B618" s="1" t="n"/>
      <c r="C618" s="2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  <c r="AR618" s="1" t="n"/>
      <c r="AS618" s="1" t="n"/>
      <c r="AT618" s="1" t="n"/>
      <c r="AU618" s="1" t="n"/>
      <c r="AV618" s="1" t="n"/>
      <c r="AW618" s="1" t="n"/>
      <c r="AX618" s="1" t="n"/>
      <c r="AY618" s="1" t="n"/>
      <c r="AZ618" s="1" t="n"/>
      <c r="BA618" s="1" t="n"/>
    </row>
    <row r="619" ht="16.5" customHeight="1" s="220">
      <c r="A619" s="1" t="n"/>
      <c r="B619" s="1" t="n"/>
      <c r="C619" s="2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  <c r="AR619" s="1" t="n"/>
      <c r="AS619" s="1" t="n"/>
      <c r="AT619" s="1" t="n"/>
      <c r="AU619" s="1" t="n"/>
      <c r="AV619" s="1" t="n"/>
      <c r="AW619" s="1" t="n"/>
      <c r="AX619" s="1" t="n"/>
      <c r="AY619" s="1" t="n"/>
      <c r="AZ619" s="1" t="n"/>
      <c r="BA619" s="1" t="n"/>
    </row>
    <row r="620" ht="16.5" customHeight="1" s="220">
      <c r="A620" s="1" t="n"/>
      <c r="B620" s="1" t="n"/>
      <c r="C620" s="2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Q620" s="1" t="n"/>
      <c r="AR620" s="1" t="n"/>
      <c r="AS620" s="1" t="n"/>
      <c r="AT620" s="1" t="n"/>
      <c r="AU620" s="1" t="n"/>
      <c r="AV620" s="1" t="n"/>
      <c r="AW620" s="1" t="n"/>
      <c r="AX620" s="1" t="n"/>
      <c r="AY620" s="1" t="n"/>
      <c r="AZ620" s="1" t="n"/>
      <c r="BA620" s="1" t="n"/>
    </row>
    <row r="621" ht="16.5" customHeight="1" s="220">
      <c r="A621" s="1" t="n"/>
      <c r="B621" s="1" t="n"/>
      <c r="C621" s="2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  <c r="AR621" s="1" t="n"/>
      <c r="AS621" s="1" t="n"/>
      <c r="AT621" s="1" t="n"/>
      <c r="AU621" s="1" t="n"/>
      <c r="AV621" s="1" t="n"/>
      <c r="AW621" s="1" t="n"/>
      <c r="AX621" s="1" t="n"/>
      <c r="AY621" s="1" t="n"/>
      <c r="AZ621" s="1" t="n"/>
      <c r="BA621" s="1" t="n"/>
    </row>
    <row r="622" ht="16.5" customHeight="1" s="220">
      <c r="A622" s="1" t="n"/>
      <c r="B622" s="1" t="n"/>
      <c r="C622" s="2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  <c r="AR622" s="1" t="n"/>
      <c r="AS622" s="1" t="n"/>
      <c r="AT622" s="1" t="n"/>
      <c r="AU622" s="1" t="n"/>
      <c r="AV622" s="1" t="n"/>
      <c r="AW622" s="1" t="n"/>
      <c r="AX622" s="1" t="n"/>
      <c r="AY622" s="1" t="n"/>
      <c r="AZ622" s="1" t="n"/>
      <c r="BA622" s="1" t="n"/>
    </row>
    <row r="623" ht="16.5" customHeight="1" s="220">
      <c r="A623" s="1" t="n"/>
      <c r="B623" s="1" t="n"/>
      <c r="C623" s="2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  <c r="AR623" s="1" t="n"/>
      <c r="AS623" s="1" t="n"/>
      <c r="AT623" s="1" t="n"/>
      <c r="AU623" s="1" t="n"/>
      <c r="AV623" s="1" t="n"/>
      <c r="AW623" s="1" t="n"/>
      <c r="AX623" s="1" t="n"/>
      <c r="AY623" s="1" t="n"/>
      <c r="AZ623" s="1" t="n"/>
      <c r="BA623" s="1" t="n"/>
    </row>
    <row r="624" ht="16.5" customHeight="1" s="220">
      <c r="A624" s="1" t="n"/>
      <c r="B624" s="1" t="n"/>
      <c r="C624" s="2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  <c r="AR624" s="1" t="n"/>
      <c r="AS624" s="1" t="n"/>
      <c r="AT624" s="1" t="n"/>
      <c r="AU624" s="1" t="n"/>
      <c r="AV624" s="1" t="n"/>
      <c r="AW624" s="1" t="n"/>
      <c r="AX624" s="1" t="n"/>
      <c r="AY624" s="1" t="n"/>
      <c r="AZ624" s="1" t="n"/>
      <c r="BA624" s="1" t="n"/>
    </row>
    <row r="625" ht="16.5" customHeight="1" s="220">
      <c r="A625" s="1" t="n"/>
      <c r="B625" s="1" t="n"/>
      <c r="C625" s="2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  <c r="AR625" s="1" t="n"/>
      <c r="AS625" s="1" t="n"/>
      <c r="AT625" s="1" t="n"/>
      <c r="AU625" s="1" t="n"/>
      <c r="AV625" s="1" t="n"/>
      <c r="AW625" s="1" t="n"/>
      <c r="AX625" s="1" t="n"/>
      <c r="AY625" s="1" t="n"/>
      <c r="AZ625" s="1" t="n"/>
      <c r="BA625" s="1" t="n"/>
    </row>
    <row r="626" ht="16.5" customHeight="1" s="220">
      <c r="A626" s="1" t="n"/>
      <c r="B626" s="1" t="n"/>
      <c r="C626" s="2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  <c r="AR626" s="1" t="n"/>
      <c r="AS626" s="1" t="n"/>
      <c r="AT626" s="1" t="n"/>
      <c r="AU626" s="1" t="n"/>
      <c r="AV626" s="1" t="n"/>
      <c r="AW626" s="1" t="n"/>
      <c r="AX626" s="1" t="n"/>
      <c r="AY626" s="1" t="n"/>
      <c r="AZ626" s="1" t="n"/>
      <c r="BA626" s="1" t="n"/>
    </row>
    <row r="627" ht="16.5" customHeight="1" s="220">
      <c r="A627" s="1" t="n"/>
      <c r="B627" s="1" t="n"/>
      <c r="C627" s="2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  <c r="AR627" s="1" t="n"/>
      <c r="AS627" s="1" t="n"/>
      <c r="AT627" s="1" t="n"/>
      <c r="AU627" s="1" t="n"/>
      <c r="AV627" s="1" t="n"/>
      <c r="AW627" s="1" t="n"/>
      <c r="AX627" s="1" t="n"/>
      <c r="AY627" s="1" t="n"/>
      <c r="AZ627" s="1" t="n"/>
      <c r="BA627" s="1" t="n"/>
    </row>
    <row r="628" ht="16.5" customHeight="1" s="220">
      <c r="A628" s="1" t="n"/>
      <c r="B628" s="1" t="n"/>
      <c r="C628" s="2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  <c r="AR628" s="1" t="n"/>
      <c r="AS628" s="1" t="n"/>
      <c r="AT628" s="1" t="n"/>
      <c r="AU628" s="1" t="n"/>
      <c r="AV628" s="1" t="n"/>
      <c r="AW628" s="1" t="n"/>
      <c r="AX628" s="1" t="n"/>
      <c r="AY628" s="1" t="n"/>
      <c r="AZ628" s="1" t="n"/>
      <c r="BA628" s="1" t="n"/>
    </row>
    <row r="629" ht="16.5" customHeight="1" s="220">
      <c r="A629" s="1" t="n"/>
      <c r="B629" s="1" t="n"/>
      <c r="C629" s="2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  <c r="AR629" s="1" t="n"/>
      <c r="AS629" s="1" t="n"/>
      <c r="AT629" s="1" t="n"/>
      <c r="AU629" s="1" t="n"/>
      <c r="AV629" s="1" t="n"/>
      <c r="AW629" s="1" t="n"/>
      <c r="AX629" s="1" t="n"/>
      <c r="AY629" s="1" t="n"/>
      <c r="AZ629" s="1" t="n"/>
      <c r="BA629" s="1" t="n"/>
    </row>
    <row r="630" ht="16.5" customHeight="1" s="220">
      <c r="A630" s="1" t="n"/>
      <c r="B630" s="1" t="n"/>
      <c r="C630" s="2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  <c r="AR630" s="1" t="n"/>
      <c r="AS630" s="1" t="n"/>
      <c r="AT630" s="1" t="n"/>
      <c r="AU630" s="1" t="n"/>
      <c r="AV630" s="1" t="n"/>
      <c r="AW630" s="1" t="n"/>
      <c r="AX630" s="1" t="n"/>
      <c r="AY630" s="1" t="n"/>
      <c r="AZ630" s="1" t="n"/>
      <c r="BA630" s="1" t="n"/>
    </row>
    <row r="631" ht="16.5" customHeight="1" s="220">
      <c r="A631" s="1" t="n"/>
      <c r="B631" s="1" t="n"/>
      <c r="C631" s="2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  <c r="AR631" s="1" t="n"/>
      <c r="AS631" s="1" t="n"/>
      <c r="AT631" s="1" t="n"/>
      <c r="AU631" s="1" t="n"/>
      <c r="AV631" s="1" t="n"/>
      <c r="AW631" s="1" t="n"/>
      <c r="AX631" s="1" t="n"/>
      <c r="AY631" s="1" t="n"/>
      <c r="AZ631" s="1" t="n"/>
      <c r="BA631" s="1" t="n"/>
    </row>
    <row r="632" ht="16.5" customHeight="1" s="220">
      <c r="A632" s="1" t="n"/>
      <c r="B632" s="1" t="n"/>
      <c r="C632" s="2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  <c r="AR632" s="1" t="n"/>
      <c r="AS632" s="1" t="n"/>
      <c r="AT632" s="1" t="n"/>
      <c r="AU632" s="1" t="n"/>
      <c r="AV632" s="1" t="n"/>
      <c r="AW632" s="1" t="n"/>
      <c r="AX632" s="1" t="n"/>
      <c r="AY632" s="1" t="n"/>
      <c r="AZ632" s="1" t="n"/>
      <c r="BA632" s="1" t="n"/>
    </row>
    <row r="633" ht="16.5" customHeight="1" s="220">
      <c r="A633" s="1" t="n"/>
      <c r="B633" s="1" t="n"/>
      <c r="C633" s="2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  <c r="AR633" s="1" t="n"/>
      <c r="AS633" s="1" t="n"/>
      <c r="AT633" s="1" t="n"/>
      <c r="AU633" s="1" t="n"/>
      <c r="AV633" s="1" t="n"/>
      <c r="AW633" s="1" t="n"/>
      <c r="AX633" s="1" t="n"/>
      <c r="AY633" s="1" t="n"/>
      <c r="AZ633" s="1" t="n"/>
      <c r="BA633" s="1" t="n"/>
    </row>
    <row r="634" ht="16.5" customHeight="1" s="220">
      <c r="A634" s="1" t="n"/>
      <c r="B634" s="1" t="n"/>
      <c r="C634" s="2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Q634" s="1" t="n"/>
      <c r="AR634" s="1" t="n"/>
      <c r="AS634" s="1" t="n"/>
      <c r="AT634" s="1" t="n"/>
      <c r="AU634" s="1" t="n"/>
      <c r="AV634" s="1" t="n"/>
      <c r="AW634" s="1" t="n"/>
      <c r="AX634" s="1" t="n"/>
      <c r="AY634" s="1" t="n"/>
      <c r="AZ634" s="1" t="n"/>
      <c r="BA634" s="1" t="n"/>
    </row>
    <row r="635" ht="16.5" customHeight="1" s="220">
      <c r="A635" s="1" t="n"/>
      <c r="B635" s="1" t="n"/>
      <c r="C635" s="2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  <c r="AR635" s="1" t="n"/>
      <c r="AS635" s="1" t="n"/>
      <c r="AT635" s="1" t="n"/>
      <c r="AU635" s="1" t="n"/>
      <c r="AV635" s="1" t="n"/>
      <c r="AW635" s="1" t="n"/>
      <c r="AX635" s="1" t="n"/>
      <c r="AY635" s="1" t="n"/>
      <c r="AZ635" s="1" t="n"/>
      <c r="BA635" s="1" t="n"/>
    </row>
    <row r="636" ht="16.5" customHeight="1" s="220">
      <c r="A636" s="1" t="n"/>
      <c r="B636" s="1" t="n"/>
      <c r="C636" s="2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Q636" s="1" t="n"/>
      <c r="AR636" s="1" t="n"/>
      <c r="AS636" s="1" t="n"/>
      <c r="AT636" s="1" t="n"/>
      <c r="AU636" s="1" t="n"/>
      <c r="AV636" s="1" t="n"/>
      <c r="AW636" s="1" t="n"/>
      <c r="AX636" s="1" t="n"/>
      <c r="AY636" s="1" t="n"/>
      <c r="AZ636" s="1" t="n"/>
      <c r="BA636" s="1" t="n"/>
    </row>
    <row r="637" ht="16.5" customHeight="1" s="220">
      <c r="A637" s="1" t="n"/>
      <c r="B637" s="1" t="n"/>
      <c r="C637" s="2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  <c r="AR637" s="1" t="n"/>
      <c r="AS637" s="1" t="n"/>
      <c r="AT637" s="1" t="n"/>
      <c r="AU637" s="1" t="n"/>
      <c r="AV637" s="1" t="n"/>
      <c r="AW637" s="1" t="n"/>
      <c r="AX637" s="1" t="n"/>
      <c r="AY637" s="1" t="n"/>
      <c r="AZ637" s="1" t="n"/>
      <c r="BA637" s="1" t="n"/>
    </row>
    <row r="638" ht="16.5" customHeight="1" s="220">
      <c r="A638" s="1" t="n"/>
      <c r="B638" s="1" t="n"/>
      <c r="C638" s="2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  <c r="AR638" s="1" t="n"/>
      <c r="AS638" s="1" t="n"/>
      <c r="AT638" s="1" t="n"/>
      <c r="AU638" s="1" t="n"/>
      <c r="AV638" s="1" t="n"/>
      <c r="AW638" s="1" t="n"/>
      <c r="AX638" s="1" t="n"/>
      <c r="AY638" s="1" t="n"/>
      <c r="AZ638" s="1" t="n"/>
      <c r="BA638" s="1" t="n"/>
    </row>
    <row r="639" ht="16.5" customHeight="1" s="220">
      <c r="A639" s="1" t="n"/>
      <c r="B639" s="1" t="n"/>
      <c r="C639" s="2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  <c r="AR639" s="1" t="n"/>
      <c r="AS639" s="1" t="n"/>
      <c r="AT639" s="1" t="n"/>
      <c r="AU639" s="1" t="n"/>
      <c r="AV639" s="1" t="n"/>
      <c r="AW639" s="1" t="n"/>
      <c r="AX639" s="1" t="n"/>
      <c r="AY639" s="1" t="n"/>
      <c r="AZ639" s="1" t="n"/>
      <c r="BA639" s="1" t="n"/>
    </row>
    <row r="640" ht="16.5" customHeight="1" s="220">
      <c r="A640" s="1" t="n"/>
      <c r="B640" s="1" t="n"/>
      <c r="C640" s="2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  <c r="AR640" s="1" t="n"/>
      <c r="AS640" s="1" t="n"/>
      <c r="AT640" s="1" t="n"/>
      <c r="AU640" s="1" t="n"/>
      <c r="AV640" s="1" t="n"/>
      <c r="AW640" s="1" t="n"/>
      <c r="AX640" s="1" t="n"/>
      <c r="AY640" s="1" t="n"/>
      <c r="AZ640" s="1" t="n"/>
      <c r="BA640" s="1" t="n"/>
    </row>
    <row r="641" ht="16.5" customHeight="1" s="220">
      <c r="A641" s="1" t="n"/>
      <c r="B641" s="1" t="n"/>
      <c r="C641" s="2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  <c r="AR641" s="1" t="n"/>
      <c r="AS641" s="1" t="n"/>
      <c r="AT641" s="1" t="n"/>
      <c r="AU641" s="1" t="n"/>
      <c r="AV641" s="1" t="n"/>
      <c r="AW641" s="1" t="n"/>
      <c r="AX641" s="1" t="n"/>
      <c r="AY641" s="1" t="n"/>
      <c r="AZ641" s="1" t="n"/>
      <c r="BA641" s="1" t="n"/>
    </row>
    <row r="642" ht="16.5" customHeight="1" s="220">
      <c r="A642" s="1" t="n"/>
      <c r="B642" s="1" t="n"/>
      <c r="C642" s="2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  <c r="AR642" s="1" t="n"/>
      <c r="AS642" s="1" t="n"/>
      <c r="AT642" s="1" t="n"/>
      <c r="AU642" s="1" t="n"/>
      <c r="AV642" s="1" t="n"/>
      <c r="AW642" s="1" t="n"/>
      <c r="AX642" s="1" t="n"/>
      <c r="AY642" s="1" t="n"/>
      <c r="AZ642" s="1" t="n"/>
      <c r="BA642" s="1" t="n"/>
    </row>
    <row r="643" ht="16.5" customHeight="1" s="220">
      <c r="A643" s="1" t="n"/>
      <c r="B643" s="1" t="n"/>
      <c r="C643" s="2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  <c r="AR643" s="1" t="n"/>
      <c r="AS643" s="1" t="n"/>
      <c r="AT643" s="1" t="n"/>
      <c r="AU643" s="1" t="n"/>
      <c r="AV643" s="1" t="n"/>
      <c r="AW643" s="1" t="n"/>
      <c r="AX643" s="1" t="n"/>
      <c r="AY643" s="1" t="n"/>
      <c r="AZ643" s="1" t="n"/>
      <c r="BA643" s="1" t="n"/>
    </row>
    <row r="644" ht="16.5" customHeight="1" s="220">
      <c r="A644" s="1" t="n"/>
      <c r="B644" s="1" t="n"/>
      <c r="C644" s="2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  <c r="AR644" s="1" t="n"/>
      <c r="AS644" s="1" t="n"/>
      <c r="AT644" s="1" t="n"/>
      <c r="AU644" s="1" t="n"/>
      <c r="AV644" s="1" t="n"/>
      <c r="AW644" s="1" t="n"/>
      <c r="AX644" s="1" t="n"/>
      <c r="AY644" s="1" t="n"/>
      <c r="AZ644" s="1" t="n"/>
      <c r="BA644" s="1" t="n"/>
    </row>
    <row r="645" ht="16.5" customHeight="1" s="220">
      <c r="A645" s="1" t="n"/>
      <c r="B645" s="1" t="n"/>
      <c r="C645" s="2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  <c r="AR645" s="1" t="n"/>
      <c r="AS645" s="1" t="n"/>
      <c r="AT645" s="1" t="n"/>
      <c r="AU645" s="1" t="n"/>
      <c r="AV645" s="1" t="n"/>
      <c r="AW645" s="1" t="n"/>
      <c r="AX645" s="1" t="n"/>
      <c r="AY645" s="1" t="n"/>
      <c r="AZ645" s="1" t="n"/>
      <c r="BA645" s="1" t="n"/>
    </row>
    <row r="646" ht="16.5" customHeight="1" s="220">
      <c r="A646" s="1" t="n"/>
      <c r="B646" s="1" t="n"/>
      <c r="C646" s="2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  <c r="AR646" s="1" t="n"/>
      <c r="AS646" s="1" t="n"/>
      <c r="AT646" s="1" t="n"/>
      <c r="AU646" s="1" t="n"/>
      <c r="AV646" s="1" t="n"/>
      <c r="AW646" s="1" t="n"/>
      <c r="AX646" s="1" t="n"/>
      <c r="AY646" s="1" t="n"/>
      <c r="AZ646" s="1" t="n"/>
      <c r="BA646" s="1" t="n"/>
    </row>
    <row r="647" ht="16.5" customHeight="1" s="220">
      <c r="A647" s="1" t="n"/>
      <c r="B647" s="1" t="n"/>
      <c r="C647" s="2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  <c r="AR647" s="1" t="n"/>
      <c r="AS647" s="1" t="n"/>
      <c r="AT647" s="1" t="n"/>
      <c r="AU647" s="1" t="n"/>
      <c r="AV647" s="1" t="n"/>
      <c r="AW647" s="1" t="n"/>
      <c r="AX647" s="1" t="n"/>
      <c r="AY647" s="1" t="n"/>
      <c r="AZ647" s="1" t="n"/>
      <c r="BA647" s="1" t="n"/>
    </row>
    <row r="648" ht="16.5" customHeight="1" s="220">
      <c r="A648" s="1" t="n"/>
      <c r="B648" s="1" t="n"/>
      <c r="C648" s="2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  <c r="AR648" s="1" t="n"/>
      <c r="AS648" s="1" t="n"/>
      <c r="AT648" s="1" t="n"/>
      <c r="AU648" s="1" t="n"/>
      <c r="AV648" s="1" t="n"/>
      <c r="AW648" s="1" t="n"/>
      <c r="AX648" s="1" t="n"/>
      <c r="AY648" s="1" t="n"/>
      <c r="AZ648" s="1" t="n"/>
      <c r="BA648" s="1" t="n"/>
    </row>
    <row r="649" ht="16.5" customHeight="1" s="220">
      <c r="A649" s="1" t="n"/>
      <c r="B649" s="1" t="n"/>
      <c r="C649" s="2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  <c r="AR649" s="1" t="n"/>
      <c r="AS649" s="1" t="n"/>
      <c r="AT649" s="1" t="n"/>
      <c r="AU649" s="1" t="n"/>
      <c r="AV649" s="1" t="n"/>
      <c r="AW649" s="1" t="n"/>
      <c r="AX649" s="1" t="n"/>
      <c r="AY649" s="1" t="n"/>
      <c r="AZ649" s="1" t="n"/>
      <c r="BA649" s="1" t="n"/>
    </row>
    <row r="650" ht="16.5" customHeight="1" s="220">
      <c r="A650" s="1" t="n"/>
      <c r="B650" s="1" t="n"/>
      <c r="C650" s="2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  <c r="AR650" s="1" t="n"/>
      <c r="AS650" s="1" t="n"/>
      <c r="AT650" s="1" t="n"/>
      <c r="AU650" s="1" t="n"/>
      <c r="AV650" s="1" t="n"/>
      <c r="AW650" s="1" t="n"/>
      <c r="AX650" s="1" t="n"/>
      <c r="AY650" s="1" t="n"/>
      <c r="AZ650" s="1" t="n"/>
      <c r="BA650" s="1" t="n"/>
    </row>
    <row r="651" ht="16.5" customHeight="1" s="220">
      <c r="A651" s="1" t="n"/>
      <c r="B651" s="1" t="n"/>
      <c r="C651" s="2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  <c r="AR651" s="1" t="n"/>
      <c r="AS651" s="1" t="n"/>
      <c r="AT651" s="1" t="n"/>
      <c r="AU651" s="1" t="n"/>
      <c r="AV651" s="1" t="n"/>
      <c r="AW651" s="1" t="n"/>
      <c r="AX651" s="1" t="n"/>
      <c r="AY651" s="1" t="n"/>
      <c r="AZ651" s="1" t="n"/>
      <c r="BA651" s="1" t="n"/>
    </row>
    <row r="652" ht="16.5" customHeight="1" s="220">
      <c r="A652" s="1" t="n"/>
      <c r="B652" s="1" t="n"/>
      <c r="C652" s="2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  <c r="AR652" s="1" t="n"/>
      <c r="AS652" s="1" t="n"/>
      <c r="AT652" s="1" t="n"/>
      <c r="AU652" s="1" t="n"/>
      <c r="AV652" s="1" t="n"/>
      <c r="AW652" s="1" t="n"/>
      <c r="AX652" s="1" t="n"/>
      <c r="AY652" s="1" t="n"/>
      <c r="AZ652" s="1" t="n"/>
      <c r="BA652" s="1" t="n"/>
    </row>
    <row r="653" ht="16.5" customHeight="1" s="220">
      <c r="A653" s="1" t="n"/>
      <c r="B653" s="1" t="n"/>
      <c r="C653" s="2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  <c r="AR653" s="1" t="n"/>
      <c r="AS653" s="1" t="n"/>
      <c r="AT653" s="1" t="n"/>
      <c r="AU653" s="1" t="n"/>
      <c r="AV653" s="1" t="n"/>
      <c r="AW653" s="1" t="n"/>
      <c r="AX653" s="1" t="n"/>
      <c r="AY653" s="1" t="n"/>
      <c r="AZ653" s="1" t="n"/>
      <c r="BA653" s="1" t="n"/>
    </row>
    <row r="654" ht="16.5" customHeight="1" s="220">
      <c r="A654" s="1" t="n"/>
      <c r="B654" s="1" t="n"/>
      <c r="C654" s="2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  <c r="AR654" s="1" t="n"/>
      <c r="AS654" s="1" t="n"/>
      <c r="AT654" s="1" t="n"/>
      <c r="AU654" s="1" t="n"/>
      <c r="AV654" s="1" t="n"/>
      <c r="AW654" s="1" t="n"/>
      <c r="AX654" s="1" t="n"/>
      <c r="AY654" s="1" t="n"/>
      <c r="AZ654" s="1" t="n"/>
      <c r="BA654" s="1" t="n"/>
    </row>
    <row r="655" ht="16.5" customHeight="1" s="220">
      <c r="A655" s="1" t="n"/>
      <c r="B655" s="1" t="n"/>
      <c r="C655" s="2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  <c r="AR655" s="1" t="n"/>
      <c r="AS655" s="1" t="n"/>
      <c r="AT655" s="1" t="n"/>
      <c r="AU655" s="1" t="n"/>
      <c r="AV655" s="1" t="n"/>
      <c r="AW655" s="1" t="n"/>
      <c r="AX655" s="1" t="n"/>
      <c r="AY655" s="1" t="n"/>
      <c r="AZ655" s="1" t="n"/>
      <c r="BA655" s="1" t="n"/>
    </row>
    <row r="656" ht="16.5" customHeight="1" s="220">
      <c r="A656" s="1" t="n"/>
      <c r="B656" s="1" t="n"/>
      <c r="C656" s="2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  <c r="AR656" s="1" t="n"/>
      <c r="AS656" s="1" t="n"/>
      <c r="AT656" s="1" t="n"/>
      <c r="AU656" s="1" t="n"/>
      <c r="AV656" s="1" t="n"/>
      <c r="AW656" s="1" t="n"/>
      <c r="AX656" s="1" t="n"/>
      <c r="AY656" s="1" t="n"/>
      <c r="AZ656" s="1" t="n"/>
      <c r="BA656" s="1" t="n"/>
    </row>
    <row r="657" ht="16.5" customHeight="1" s="220">
      <c r="A657" s="1" t="n"/>
      <c r="B657" s="1" t="n"/>
      <c r="C657" s="2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  <c r="AW657" s="1" t="n"/>
      <c r="AX657" s="1" t="n"/>
      <c r="AY657" s="1" t="n"/>
      <c r="AZ657" s="1" t="n"/>
      <c r="BA657" s="1" t="n"/>
    </row>
    <row r="658" ht="16.5" customHeight="1" s="220">
      <c r="A658" s="1" t="n"/>
      <c r="B658" s="1" t="n"/>
      <c r="C658" s="2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</row>
    <row r="659" ht="16.5" customHeight="1" s="220">
      <c r="A659" s="1" t="n"/>
      <c r="B659" s="1" t="n"/>
      <c r="C659" s="2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</row>
    <row r="660" ht="16.5" customHeight="1" s="220">
      <c r="A660" s="1" t="n"/>
      <c r="B660" s="1" t="n"/>
      <c r="C660" s="2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</row>
    <row r="661" ht="16.5" customHeight="1" s="220">
      <c r="A661" s="1" t="n"/>
      <c r="B661" s="1" t="n"/>
      <c r="C661" s="2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</row>
    <row r="662" ht="16.5" customHeight="1" s="220">
      <c r="A662" s="1" t="n"/>
      <c r="B662" s="1" t="n"/>
      <c r="C662" s="2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  <c r="AY662" s="1" t="n"/>
      <c r="AZ662" s="1" t="n"/>
      <c r="BA662" s="1" t="n"/>
    </row>
    <row r="663" ht="16.5" customHeight="1" s="220">
      <c r="A663" s="1" t="n"/>
      <c r="B663" s="1" t="n"/>
      <c r="C663" s="2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  <c r="AR663" s="1" t="n"/>
      <c r="AS663" s="1" t="n"/>
      <c r="AT663" s="1" t="n"/>
      <c r="AU663" s="1" t="n"/>
      <c r="AV663" s="1" t="n"/>
      <c r="AW663" s="1" t="n"/>
      <c r="AX663" s="1" t="n"/>
      <c r="AY663" s="1" t="n"/>
      <c r="AZ663" s="1" t="n"/>
      <c r="BA663" s="1" t="n"/>
    </row>
    <row r="664" ht="16.5" customHeight="1" s="220">
      <c r="A664" s="1" t="n"/>
      <c r="B664" s="1" t="n"/>
      <c r="C664" s="2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  <c r="AR664" s="1" t="n"/>
      <c r="AS664" s="1" t="n"/>
      <c r="AT664" s="1" t="n"/>
      <c r="AU664" s="1" t="n"/>
      <c r="AV664" s="1" t="n"/>
      <c r="AW664" s="1" t="n"/>
      <c r="AX664" s="1" t="n"/>
      <c r="AY664" s="1" t="n"/>
      <c r="AZ664" s="1" t="n"/>
      <c r="BA664" s="1" t="n"/>
    </row>
    <row r="665" ht="16.5" customHeight="1" s="220">
      <c r="A665" s="1" t="n"/>
      <c r="B665" s="1" t="n"/>
      <c r="C665" s="2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  <c r="AR665" s="1" t="n"/>
      <c r="AS665" s="1" t="n"/>
      <c r="AT665" s="1" t="n"/>
      <c r="AU665" s="1" t="n"/>
      <c r="AV665" s="1" t="n"/>
      <c r="AW665" s="1" t="n"/>
      <c r="AX665" s="1" t="n"/>
      <c r="AY665" s="1" t="n"/>
      <c r="AZ665" s="1" t="n"/>
      <c r="BA665" s="1" t="n"/>
    </row>
    <row r="666" ht="16.5" customHeight="1" s="220">
      <c r="A666" s="1" t="n"/>
      <c r="B666" s="1" t="n"/>
      <c r="C666" s="2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  <c r="AR666" s="1" t="n"/>
      <c r="AS666" s="1" t="n"/>
      <c r="AT666" s="1" t="n"/>
      <c r="AU666" s="1" t="n"/>
      <c r="AV666" s="1" t="n"/>
      <c r="AW666" s="1" t="n"/>
      <c r="AX666" s="1" t="n"/>
      <c r="AY666" s="1" t="n"/>
      <c r="AZ666" s="1" t="n"/>
      <c r="BA666" s="1" t="n"/>
    </row>
    <row r="667" ht="16.5" customHeight="1" s="220">
      <c r="A667" s="1" t="n"/>
      <c r="B667" s="1" t="n"/>
      <c r="C667" s="2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  <c r="AR667" s="1" t="n"/>
      <c r="AS667" s="1" t="n"/>
      <c r="AT667" s="1" t="n"/>
      <c r="AU667" s="1" t="n"/>
      <c r="AV667" s="1" t="n"/>
      <c r="AW667" s="1" t="n"/>
      <c r="AX667" s="1" t="n"/>
      <c r="AY667" s="1" t="n"/>
      <c r="AZ667" s="1" t="n"/>
      <c r="BA667" s="1" t="n"/>
    </row>
    <row r="668" ht="16.5" customHeight="1" s="220">
      <c r="A668" s="1" t="n"/>
      <c r="B668" s="1" t="n"/>
      <c r="C668" s="2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  <c r="AR668" s="1" t="n"/>
      <c r="AS668" s="1" t="n"/>
      <c r="AT668" s="1" t="n"/>
      <c r="AU668" s="1" t="n"/>
      <c r="AV668" s="1" t="n"/>
      <c r="AW668" s="1" t="n"/>
      <c r="AX668" s="1" t="n"/>
      <c r="AY668" s="1" t="n"/>
      <c r="AZ668" s="1" t="n"/>
      <c r="BA668" s="1" t="n"/>
    </row>
    <row r="669" ht="16.5" customHeight="1" s="220">
      <c r="A669" s="1" t="n"/>
      <c r="B669" s="1" t="n"/>
      <c r="C669" s="2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  <c r="AR669" s="1" t="n"/>
      <c r="AS669" s="1" t="n"/>
      <c r="AT669" s="1" t="n"/>
      <c r="AU669" s="1" t="n"/>
      <c r="AV669" s="1" t="n"/>
      <c r="AW669" s="1" t="n"/>
      <c r="AX669" s="1" t="n"/>
      <c r="AY669" s="1" t="n"/>
      <c r="AZ669" s="1" t="n"/>
      <c r="BA669" s="1" t="n"/>
    </row>
    <row r="670" ht="16.5" customHeight="1" s="220">
      <c r="A670" s="1" t="n"/>
      <c r="B670" s="1" t="n"/>
      <c r="C670" s="2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  <c r="AR670" s="1" t="n"/>
      <c r="AS670" s="1" t="n"/>
      <c r="AT670" s="1" t="n"/>
      <c r="AU670" s="1" t="n"/>
      <c r="AV670" s="1" t="n"/>
      <c r="AW670" s="1" t="n"/>
      <c r="AX670" s="1" t="n"/>
      <c r="AY670" s="1" t="n"/>
      <c r="AZ670" s="1" t="n"/>
      <c r="BA670" s="1" t="n"/>
    </row>
    <row r="671" ht="16.5" customHeight="1" s="220">
      <c r="A671" s="1" t="n"/>
      <c r="B671" s="1" t="n"/>
      <c r="C671" s="2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  <c r="AR671" s="1" t="n"/>
      <c r="AS671" s="1" t="n"/>
      <c r="AT671" s="1" t="n"/>
      <c r="AU671" s="1" t="n"/>
      <c r="AV671" s="1" t="n"/>
      <c r="AW671" s="1" t="n"/>
      <c r="AX671" s="1" t="n"/>
      <c r="AY671" s="1" t="n"/>
      <c r="AZ671" s="1" t="n"/>
      <c r="BA671" s="1" t="n"/>
    </row>
    <row r="672" ht="16.5" customHeight="1" s="220">
      <c r="A672" s="1" t="n"/>
      <c r="B672" s="1" t="n"/>
      <c r="C672" s="2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  <c r="AR672" s="1" t="n"/>
      <c r="AS672" s="1" t="n"/>
      <c r="AT672" s="1" t="n"/>
      <c r="AU672" s="1" t="n"/>
      <c r="AV672" s="1" t="n"/>
      <c r="AW672" s="1" t="n"/>
      <c r="AX672" s="1" t="n"/>
      <c r="AY672" s="1" t="n"/>
      <c r="AZ672" s="1" t="n"/>
      <c r="BA672" s="1" t="n"/>
    </row>
    <row r="673" ht="16.5" customHeight="1" s="220">
      <c r="A673" s="1" t="n"/>
      <c r="B673" s="1" t="n"/>
      <c r="C673" s="2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  <c r="AR673" s="1" t="n"/>
      <c r="AS673" s="1" t="n"/>
      <c r="AT673" s="1" t="n"/>
      <c r="AU673" s="1" t="n"/>
      <c r="AV673" s="1" t="n"/>
      <c r="AW673" s="1" t="n"/>
      <c r="AX673" s="1" t="n"/>
      <c r="AY673" s="1" t="n"/>
      <c r="AZ673" s="1" t="n"/>
      <c r="BA673" s="1" t="n"/>
    </row>
    <row r="674" ht="16.5" customHeight="1" s="220">
      <c r="A674" s="1" t="n"/>
      <c r="B674" s="1" t="n"/>
      <c r="C674" s="2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  <c r="AR674" s="1" t="n"/>
      <c r="AS674" s="1" t="n"/>
      <c r="AT674" s="1" t="n"/>
      <c r="AU674" s="1" t="n"/>
      <c r="AV674" s="1" t="n"/>
      <c r="AW674" s="1" t="n"/>
      <c r="AX674" s="1" t="n"/>
      <c r="AY674" s="1" t="n"/>
      <c r="AZ674" s="1" t="n"/>
      <c r="BA674" s="1" t="n"/>
    </row>
    <row r="675" ht="16.5" customHeight="1" s="220">
      <c r="A675" s="1" t="n"/>
      <c r="B675" s="1" t="n"/>
      <c r="C675" s="2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  <c r="AR675" s="1" t="n"/>
      <c r="AS675" s="1" t="n"/>
      <c r="AT675" s="1" t="n"/>
      <c r="AU675" s="1" t="n"/>
      <c r="AV675" s="1" t="n"/>
      <c r="AW675" s="1" t="n"/>
      <c r="AX675" s="1" t="n"/>
      <c r="AY675" s="1" t="n"/>
      <c r="AZ675" s="1" t="n"/>
      <c r="BA675" s="1" t="n"/>
    </row>
    <row r="676" ht="16.5" customHeight="1" s="220">
      <c r="A676" s="1" t="n"/>
      <c r="B676" s="1" t="n"/>
      <c r="C676" s="2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Q676" s="1" t="n"/>
      <c r="AR676" s="1" t="n"/>
      <c r="AS676" s="1" t="n"/>
      <c r="AT676" s="1" t="n"/>
      <c r="AU676" s="1" t="n"/>
      <c r="AV676" s="1" t="n"/>
      <c r="AW676" s="1" t="n"/>
      <c r="AX676" s="1" t="n"/>
      <c r="AY676" s="1" t="n"/>
      <c r="AZ676" s="1" t="n"/>
      <c r="BA676" s="1" t="n"/>
    </row>
    <row r="677" ht="16.5" customHeight="1" s="220">
      <c r="A677" s="1" t="n"/>
      <c r="B677" s="1" t="n"/>
      <c r="C677" s="2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  <c r="AR677" s="1" t="n"/>
      <c r="AS677" s="1" t="n"/>
      <c r="AT677" s="1" t="n"/>
      <c r="AU677" s="1" t="n"/>
      <c r="AV677" s="1" t="n"/>
      <c r="AW677" s="1" t="n"/>
      <c r="AX677" s="1" t="n"/>
      <c r="AY677" s="1" t="n"/>
      <c r="AZ677" s="1" t="n"/>
      <c r="BA677" s="1" t="n"/>
    </row>
    <row r="678" ht="16.5" customHeight="1" s="220">
      <c r="A678" s="1" t="n"/>
      <c r="B678" s="1" t="n"/>
      <c r="C678" s="2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  <c r="AR678" s="1" t="n"/>
      <c r="AS678" s="1" t="n"/>
      <c r="AT678" s="1" t="n"/>
      <c r="AU678" s="1" t="n"/>
      <c r="AV678" s="1" t="n"/>
      <c r="AW678" s="1" t="n"/>
      <c r="AX678" s="1" t="n"/>
      <c r="AY678" s="1" t="n"/>
      <c r="AZ678" s="1" t="n"/>
      <c r="BA678" s="1" t="n"/>
    </row>
    <row r="679" ht="16.5" customHeight="1" s="220">
      <c r="A679" s="1" t="n"/>
      <c r="B679" s="1" t="n"/>
      <c r="C679" s="2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  <c r="AR679" s="1" t="n"/>
      <c r="AS679" s="1" t="n"/>
      <c r="AT679" s="1" t="n"/>
      <c r="AU679" s="1" t="n"/>
      <c r="AV679" s="1" t="n"/>
      <c r="AW679" s="1" t="n"/>
      <c r="AX679" s="1" t="n"/>
      <c r="AY679" s="1" t="n"/>
      <c r="AZ679" s="1" t="n"/>
      <c r="BA679" s="1" t="n"/>
    </row>
    <row r="680" ht="16.5" customHeight="1" s="220">
      <c r="A680" s="1" t="n"/>
      <c r="B680" s="1" t="n"/>
      <c r="C680" s="2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Q680" s="1" t="n"/>
      <c r="AR680" s="1" t="n"/>
      <c r="AS680" s="1" t="n"/>
      <c r="AT680" s="1" t="n"/>
      <c r="AU680" s="1" t="n"/>
      <c r="AV680" s="1" t="n"/>
      <c r="AW680" s="1" t="n"/>
      <c r="AX680" s="1" t="n"/>
      <c r="AY680" s="1" t="n"/>
      <c r="AZ680" s="1" t="n"/>
      <c r="BA680" s="1" t="n"/>
    </row>
    <row r="681" ht="16.5" customHeight="1" s="220">
      <c r="A681" s="1" t="n"/>
      <c r="B681" s="1" t="n"/>
      <c r="C681" s="2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  <c r="AR681" s="1" t="n"/>
      <c r="AS681" s="1" t="n"/>
      <c r="AT681" s="1" t="n"/>
      <c r="AU681" s="1" t="n"/>
      <c r="AV681" s="1" t="n"/>
      <c r="AW681" s="1" t="n"/>
      <c r="AX681" s="1" t="n"/>
      <c r="AY681" s="1" t="n"/>
      <c r="AZ681" s="1" t="n"/>
      <c r="BA681" s="1" t="n"/>
    </row>
    <row r="682" ht="16.5" customHeight="1" s="220">
      <c r="A682" s="1" t="n"/>
      <c r="B682" s="1" t="n"/>
      <c r="C682" s="2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  <c r="AR682" s="1" t="n"/>
      <c r="AS682" s="1" t="n"/>
      <c r="AT682" s="1" t="n"/>
      <c r="AU682" s="1" t="n"/>
      <c r="AV682" s="1" t="n"/>
      <c r="AW682" s="1" t="n"/>
      <c r="AX682" s="1" t="n"/>
      <c r="AY682" s="1" t="n"/>
      <c r="AZ682" s="1" t="n"/>
      <c r="BA682" s="1" t="n"/>
    </row>
    <row r="683" ht="16.5" customHeight="1" s="220">
      <c r="A683" s="1" t="n"/>
      <c r="B683" s="1" t="n"/>
      <c r="C683" s="2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  <c r="AR683" s="1" t="n"/>
      <c r="AS683" s="1" t="n"/>
      <c r="AT683" s="1" t="n"/>
      <c r="AU683" s="1" t="n"/>
      <c r="AV683" s="1" t="n"/>
      <c r="AW683" s="1" t="n"/>
      <c r="AX683" s="1" t="n"/>
      <c r="AY683" s="1" t="n"/>
      <c r="AZ683" s="1" t="n"/>
      <c r="BA683" s="1" t="n"/>
    </row>
    <row r="684" ht="16.5" customHeight="1" s="220">
      <c r="A684" s="1" t="n"/>
      <c r="B684" s="1" t="n"/>
      <c r="C684" s="2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  <c r="AR684" s="1" t="n"/>
      <c r="AS684" s="1" t="n"/>
      <c r="AT684" s="1" t="n"/>
      <c r="AU684" s="1" t="n"/>
      <c r="AV684" s="1" t="n"/>
      <c r="AW684" s="1" t="n"/>
      <c r="AX684" s="1" t="n"/>
      <c r="AY684" s="1" t="n"/>
      <c r="AZ684" s="1" t="n"/>
      <c r="BA684" s="1" t="n"/>
    </row>
    <row r="685" ht="16.5" customHeight="1" s="220">
      <c r="A685" s="1" t="n"/>
      <c r="B685" s="1" t="n"/>
      <c r="C685" s="2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  <c r="AR685" s="1" t="n"/>
      <c r="AS685" s="1" t="n"/>
      <c r="AT685" s="1" t="n"/>
      <c r="AU685" s="1" t="n"/>
      <c r="AV685" s="1" t="n"/>
      <c r="AW685" s="1" t="n"/>
      <c r="AX685" s="1" t="n"/>
      <c r="AY685" s="1" t="n"/>
      <c r="AZ685" s="1" t="n"/>
      <c r="BA685" s="1" t="n"/>
    </row>
    <row r="686" ht="16.5" customHeight="1" s="220">
      <c r="A686" s="1" t="n"/>
      <c r="B686" s="1" t="n"/>
      <c r="C686" s="2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  <c r="AR686" s="1" t="n"/>
      <c r="AS686" s="1" t="n"/>
      <c r="AT686" s="1" t="n"/>
      <c r="AU686" s="1" t="n"/>
      <c r="AV686" s="1" t="n"/>
      <c r="AW686" s="1" t="n"/>
      <c r="AX686" s="1" t="n"/>
      <c r="AY686" s="1" t="n"/>
      <c r="AZ686" s="1" t="n"/>
      <c r="BA686" s="1" t="n"/>
    </row>
    <row r="687" ht="16.5" customHeight="1" s="220">
      <c r="A687" s="1" t="n"/>
      <c r="B687" s="1" t="n"/>
      <c r="C687" s="2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  <c r="AR687" s="1" t="n"/>
      <c r="AS687" s="1" t="n"/>
      <c r="AT687" s="1" t="n"/>
      <c r="AU687" s="1" t="n"/>
      <c r="AV687" s="1" t="n"/>
      <c r="AW687" s="1" t="n"/>
      <c r="AX687" s="1" t="n"/>
      <c r="AY687" s="1" t="n"/>
      <c r="AZ687" s="1" t="n"/>
      <c r="BA687" s="1" t="n"/>
    </row>
    <row r="688" ht="16.5" customHeight="1" s="220">
      <c r="A688" s="1" t="n"/>
      <c r="B688" s="1" t="n"/>
      <c r="C688" s="2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  <c r="AR688" s="1" t="n"/>
      <c r="AS688" s="1" t="n"/>
      <c r="AT688" s="1" t="n"/>
      <c r="AU688" s="1" t="n"/>
      <c r="AV688" s="1" t="n"/>
      <c r="AW688" s="1" t="n"/>
      <c r="AX688" s="1" t="n"/>
      <c r="AY688" s="1" t="n"/>
      <c r="AZ688" s="1" t="n"/>
      <c r="BA688" s="1" t="n"/>
    </row>
    <row r="689" ht="16.5" customHeight="1" s="220">
      <c r="A689" s="1" t="n"/>
      <c r="B689" s="1" t="n"/>
      <c r="C689" s="2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  <c r="AR689" s="1" t="n"/>
      <c r="AS689" s="1" t="n"/>
      <c r="AT689" s="1" t="n"/>
      <c r="AU689" s="1" t="n"/>
      <c r="AV689" s="1" t="n"/>
      <c r="AW689" s="1" t="n"/>
      <c r="AX689" s="1" t="n"/>
      <c r="AY689" s="1" t="n"/>
      <c r="AZ689" s="1" t="n"/>
      <c r="BA689" s="1" t="n"/>
    </row>
    <row r="690" ht="16.5" customHeight="1" s="220">
      <c r="A690" s="1" t="n"/>
      <c r="B690" s="1" t="n"/>
      <c r="C690" s="2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  <c r="AR690" s="1" t="n"/>
      <c r="AS690" s="1" t="n"/>
      <c r="AT690" s="1" t="n"/>
      <c r="AU690" s="1" t="n"/>
      <c r="AV690" s="1" t="n"/>
      <c r="AW690" s="1" t="n"/>
      <c r="AX690" s="1" t="n"/>
      <c r="AY690" s="1" t="n"/>
      <c r="AZ690" s="1" t="n"/>
      <c r="BA690" s="1" t="n"/>
    </row>
    <row r="691" ht="16.5" customHeight="1" s="220">
      <c r="A691" s="1" t="n"/>
      <c r="B691" s="1" t="n"/>
      <c r="C691" s="2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  <c r="AR691" s="1" t="n"/>
      <c r="AS691" s="1" t="n"/>
      <c r="AT691" s="1" t="n"/>
      <c r="AU691" s="1" t="n"/>
      <c r="AV691" s="1" t="n"/>
      <c r="AW691" s="1" t="n"/>
      <c r="AX691" s="1" t="n"/>
      <c r="AY691" s="1" t="n"/>
      <c r="AZ691" s="1" t="n"/>
      <c r="BA691" s="1" t="n"/>
    </row>
    <row r="692" ht="16.5" customHeight="1" s="220">
      <c r="A692" s="1" t="n"/>
      <c r="B692" s="1" t="n"/>
      <c r="C692" s="2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  <c r="AR692" s="1" t="n"/>
      <c r="AS692" s="1" t="n"/>
      <c r="AT692" s="1" t="n"/>
      <c r="AU692" s="1" t="n"/>
      <c r="AV692" s="1" t="n"/>
      <c r="AW692" s="1" t="n"/>
      <c r="AX692" s="1" t="n"/>
      <c r="AY692" s="1" t="n"/>
      <c r="AZ692" s="1" t="n"/>
      <c r="BA692" s="1" t="n"/>
    </row>
    <row r="693" ht="16.5" customHeight="1" s="220">
      <c r="A693" s="1" t="n"/>
      <c r="B693" s="1" t="n"/>
      <c r="C693" s="2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  <c r="AR693" s="1" t="n"/>
      <c r="AS693" s="1" t="n"/>
      <c r="AT693" s="1" t="n"/>
      <c r="AU693" s="1" t="n"/>
      <c r="AV693" s="1" t="n"/>
      <c r="AW693" s="1" t="n"/>
      <c r="AX693" s="1" t="n"/>
      <c r="AY693" s="1" t="n"/>
      <c r="AZ693" s="1" t="n"/>
      <c r="BA693" s="1" t="n"/>
    </row>
    <row r="694" ht="16.5" customHeight="1" s="220">
      <c r="A694" s="1" t="n"/>
      <c r="B694" s="1" t="n"/>
      <c r="C694" s="2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  <c r="AR694" s="1" t="n"/>
      <c r="AS694" s="1" t="n"/>
      <c r="AT694" s="1" t="n"/>
      <c r="AU694" s="1" t="n"/>
      <c r="AV694" s="1" t="n"/>
      <c r="AW694" s="1" t="n"/>
      <c r="AX694" s="1" t="n"/>
      <c r="AY694" s="1" t="n"/>
      <c r="AZ694" s="1" t="n"/>
      <c r="BA694" s="1" t="n"/>
    </row>
    <row r="695" ht="16.5" customHeight="1" s="220">
      <c r="A695" s="1" t="n"/>
      <c r="B695" s="1" t="n"/>
      <c r="C695" s="2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  <c r="AR695" s="1" t="n"/>
      <c r="AS695" s="1" t="n"/>
      <c r="AT695" s="1" t="n"/>
      <c r="AU695" s="1" t="n"/>
      <c r="AV695" s="1" t="n"/>
      <c r="AW695" s="1" t="n"/>
      <c r="AX695" s="1" t="n"/>
      <c r="AY695" s="1" t="n"/>
      <c r="AZ695" s="1" t="n"/>
      <c r="BA695" s="1" t="n"/>
    </row>
    <row r="696" ht="16.5" customHeight="1" s="220">
      <c r="A696" s="1" t="n"/>
      <c r="B696" s="1" t="n"/>
      <c r="C696" s="2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  <c r="AR696" s="1" t="n"/>
      <c r="AS696" s="1" t="n"/>
      <c r="AT696" s="1" t="n"/>
      <c r="AU696" s="1" t="n"/>
      <c r="AV696" s="1" t="n"/>
      <c r="AW696" s="1" t="n"/>
      <c r="AX696" s="1" t="n"/>
      <c r="AY696" s="1" t="n"/>
      <c r="AZ696" s="1" t="n"/>
      <c r="BA696" s="1" t="n"/>
    </row>
    <row r="697" ht="16.5" customHeight="1" s="220">
      <c r="A697" s="1" t="n"/>
      <c r="B697" s="1" t="n"/>
      <c r="C697" s="2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  <c r="AR697" s="1" t="n"/>
      <c r="AS697" s="1" t="n"/>
      <c r="AT697" s="1" t="n"/>
      <c r="AU697" s="1" t="n"/>
      <c r="AV697" s="1" t="n"/>
      <c r="AW697" s="1" t="n"/>
      <c r="AX697" s="1" t="n"/>
      <c r="AY697" s="1" t="n"/>
      <c r="AZ697" s="1" t="n"/>
      <c r="BA697" s="1" t="n"/>
    </row>
    <row r="698" ht="16.5" customHeight="1" s="220">
      <c r="A698" s="1" t="n"/>
      <c r="B698" s="1" t="n"/>
      <c r="C698" s="2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Q698" s="1" t="n"/>
      <c r="AR698" s="1" t="n"/>
      <c r="AS698" s="1" t="n"/>
      <c r="AT698" s="1" t="n"/>
      <c r="AU698" s="1" t="n"/>
      <c r="AV698" s="1" t="n"/>
      <c r="AW698" s="1" t="n"/>
      <c r="AX698" s="1" t="n"/>
      <c r="AY698" s="1" t="n"/>
      <c r="AZ698" s="1" t="n"/>
      <c r="BA698" s="1" t="n"/>
    </row>
    <row r="699" ht="16.5" customHeight="1" s="220">
      <c r="A699" s="1" t="n"/>
      <c r="B699" s="1" t="n"/>
      <c r="C699" s="2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  <c r="AR699" s="1" t="n"/>
      <c r="AS699" s="1" t="n"/>
      <c r="AT699" s="1" t="n"/>
      <c r="AU699" s="1" t="n"/>
      <c r="AV699" s="1" t="n"/>
      <c r="AW699" s="1" t="n"/>
      <c r="AX699" s="1" t="n"/>
      <c r="AY699" s="1" t="n"/>
      <c r="AZ699" s="1" t="n"/>
      <c r="BA699" s="1" t="n"/>
    </row>
    <row r="700" ht="16.5" customHeight="1" s="220">
      <c r="A700" s="1" t="n"/>
      <c r="B700" s="1" t="n"/>
      <c r="C700" s="2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Q700" s="1" t="n"/>
      <c r="AR700" s="1" t="n"/>
      <c r="AS700" s="1" t="n"/>
      <c r="AT700" s="1" t="n"/>
      <c r="AU700" s="1" t="n"/>
      <c r="AV700" s="1" t="n"/>
      <c r="AW700" s="1" t="n"/>
      <c r="AX700" s="1" t="n"/>
      <c r="AY700" s="1" t="n"/>
      <c r="AZ700" s="1" t="n"/>
      <c r="BA700" s="1" t="n"/>
    </row>
    <row r="701" ht="16.5" customHeight="1" s="220">
      <c r="A701" s="1" t="n"/>
      <c r="B701" s="1" t="n"/>
      <c r="C701" s="2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  <c r="AR701" s="1" t="n"/>
      <c r="AS701" s="1" t="n"/>
      <c r="AT701" s="1" t="n"/>
      <c r="AU701" s="1" t="n"/>
      <c r="AV701" s="1" t="n"/>
      <c r="AW701" s="1" t="n"/>
      <c r="AX701" s="1" t="n"/>
      <c r="AY701" s="1" t="n"/>
      <c r="AZ701" s="1" t="n"/>
      <c r="BA701" s="1" t="n"/>
    </row>
    <row r="702" ht="16.5" customHeight="1" s="220">
      <c r="A702" s="1" t="n"/>
      <c r="B702" s="1" t="n"/>
      <c r="C702" s="2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  <c r="AR702" s="1" t="n"/>
      <c r="AS702" s="1" t="n"/>
      <c r="AT702" s="1" t="n"/>
      <c r="AU702" s="1" t="n"/>
      <c r="AV702" s="1" t="n"/>
      <c r="AW702" s="1" t="n"/>
      <c r="AX702" s="1" t="n"/>
      <c r="AY702" s="1" t="n"/>
      <c r="AZ702" s="1" t="n"/>
      <c r="BA702" s="1" t="n"/>
    </row>
    <row r="703" ht="16.5" customHeight="1" s="220">
      <c r="A703" s="1" t="n"/>
      <c r="B703" s="1" t="n"/>
      <c r="C703" s="2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  <c r="AR703" s="1" t="n"/>
      <c r="AS703" s="1" t="n"/>
      <c r="AT703" s="1" t="n"/>
      <c r="AU703" s="1" t="n"/>
      <c r="AV703" s="1" t="n"/>
      <c r="AW703" s="1" t="n"/>
      <c r="AX703" s="1" t="n"/>
      <c r="AY703" s="1" t="n"/>
      <c r="AZ703" s="1" t="n"/>
      <c r="BA703" s="1" t="n"/>
    </row>
    <row r="704" ht="16.5" customHeight="1" s="220">
      <c r="A704" s="1" t="n"/>
      <c r="B704" s="1" t="n"/>
      <c r="C704" s="2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  <c r="AR704" s="1" t="n"/>
      <c r="AS704" s="1" t="n"/>
      <c r="AT704" s="1" t="n"/>
      <c r="AU704" s="1" t="n"/>
      <c r="AV704" s="1" t="n"/>
      <c r="AW704" s="1" t="n"/>
      <c r="AX704" s="1" t="n"/>
      <c r="AY704" s="1" t="n"/>
      <c r="AZ704" s="1" t="n"/>
      <c r="BA704" s="1" t="n"/>
    </row>
    <row r="705" ht="16.5" customHeight="1" s="220">
      <c r="A705" s="1" t="n"/>
      <c r="B705" s="1" t="n"/>
      <c r="C705" s="2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  <c r="AR705" s="1" t="n"/>
      <c r="AS705" s="1" t="n"/>
      <c r="AT705" s="1" t="n"/>
      <c r="AU705" s="1" t="n"/>
      <c r="AV705" s="1" t="n"/>
      <c r="AW705" s="1" t="n"/>
      <c r="AX705" s="1" t="n"/>
      <c r="AY705" s="1" t="n"/>
      <c r="AZ705" s="1" t="n"/>
      <c r="BA705" s="1" t="n"/>
    </row>
    <row r="706" ht="16.5" customHeight="1" s="220">
      <c r="A706" s="1" t="n"/>
      <c r="B706" s="1" t="n"/>
      <c r="C706" s="2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Q706" s="1" t="n"/>
      <c r="AR706" s="1" t="n"/>
      <c r="AS706" s="1" t="n"/>
      <c r="AT706" s="1" t="n"/>
      <c r="AU706" s="1" t="n"/>
      <c r="AV706" s="1" t="n"/>
      <c r="AW706" s="1" t="n"/>
      <c r="AX706" s="1" t="n"/>
      <c r="AY706" s="1" t="n"/>
      <c r="AZ706" s="1" t="n"/>
      <c r="BA706" s="1" t="n"/>
    </row>
    <row r="707" ht="16.5" customHeight="1" s="220">
      <c r="A707" s="1" t="n"/>
      <c r="B707" s="1" t="n"/>
      <c r="C707" s="2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  <c r="AR707" s="1" t="n"/>
      <c r="AS707" s="1" t="n"/>
      <c r="AT707" s="1" t="n"/>
      <c r="AU707" s="1" t="n"/>
      <c r="AV707" s="1" t="n"/>
      <c r="AW707" s="1" t="n"/>
      <c r="AX707" s="1" t="n"/>
      <c r="AY707" s="1" t="n"/>
      <c r="AZ707" s="1" t="n"/>
      <c r="BA707" s="1" t="n"/>
    </row>
    <row r="708" ht="16.5" customHeight="1" s="220">
      <c r="A708" s="1" t="n"/>
      <c r="B708" s="1" t="n"/>
      <c r="C708" s="2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  <c r="AR708" s="1" t="n"/>
      <c r="AS708" s="1" t="n"/>
      <c r="AT708" s="1" t="n"/>
      <c r="AU708" s="1" t="n"/>
      <c r="AV708" s="1" t="n"/>
      <c r="AW708" s="1" t="n"/>
      <c r="AX708" s="1" t="n"/>
      <c r="AY708" s="1" t="n"/>
      <c r="AZ708" s="1" t="n"/>
      <c r="BA708" s="1" t="n"/>
    </row>
    <row r="709" ht="16.5" customHeight="1" s="220">
      <c r="A709" s="1" t="n"/>
      <c r="B709" s="1" t="n"/>
      <c r="C709" s="2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  <c r="AR709" s="1" t="n"/>
      <c r="AS709" s="1" t="n"/>
      <c r="AT709" s="1" t="n"/>
      <c r="AU709" s="1" t="n"/>
      <c r="AV709" s="1" t="n"/>
      <c r="AW709" s="1" t="n"/>
      <c r="AX709" s="1" t="n"/>
      <c r="AY709" s="1" t="n"/>
      <c r="AZ709" s="1" t="n"/>
      <c r="BA709" s="1" t="n"/>
    </row>
    <row r="710" ht="16.5" customHeight="1" s="220">
      <c r="A710" s="1" t="n"/>
      <c r="B710" s="1" t="n"/>
      <c r="C710" s="2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  <c r="AR710" s="1" t="n"/>
      <c r="AS710" s="1" t="n"/>
      <c r="AT710" s="1" t="n"/>
      <c r="AU710" s="1" t="n"/>
      <c r="AV710" s="1" t="n"/>
      <c r="AW710" s="1" t="n"/>
      <c r="AX710" s="1" t="n"/>
      <c r="AY710" s="1" t="n"/>
      <c r="AZ710" s="1" t="n"/>
      <c r="BA710" s="1" t="n"/>
    </row>
    <row r="711" ht="16.5" customHeight="1" s="220">
      <c r="A711" s="1" t="n"/>
      <c r="B711" s="1" t="n"/>
      <c r="C711" s="2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  <c r="AR711" s="1" t="n"/>
      <c r="AS711" s="1" t="n"/>
      <c r="AT711" s="1" t="n"/>
      <c r="AU711" s="1" t="n"/>
      <c r="AV711" s="1" t="n"/>
      <c r="AW711" s="1" t="n"/>
      <c r="AX711" s="1" t="n"/>
      <c r="AY711" s="1" t="n"/>
      <c r="AZ711" s="1" t="n"/>
      <c r="BA711" s="1" t="n"/>
    </row>
    <row r="712" ht="16.5" customHeight="1" s="220">
      <c r="A712" s="1" t="n"/>
      <c r="B712" s="1" t="n"/>
      <c r="C712" s="2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  <c r="AR712" s="1" t="n"/>
      <c r="AS712" s="1" t="n"/>
      <c r="AT712" s="1" t="n"/>
      <c r="AU712" s="1" t="n"/>
      <c r="AV712" s="1" t="n"/>
      <c r="AW712" s="1" t="n"/>
      <c r="AX712" s="1" t="n"/>
      <c r="AY712" s="1" t="n"/>
      <c r="AZ712" s="1" t="n"/>
      <c r="BA712" s="1" t="n"/>
    </row>
    <row r="713" ht="16.5" customHeight="1" s="220">
      <c r="A713" s="1" t="n"/>
      <c r="B713" s="1" t="n"/>
      <c r="C713" s="2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  <c r="AR713" s="1" t="n"/>
      <c r="AS713" s="1" t="n"/>
      <c r="AT713" s="1" t="n"/>
      <c r="AU713" s="1" t="n"/>
      <c r="AV713" s="1" t="n"/>
      <c r="AW713" s="1" t="n"/>
      <c r="AX713" s="1" t="n"/>
      <c r="AY713" s="1" t="n"/>
      <c r="AZ713" s="1" t="n"/>
      <c r="BA713" s="1" t="n"/>
    </row>
    <row r="714" ht="16.5" customHeight="1" s="220">
      <c r="A714" s="1" t="n"/>
      <c r="B714" s="1" t="n"/>
      <c r="C714" s="2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  <c r="AR714" s="1" t="n"/>
      <c r="AS714" s="1" t="n"/>
      <c r="AT714" s="1" t="n"/>
      <c r="AU714" s="1" t="n"/>
      <c r="AV714" s="1" t="n"/>
      <c r="AW714" s="1" t="n"/>
      <c r="AX714" s="1" t="n"/>
      <c r="AY714" s="1" t="n"/>
      <c r="AZ714" s="1" t="n"/>
      <c r="BA714" s="1" t="n"/>
    </row>
    <row r="715" ht="16.5" customHeight="1" s="220">
      <c r="A715" s="1" t="n"/>
      <c r="B715" s="1" t="n"/>
      <c r="C715" s="2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  <c r="AR715" s="1" t="n"/>
      <c r="AS715" s="1" t="n"/>
      <c r="AT715" s="1" t="n"/>
      <c r="AU715" s="1" t="n"/>
      <c r="AV715" s="1" t="n"/>
      <c r="AW715" s="1" t="n"/>
      <c r="AX715" s="1" t="n"/>
      <c r="AY715" s="1" t="n"/>
      <c r="AZ715" s="1" t="n"/>
      <c r="BA715" s="1" t="n"/>
    </row>
    <row r="716" ht="16.5" customHeight="1" s="220">
      <c r="A716" s="1" t="n"/>
      <c r="B716" s="1" t="n"/>
      <c r="C716" s="2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  <c r="AR716" s="1" t="n"/>
      <c r="AS716" s="1" t="n"/>
      <c r="AT716" s="1" t="n"/>
      <c r="AU716" s="1" t="n"/>
      <c r="AV716" s="1" t="n"/>
      <c r="AW716" s="1" t="n"/>
      <c r="AX716" s="1" t="n"/>
      <c r="AY716" s="1" t="n"/>
      <c r="AZ716" s="1" t="n"/>
      <c r="BA716" s="1" t="n"/>
    </row>
    <row r="717" ht="16.5" customHeight="1" s="220">
      <c r="A717" s="1" t="n"/>
      <c r="B717" s="1" t="n"/>
      <c r="C717" s="2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  <c r="AR717" s="1" t="n"/>
      <c r="AS717" s="1" t="n"/>
      <c r="AT717" s="1" t="n"/>
      <c r="AU717" s="1" t="n"/>
      <c r="AV717" s="1" t="n"/>
      <c r="AW717" s="1" t="n"/>
      <c r="AX717" s="1" t="n"/>
      <c r="AY717" s="1" t="n"/>
      <c r="AZ717" s="1" t="n"/>
      <c r="BA717" s="1" t="n"/>
    </row>
    <row r="718" ht="16.5" customHeight="1" s="220">
      <c r="A718" s="1" t="n"/>
      <c r="B718" s="1" t="n"/>
      <c r="C718" s="2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  <c r="AR718" s="1" t="n"/>
      <c r="AS718" s="1" t="n"/>
      <c r="AT718" s="1" t="n"/>
      <c r="AU718" s="1" t="n"/>
      <c r="AV718" s="1" t="n"/>
      <c r="AW718" s="1" t="n"/>
      <c r="AX718" s="1" t="n"/>
      <c r="AY718" s="1" t="n"/>
      <c r="AZ718" s="1" t="n"/>
      <c r="BA718" s="1" t="n"/>
    </row>
    <row r="719" ht="16.5" customHeight="1" s="220">
      <c r="A719" s="1" t="n"/>
      <c r="B719" s="1" t="n"/>
      <c r="C719" s="2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  <c r="AR719" s="1" t="n"/>
      <c r="AS719" s="1" t="n"/>
      <c r="AT719" s="1" t="n"/>
      <c r="AU719" s="1" t="n"/>
      <c r="AV719" s="1" t="n"/>
      <c r="AW719" s="1" t="n"/>
      <c r="AX719" s="1" t="n"/>
      <c r="AY719" s="1" t="n"/>
      <c r="AZ719" s="1" t="n"/>
      <c r="BA719" s="1" t="n"/>
    </row>
    <row r="720" ht="16.5" customHeight="1" s="220">
      <c r="A720" s="1" t="n"/>
      <c r="B720" s="1" t="n"/>
      <c r="C720" s="2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  <c r="AR720" s="1" t="n"/>
      <c r="AS720" s="1" t="n"/>
      <c r="AT720" s="1" t="n"/>
      <c r="AU720" s="1" t="n"/>
      <c r="AV720" s="1" t="n"/>
      <c r="AW720" s="1" t="n"/>
      <c r="AX720" s="1" t="n"/>
      <c r="AY720" s="1" t="n"/>
      <c r="AZ720" s="1" t="n"/>
      <c r="BA720" s="1" t="n"/>
    </row>
    <row r="721" ht="16.5" customHeight="1" s="220">
      <c r="A721" s="1" t="n"/>
      <c r="B721" s="1" t="n"/>
      <c r="C721" s="2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  <c r="AR721" s="1" t="n"/>
      <c r="AS721" s="1" t="n"/>
      <c r="AT721" s="1" t="n"/>
      <c r="AU721" s="1" t="n"/>
      <c r="AV721" s="1" t="n"/>
      <c r="AW721" s="1" t="n"/>
      <c r="AX721" s="1" t="n"/>
      <c r="AY721" s="1" t="n"/>
      <c r="AZ721" s="1" t="n"/>
      <c r="BA721" s="1" t="n"/>
    </row>
    <row r="722" ht="16.5" customHeight="1" s="220">
      <c r="A722" s="1" t="n"/>
      <c r="B722" s="1" t="n"/>
      <c r="C722" s="2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  <c r="AR722" s="1" t="n"/>
      <c r="AS722" s="1" t="n"/>
      <c r="AT722" s="1" t="n"/>
      <c r="AU722" s="1" t="n"/>
      <c r="AV722" s="1" t="n"/>
      <c r="AW722" s="1" t="n"/>
      <c r="AX722" s="1" t="n"/>
      <c r="AY722" s="1" t="n"/>
      <c r="AZ722" s="1" t="n"/>
      <c r="BA722" s="1" t="n"/>
    </row>
    <row r="723" ht="16.5" customHeight="1" s="220">
      <c r="A723" s="1" t="n"/>
      <c r="B723" s="1" t="n"/>
      <c r="C723" s="2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  <c r="AR723" s="1" t="n"/>
      <c r="AS723" s="1" t="n"/>
      <c r="AT723" s="1" t="n"/>
      <c r="AU723" s="1" t="n"/>
      <c r="AV723" s="1" t="n"/>
      <c r="AW723" s="1" t="n"/>
      <c r="AX723" s="1" t="n"/>
      <c r="AY723" s="1" t="n"/>
      <c r="AZ723" s="1" t="n"/>
      <c r="BA723" s="1" t="n"/>
    </row>
    <row r="724" ht="16.5" customHeight="1" s="220">
      <c r="A724" s="1" t="n"/>
      <c r="B724" s="1" t="n"/>
      <c r="C724" s="2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  <c r="AR724" s="1" t="n"/>
      <c r="AS724" s="1" t="n"/>
      <c r="AT724" s="1" t="n"/>
      <c r="AU724" s="1" t="n"/>
      <c r="AV724" s="1" t="n"/>
      <c r="AW724" s="1" t="n"/>
      <c r="AX724" s="1" t="n"/>
      <c r="AY724" s="1" t="n"/>
      <c r="AZ724" s="1" t="n"/>
      <c r="BA724" s="1" t="n"/>
    </row>
    <row r="725" ht="16.5" customHeight="1" s="220">
      <c r="A725" s="1" t="n"/>
      <c r="B725" s="1" t="n"/>
      <c r="C725" s="2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  <c r="AR725" s="1" t="n"/>
      <c r="AS725" s="1" t="n"/>
      <c r="AT725" s="1" t="n"/>
      <c r="AU725" s="1" t="n"/>
      <c r="AV725" s="1" t="n"/>
      <c r="AW725" s="1" t="n"/>
      <c r="AX725" s="1" t="n"/>
      <c r="AY725" s="1" t="n"/>
      <c r="AZ725" s="1" t="n"/>
      <c r="BA725" s="1" t="n"/>
    </row>
    <row r="726" ht="16.5" customHeight="1" s="220">
      <c r="A726" s="1" t="n"/>
      <c r="B726" s="1" t="n"/>
      <c r="C726" s="2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  <c r="AR726" s="1" t="n"/>
      <c r="AS726" s="1" t="n"/>
      <c r="AT726" s="1" t="n"/>
      <c r="AU726" s="1" t="n"/>
      <c r="AV726" s="1" t="n"/>
      <c r="AW726" s="1" t="n"/>
      <c r="AX726" s="1" t="n"/>
      <c r="AY726" s="1" t="n"/>
      <c r="AZ726" s="1" t="n"/>
      <c r="BA726" s="1" t="n"/>
    </row>
    <row r="727" ht="16.5" customHeight="1" s="220">
      <c r="A727" s="1" t="n"/>
      <c r="B727" s="1" t="n"/>
      <c r="C727" s="2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  <c r="AR727" s="1" t="n"/>
      <c r="AS727" s="1" t="n"/>
      <c r="AT727" s="1" t="n"/>
      <c r="AU727" s="1" t="n"/>
      <c r="AV727" s="1" t="n"/>
      <c r="AW727" s="1" t="n"/>
      <c r="AX727" s="1" t="n"/>
      <c r="AY727" s="1" t="n"/>
      <c r="AZ727" s="1" t="n"/>
      <c r="BA727" s="1" t="n"/>
    </row>
    <row r="728" ht="16.5" customHeight="1" s="220">
      <c r="A728" s="1" t="n"/>
      <c r="B728" s="1" t="n"/>
      <c r="C728" s="2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  <c r="AR728" s="1" t="n"/>
      <c r="AS728" s="1" t="n"/>
      <c r="AT728" s="1" t="n"/>
      <c r="AU728" s="1" t="n"/>
      <c r="AV728" s="1" t="n"/>
      <c r="AW728" s="1" t="n"/>
      <c r="AX728" s="1" t="n"/>
      <c r="AY728" s="1" t="n"/>
      <c r="AZ728" s="1" t="n"/>
      <c r="BA728" s="1" t="n"/>
    </row>
    <row r="729" ht="16.5" customHeight="1" s="220">
      <c r="A729" s="1" t="n"/>
      <c r="B729" s="1" t="n"/>
      <c r="C729" s="2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  <c r="AR729" s="1" t="n"/>
      <c r="AS729" s="1" t="n"/>
      <c r="AT729" s="1" t="n"/>
      <c r="AU729" s="1" t="n"/>
      <c r="AV729" s="1" t="n"/>
      <c r="AW729" s="1" t="n"/>
      <c r="AX729" s="1" t="n"/>
      <c r="AY729" s="1" t="n"/>
      <c r="AZ729" s="1" t="n"/>
      <c r="BA729" s="1" t="n"/>
    </row>
    <row r="730" ht="16.5" customHeight="1" s="220">
      <c r="A730" s="1" t="n"/>
      <c r="B730" s="1" t="n"/>
      <c r="C730" s="2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  <c r="AR730" s="1" t="n"/>
      <c r="AS730" s="1" t="n"/>
      <c r="AT730" s="1" t="n"/>
      <c r="AU730" s="1" t="n"/>
      <c r="AV730" s="1" t="n"/>
      <c r="AW730" s="1" t="n"/>
      <c r="AX730" s="1" t="n"/>
      <c r="AY730" s="1" t="n"/>
      <c r="AZ730" s="1" t="n"/>
      <c r="BA730" s="1" t="n"/>
    </row>
    <row r="731" ht="16.5" customHeight="1" s="220">
      <c r="A731" s="1" t="n"/>
      <c r="B731" s="1" t="n"/>
      <c r="C731" s="2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  <c r="AR731" s="1" t="n"/>
      <c r="AS731" s="1" t="n"/>
      <c r="AT731" s="1" t="n"/>
      <c r="AU731" s="1" t="n"/>
      <c r="AV731" s="1" t="n"/>
      <c r="AW731" s="1" t="n"/>
      <c r="AX731" s="1" t="n"/>
      <c r="AY731" s="1" t="n"/>
      <c r="AZ731" s="1" t="n"/>
      <c r="BA731" s="1" t="n"/>
    </row>
    <row r="732" ht="16.5" customHeight="1" s="220">
      <c r="A732" s="1" t="n"/>
      <c r="B732" s="1" t="n"/>
      <c r="C732" s="2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Q732" s="1" t="n"/>
      <c r="AR732" s="1" t="n"/>
      <c r="AS732" s="1" t="n"/>
      <c r="AT732" s="1" t="n"/>
      <c r="AU732" s="1" t="n"/>
      <c r="AV732" s="1" t="n"/>
      <c r="AW732" s="1" t="n"/>
      <c r="AX732" s="1" t="n"/>
      <c r="AY732" s="1" t="n"/>
      <c r="AZ732" s="1" t="n"/>
      <c r="BA732" s="1" t="n"/>
    </row>
    <row r="733" ht="16.5" customHeight="1" s="220">
      <c r="A733" s="1" t="n"/>
      <c r="B733" s="1" t="n"/>
      <c r="C733" s="2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  <c r="AR733" s="1" t="n"/>
      <c r="AS733" s="1" t="n"/>
      <c r="AT733" s="1" t="n"/>
      <c r="AU733" s="1" t="n"/>
      <c r="AV733" s="1" t="n"/>
      <c r="AW733" s="1" t="n"/>
      <c r="AX733" s="1" t="n"/>
      <c r="AY733" s="1" t="n"/>
      <c r="AZ733" s="1" t="n"/>
      <c r="BA733" s="1" t="n"/>
    </row>
    <row r="734" ht="16.5" customHeight="1" s="220">
      <c r="A734" s="1" t="n"/>
      <c r="B734" s="1" t="n"/>
      <c r="C734" s="2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  <c r="AR734" s="1" t="n"/>
      <c r="AS734" s="1" t="n"/>
      <c r="AT734" s="1" t="n"/>
      <c r="AU734" s="1" t="n"/>
      <c r="AV734" s="1" t="n"/>
      <c r="AW734" s="1" t="n"/>
      <c r="AX734" s="1" t="n"/>
      <c r="AY734" s="1" t="n"/>
      <c r="AZ734" s="1" t="n"/>
      <c r="BA734" s="1" t="n"/>
    </row>
    <row r="735" ht="16.5" customHeight="1" s="220">
      <c r="A735" s="1" t="n"/>
      <c r="B735" s="1" t="n"/>
      <c r="C735" s="2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  <c r="AR735" s="1" t="n"/>
      <c r="AS735" s="1" t="n"/>
      <c r="AT735" s="1" t="n"/>
      <c r="AU735" s="1" t="n"/>
      <c r="AV735" s="1" t="n"/>
      <c r="AW735" s="1" t="n"/>
      <c r="AX735" s="1" t="n"/>
      <c r="AY735" s="1" t="n"/>
      <c r="AZ735" s="1" t="n"/>
      <c r="BA735" s="1" t="n"/>
    </row>
    <row r="736" ht="16.5" customHeight="1" s="220">
      <c r="A736" s="1" t="n"/>
      <c r="B736" s="1" t="n"/>
      <c r="C736" s="2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  <c r="AR736" s="1" t="n"/>
      <c r="AS736" s="1" t="n"/>
      <c r="AT736" s="1" t="n"/>
      <c r="AU736" s="1" t="n"/>
      <c r="AV736" s="1" t="n"/>
      <c r="AW736" s="1" t="n"/>
      <c r="AX736" s="1" t="n"/>
      <c r="AY736" s="1" t="n"/>
      <c r="AZ736" s="1" t="n"/>
      <c r="BA736" s="1" t="n"/>
    </row>
    <row r="737" ht="16.5" customHeight="1" s="220">
      <c r="A737" s="1" t="n"/>
      <c r="B737" s="1" t="n"/>
      <c r="C737" s="2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  <c r="AR737" s="1" t="n"/>
      <c r="AS737" s="1" t="n"/>
      <c r="AT737" s="1" t="n"/>
      <c r="AU737" s="1" t="n"/>
      <c r="AV737" s="1" t="n"/>
      <c r="AW737" s="1" t="n"/>
      <c r="AX737" s="1" t="n"/>
      <c r="AY737" s="1" t="n"/>
      <c r="AZ737" s="1" t="n"/>
      <c r="BA737" s="1" t="n"/>
    </row>
    <row r="738" ht="16.5" customHeight="1" s="220">
      <c r="A738" s="1" t="n"/>
      <c r="B738" s="1" t="n"/>
      <c r="C738" s="2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  <c r="AR738" s="1" t="n"/>
      <c r="AS738" s="1" t="n"/>
      <c r="AT738" s="1" t="n"/>
      <c r="AU738" s="1" t="n"/>
      <c r="AV738" s="1" t="n"/>
      <c r="AW738" s="1" t="n"/>
      <c r="AX738" s="1" t="n"/>
      <c r="AY738" s="1" t="n"/>
      <c r="AZ738" s="1" t="n"/>
      <c r="BA738" s="1" t="n"/>
    </row>
    <row r="739" ht="16.5" customHeight="1" s="220">
      <c r="A739" s="1" t="n"/>
      <c r="B739" s="1" t="n"/>
      <c r="C739" s="2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  <c r="AR739" s="1" t="n"/>
      <c r="AS739" s="1" t="n"/>
      <c r="AT739" s="1" t="n"/>
      <c r="AU739" s="1" t="n"/>
      <c r="AV739" s="1" t="n"/>
      <c r="AW739" s="1" t="n"/>
      <c r="AX739" s="1" t="n"/>
      <c r="AY739" s="1" t="n"/>
      <c r="AZ739" s="1" t="n"/>
      <c r="BA739" s="1" t="n"/>
    </row>
    <row r="740" ht="16.5" customHeight="1" s="220">
      <c r="A740" s="1" t="n"/>
      <c r="B740" s="1" t="n"/>
      <c r="C740" s="2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  <c r="AR740" s="1" t="n"/>
      <c r="AS740" s="1" t="n"/>
      <c r="AT740" s="1" t="n"/>
      <c r="AU740" s="1" t="n"/>
      <c r="AV740" s="1" t="n"/>
      <c r="AW740" s="1" t="n"/>
      <c r="AX740" s="1" t="n"/>
      <c r="AY740" s="1" t="n"/>
      <c r="AZ740" s="1" t="n"/>
      <c r="BA740" s="1" t="n"/>
    </row>
    <row r="741" ht="16.5" customHeight="1" s="220">
      <c r="A741" s="1" t="n"/>
      <c r="B741" s="1" t="n"/>
      <c r="C741" s="2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  <c r="AR741" s="1" t="n"/>
      <c r="AS741" s="1" t="n"/>
      <c r="AT741" s="1" t="n"/>
      <c r="AU741" s="1" t="n"/>
      <c r="AV741" s="1" t="n"/>
      <c r="AW741" s="1" t="n"/>
      <c r="AX741" s="1" t="n"/>
      <c r="AY741" s="1" t="n"/>
      <c r="AZ741" s="1" t="n"/>
      <c r="BA741" s="1" t="n"/>
    </row>
    <row r="742" ht="16.5" customHeight="1" s="220">
      <c r="A742" s="1" t="n"/>
      <c r="B742" s="1" t="n"/>
      <c r="C742" s="2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  <c r="AR742" s="1" t="n"/>
      <c r="AS742" s="1" t="n"/>
      <c r="AT742" s="1" t="n"/>
      <c r="AU742" s="1" t="n"/>
      <c r="AV742" s="1" t="n"/>
      <c r="AW742" s="1" t="n"/>
      <c r="AX742" s="1" t="n"/>
      <c r="AY742" s="1" t="n"/>
      <c r="AZ742" s="1" t="n"/>
      <c r="BA742" s="1" t="n"/>
    </row>
    <row r="743" ht="16.5" customHeight="1" s="220">
      <c r="A743" s="1" t="n"/>
      <c r="B743" s="1" t="n"/>
      <c r="C743" s="2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  <c r="AR743" s="1" t="n"/>
      <c r="AS743" s="1" t="n"/>
      <c r="AT743" s="1" t="n"/>
      <c r="AU743" s="1" t="n"/>
      <c r="AV743" s="1" t="n"/>
      <c r="AW743" s="1" t="n"/>
      <c r="AX743" s="1" t="n"/>
      <c r="AY743" s="1" t="n"/>
      <c r="AZ743" s="1" t="n"/>
      <c r="BA743" s="1" t="n"/>
    </row>
    <row r="744" ht="16.5" customHeight="1" s="220">
      <c r="A744" s="1" t="n"/>
      <c r="B744" s="1" t="n"/>
      <c r="C744" s="2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  <c r="AR744" s="1" t="n"/>
      <c r="AS744" s="1" t="n"/>
      <c r="AT744" s="1" t="n"/>
      <c r="AU744" s="1" t="n"/>
      <c r="AV744" s="1" t="n"/>
      <c r="AW744" s="1" t="n"/>
      <c r="AX744" s="1" t="n"/>
      <c r="AY744" s="1" t="n"/>
      <c r="AZ744" s="1" t="n"/>
      <c r="BA744" s="1" t="n"/>
    </row>
    <row r="745" ht="16.5" customHeight="1" s="220">
      <c r="A745" s="1" t="n"/>
      <c r="B745" s="1" t="n"/>
      <c r="C745" s="2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  <c r="AR745" s="1" t="n"/>
      <c r="AS745" s="1" t="n"/>
      <c r="AT745" s="1" t="n"/>
      <c r="AU745" s="1" t="n"/>
      <c r="AV745" s="1" t="n"/>
      <c r="AW745" s="1" t="n"/>
      <c r="AX745" s="1" t="n"/>
      <c r="AY745" s="1" t="n"/>
      <c r="AZ745" s="1" t="n"/>
      <c r="BA745" s="1" t="n"/>
    </row>
    <row r="746" ht="16.5" customHeight="1" s="220">
      <c r="A746" s="1" t="n"/>
      <c r="B746" s="1" t="n"/>
      <c r="C746" s="2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  <c r="AR746" s="1" t="n"/>
      <c r="AS746" s="1" t="n"/>
      <c r="AT746" s="1" t="n"/>
      <c r="AU746" s="1" t="n"/>
      <c r="AV746" s="1" t="n"/>
      <c r="AW746" s="1" t="n"/>
      <c r="AX746" s="1" t="n"/>
      <c r="AY746" s="1" t="n"/>
      <c r="AZ746" s="1" t="n"/>
      <c r="BA746" s="1" t="n"/>
    </row>
    <row r="747" ht="16.5" customHeight="1" s="220">
      <c r="A747" s="1" t="n"/>
      <c r="B747" s="1" t="n"/>
      <c r="C747" s="2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  <c r="AR747" s="1" t="n"/>
      <c r="AS747" s="1" t="n"/>
      <c r="AT747" s="1" t="n"/>
      <c r="AU747" s="1" t="n"/>
      <c r="AV747" s="1" t="n"/>
      <c r="AW747" s="1" t="n"/>
      <c r="AX747" s="1" t="n"/>
      <c r="AY747" s="1" t="n"/>
      <c r="AZ747" s="1" t="n"/>
      <c r="BA747" s="1" t="n"/>
    </row>
    <row r="748" ht="16.5" customHeight="1" s="220">
      <c r="A748" s="1" t="n"/>
      <c r="B748" s="1" t="n"/>
      <c r="C748" s="2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  <c r="AR748" s="1" t="n"/>
      <c r="AS748" s="1" t="n"/>
      <c r="AT748" s="1" t="n"/>
      <c r="AU748" s="1" t="n"/>
      <c r="AV748" s="1" t="n"/>
      <c r="AW748" s="1" t="n"/>
      <c r="AX748" s="1" t="n"/>
      <c r="AY748" s="1" t="n"/>
      <c r="AZ748" s="1" t="n"/>
      <c r="BA748" s="1" t="n"/>
    </row>
    <row r="749" ht="16.5" customHeight="1" s="220">
      <c r="A749" s="1" t="n"/>
      <c r="B749" s="1" t="n"/>
      <c r="C749" s="2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  <c r="AR749" s="1" t="n"/>
      <c r="AS749" s="1" t="n"/>
      <c r="AT749" s="1" t="n"/>
      <c r="AU749" s="1" t="n"/>
      <c r="AV749" s="1" t="n"/>
      <c r="AW749" s="1" t="n"/>
      <c r="AX749" s="1" t="n"/>
      <c r="AY749" s="1" t="n"/>
      <c r="AZ749" s="1" t="n"/>
      <c r="BA749" s="1" t="n"/>
    </row>
    <row r="750" ht="16.5" customHeight="1" s="220">
      <c r="A750" s="1" t="n"/>
      <c r="B750" s="1" t="n"/>
      <c r="C750" s="2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  <c r="AR750" s="1" t="n"/>
      <c r="AS750" s="1" t="n"/>
      <c r="AT750" s="1" t="n"/>
      <c r="AU750" s="1" t="n"/>
      <c r="AV750" s="1" t="n"/>
      <c r="AW750" s="1" t="n"/>
      <c r="AX750" s="1" t="n"/>
      <c r="AY750" s="1" t="n"/>
      <c r="AZ750" s="1" t="n"/>
      <c r="BA750" s="1" t="n"/>
    </row>
    <row r="751" ht="16.5" customHeight="1" s="220">
      <c r="A751" s="1" t="n"/>
      <c r="B751" s="1" t="n"/>
      <c r="C751" s="2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  <c r="AR751" s="1" t="n"/>
      <c r="AS751" s="1" t="n"/>
      <c r="AT751" s="1" t="n"/>
      <c r="AU751" s="1" t="n"/>
      <c r="AV751" s="1" t="n"/>
      <c r="AW751" s="1" t="n"/>
      <c r="AX751" s="1" t="n"/>
      <c r="AY751" s="1" t="n"/>
      <c r="AZ751" s="1" t="n"/>
      <c r="BA751" s="1" t="n"/>
    </row>
    <row r="752" ht="16.5" customHeight="1" s="220">
      <c r="A752" s="1" t="n"/>
      <c r="B752" s="1" t="n"/>
      <c r="C752" s="2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  <c r="AR752" s="1" t="n"/>
      <c r="AS752" s="1" t="n"/>
      <c r="AT752" s="1" t="n"/>
      <c r="AU752" s="1" t="n"/>
      <c r="AV752" s="1" t="n"/>
      <c r="AW752" s="1" t="n"/>
      <c r="AX752" s="1" t="n"/>
      <c r="AY752" s="1" t="n"/>
      <c r="AZ752" s="1" t="n"/>
      <c r="BA752" s="1" t="n"/>
    </row>
    <row r="753" ht="16.5" customHeight="1" s="220">
      <c r="A753" s="1" t="n"/>
      <c r="B753" s="1" t="n"/>
      <c r="C753" s="2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  <c r="AR753" s="1" t="n"/>
      <c r="AS753" s="1" t="n"/>
      <c r="AT753" s="1" t="n"/>
      <c r="AU753" s="1" t="n"/>
      <c r="AV753" s="1" t="n"/>
      <c r="AW753" s="1" t="n"/>
      <c r="AX753" s="1" t="n"/>
      <c r="AY753" s="1" t="n"/>
      <c r="AZ753" s="1" t="n"/>
      <c r="BA753" s="1" t="n"/>
    </row>
    <row r="754" ht="16.5" customHeight="1" s="220">
      <c r="A754" s="1" t="n"/>
      <c r="B754" s="1" t="n"/>
      <c r="C754" s="2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  <c r="AR754" s="1" t="n"/>
      <c r="AS754" s="1" t="n"/>
      <c r="AT754" s="1" t="n"/>
      <c r="AU754" s="1" t="n"/>
      <c r="AV754" s="1" t="n"/>
      <c r="AW754" s="1" t="n"/>
      <c r="AX754" s="1" t="n"/>
      <c r="AY754" s="1" t="n"/>
      <c r="AZ754" s="1" t="n"/>
      <c r="BA754" s="1" t="n"/>
    </row>
    <row r="755" ht="16.5" customHeight="1" s="220">
      <c r="A755" s="1" t="n"/>
      <c r="B755" s="1" t="n"/>
      <c r="C755" s="2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  <c r="AR755" s="1" t="n"/>
      <c r="AS755" s="1" t="n"/>
      <c r="AT755" s="1" t="n"/>
      <c r="AU755" s="1" t="n"/>
      <c r="AV755" s="1" t="n"/>
      <c r="AW755" s="1" t="n"/>
      <c r="AX755" s="1" t="n"/>
      <c r="AY755" s="1" t="n"/>
      <c r="AZ755" s="1" t="n"/>
      <c r="BA755" s="1" t="n"/>
    </row>
    <row r="756" ht="16.5" customHeight="1" s="220">
      <c r="A756" s="1" t="n"/>
      <c r="B756" s="1" t="n"/>
      <c r="C756" s="2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  <c r="AR756" s="1" t="n"/>
      <c r="AS756" s="1" t="n"/>
      <c r="AT756" s="1" t="n"/>
      <c r="AU756" s="1" t="n"/>
      <c r="AV756" s="1" t="n"/>
      <c r="AW756" s="1" t="n"/>
      <c r="AX756" s="1" t="n"/>
      <c r="AY756" s="1" t="n"/>
      <c r="AZ756" s="1" t="n"/>
      <c r="BA756" s="1" t="n"/>
    </row>
    <row r="757" ht="16.5" customHeight="1" s="220">
      <c r="A757" s="1" t="n"/>
      <c r="B757" s="1" t="n"/>
      <c r="C757" s="2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  <c r="AR757" s="1" t="n"/>
      <c r="AS757" s="1" t="n"/>
      <c r="AT757" s="1" t="n"/>
      <c r="AU757" s="1" t="n"/>
      <c r="AV757" s="1" t="n"/>
      <c r="AW757" s="1" t="n"/>
      <c r="AX757" s="1" t="n"/>
      <c r="AY757" s="1" t="n"/>
      <c r="AZ757" s="1" t="n"/>
      <c r="BA757" s="1" t="n"/>
    </row>
    <row r="758" ht="16.5" customHeight="1" s="220">
      <c r="A758" s="1" t="n"/>
      <c r="B758" s="1" t="n"/>
      <c r="C758" s="2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  <c r="AR758" s="1" t="n"/>
      <c r="AS758" s="1" t="n"/>
      <c r="AT758" s="1" t="n"/>
      <c r="AU758" s="1" t="n"/>
      <c r="AV758" s="1" t="n"/>
      <c r="AW758" s="1" t="n"/>
      <c r="AX758" s="1" t="n"/>
      <c r="AY758" s="1" t="n"/>
      <c r="AZ758" s="1" t="n"/>
      <c r="BA758" s="1" t="n"/>
    </row>
    <row r="759" ht="16.5" customHeight="1" s="220">
      <c r="A759" s="1" t="n"/>
      <c r="B759" s="1" t="n"/>
      <c r="C759" s="2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  <c r="AR759" s="1" t="n"/>
      <c r="AS759" s="1" t="n"/>
      <c r="AT759" s="1" t="n"/>
      <c r="AU759" s="1" t="n"/>
      <c r="AV759" s="1" t="n"/>
      <c r="AW759" s="1" t="n"/>
      <c r="AX759" s="1" t="n"/>
      <c r="AY759" s="1" t="n"/>
      <c r="AZ759" s="1" t="n"/>
      <c r="BA759" s="1" t="n"/>
    </row>
    <row r="760" ht="16.5" customHeight="1" s="220">
      <c r="A760" s="1" t="n"/>
      <c r="B760" s="1" t="n"/>
      <c r="C760" s="2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  <c r="AR760" s="1" t="n"/>
      <c r="AS760" s="1" t="n"/>
      <c r="AT760" s="1" t="n"/>
      <c r="AU760" s="1" t="n"/>
      <c r="AV760" s="1" t="n"/>
      <c r="AW760" s="1" t="n"/>
      <c r="AX760" s="1" t="n"/>
      <c r="AY760" s="1" t="n"/>
      <c r="AZ760" s="1" t="n"/>
      <c r="BA760" s="1" t="n"/>
    </row>
    <row r="761" ht="16.5" customHeight="1" s="220">
      <c r="A761" s="1" t="n"/>
      <c r="B761" s="1" t="n"/>
      <c r="C761" s="2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  <c r="AR761" s="1" t="n"/>
      <c r="AS761" s="1" t="n"/>
      <c r="AT761" s="1" t="n"/>
      <c r="AU761" s="1" t="n"/>
      <c r="AV761" s="1" t="n"/>
      <c r="AW761" s="1" t="n"/>
      <c r="AX761" s="1" t="n"/>
      <c r="AY761" s="1" t="n"/>
      <c r="AZ761" s="1" t="n"/>
      <c r="BA761" s="1" t="n"/>
    </row>
    <row r="762" ht="16.5" customHeight="1" s="220">
      <c r="A762" s="1" t="n"/>
      <c r="B762" s="1" t="n"/>
      <c r="C762" s="2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  <c r="AR762" s="1" t="n"/>
      <c r="AS762" s="1" t="n"/>
      <c r="AT762" s="1" t="n"/>
      <c r="AU762" s="1" t="n"/>
      <c r="AV762" s="1" t="n"/>
      <c r="AW762" s="1" t="n"/>
      <c r="AX762" s="1" t="n"/>
      <c r="AY762" s="1" t="n"/>
      <c r="AZ762" s="1" t="n"/>
      <c r="BA762" s="1" t="n"/>
    </row>
    <row r="763" ht="16.5" customHeight="1" s="220">
      <c r="A763" s="1" t="n"/>
      <c r="B763" s="1" t="n"/>
      <c r="C763" s="2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  <c r="AR763" s="1" t="n"/>
      <c r="AS763" s="1" t="n"/>
      <c r="AT763" s="1" t="n"/>
      <c r="AU763" s="1" t="n"/>
      <c r="AV763" s="1" t="n"/>
      <c r="AW763" s="1" t="n"/>
      <c r="AX763" s="1" t="n"/>
      <c r="AY763" s="1" t="n"/>
      <c r="AZ763" s="1" t="n"/>
      <c r="BA763" s="1" t="n"/>
    </row>
    <row r="764" ht="16.5" customHeight="1" s="220">
      <c r="A764" s="1" t="n"/>
      <c r="B764" s="1" t="n"/>
      <c r="C764" s="2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  <c r="AR764" s="1" t="n"/>
      <c r="AS764" s="1" t="n"/>
      <c r="AT764" s="1" t="n"/>
      <c r="AU764" s="1" t="n"/>
      <c r="AV764" s="1" t="n"/>
      <c r="AW764" s="1" t="n"/>
      <c r="AX764" s="1" t="n"/>
      <c r="AY764" s="1" t="n"/>
      <c r="AZ764" s="1" t="n"/>
      <c r="BA764" s="1" t="n"/>
    </row>
    <row r="765" ht="16.5" customHeight="1" s="220">
      <c r="A765" s="1" t="n"/>
      <c r="B765" s="1" t="n"/>
      <c r="C765" s="2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  <c r="AR765" s="1" t="n"/>
      <c r="AS765" s="1" t="n"/>
      <c r="AT765" s="1" t="n"/>
      <c r="AU765" s="1" t="n"/>
      <c r="AV765" s="1" t="n"/>
      <c r="AW765" s="1" t="n"/>
      <c r="AX765" s="1" t="n"/>
      <c r="AY765" s="1" t="n"/>
      <c r="AZ765" s="1" t="n"/>
      <c r="BA765" s="1" t="n"/>
    </row>
    <row r="766" ht="16.5" customHeight="1" s="220">
      <c r="A766" s="1" t="n"/>
      <c r="B766" s="1" t="n"/>
      <c r="C766" s="2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  <c r="AR766" s="1" t="n"/>
      <c r="AS766" s="1" t="n"/>
      <c r="AT766" s="1" t="n"/>
      <c r="AU766" s="1" t="n"/>
      <c r="AV766" s="1" t="n"/>
      <c r="AW766" s="1" t="n"/>
      <c r="AX766" s="1" t="n"/>
      <c r="AY766" s="1" t="n"/>
      <c r="AZ766" s="1" t="n"/>
      <c r="BA766" s="1" t="n"/>
    </row>
    <row r="767" ht="16.5" customHeight="1" s="220">
      <c r="A767" s="1" t="n"/>
      <c r="B767" s="1" t="n"/>
      <c r="C767" s="2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  <c r="AR767" s="1" t="n"/>
      <c r="AS767" s="1" t="n"/>
      <c r="AT767" s="1" t="n"/>
      <c r="AU767" s="1" t="n"/>
      <c r="AV767" s="1" t="n"/>
      <c r="AW767" s="1" t="n"/>
      <c r="AX767" s="1" t="n"/>
      <c r="AY767" s="1" t="n"/>
      <c r="AZ767" s="1" t="n"/>
      <c r="BA767" s="1" t="n"/>
    </row>
    <row r="768" ht="16.5" customHeight="1" s="220">
      <c r="A768" s="1" t="n"/>
      <c r="B768" s="1" t="n"/>
      <c r="C768" s="2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  <c r="AR768" s="1" t="n"/>
      <c r="AS768" s="1" t="n"/>
      <c r="AT768" s="1" t="n"/>
      <c r="AU768" s="1" t="n"/>
      <c r="AV768" s="1" t="n"/>
      <c r="AW768" s="1" t="n"/>
      <c r="AX768" s="1" t="n"/>
      <c r="AY768" s="1" t="n"/>
      <c r="AZ768" s="1" t="n"/>
      <c r="BA768" s="1" t="n"/>
    </row>
    <row r="769" ht="16.5" customHeight="1" s="220">
      <c r="A769" s="1" t="n"/>
      <c r="B769" s="1" t="n"/>
      <c r="C769" s="2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  <c r="AR769" s="1" t="n"/>
      <c r="AS769" s="1" t="n"/>
      <c r="AT769" s="1" t="n"/>
      <c r="AU769" s="1" t="n"/>
      <c r="AV769" s="1" t="n"/>
      <c r="AW769" s="1" t="n"/>
      <c r="AX769" s="1" t="n"/>
      <c r="AY769" s="1" t="n"/>
      <c r="AZ769" s="1" t="n"/>
      <c r="BA769" s="1" t="n"/>
    </row>
    <row r="770" ht="16.5" customHeight="1" s="220">
      <c r="A770" s="1" t="n"/>
      <c r="B770" s="1" t="n"/>
      <c r="C770" s="2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  <c r="AR770" s="1" t="n"/>
      <c r="AS770" s="1" t="n"/>
      <c r="AT770" s="1" t="n"/>
      <c r="AU770" s="1" t="n"/>
      <c r="AV770" s="1" t="n"/>
      <c r="AW770" s="1" t="n"/>
      <c r="AX770" s="1" t="n"/>
      <c r="AY770" s="1" t="n"/>
      <c r="AZ770" s="1" t="n"/>
      <c r="BA770" s="1" t="n"/>
    </row>
    <row r="771" ht="16.5" customHeight="1" s="220">
      <c r="A771" s="1" t="n"/>
      <c r="B771" s="1" t="n"/>
      <c r="C771" s="2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  <c r="AR771" s="1" t="n"/>
      <c r="AS771" s="1" t="n"/>
      <c r="AT771" s="1" t="n"/>
      <c r="AU771" s="1" t="n"/>
      <c r="AV771" s="1" t="n"/>
      <c r="AW771" s="1" t="n"/>
      <c r="AX771" s="1" t="n"/>
      <c r="AY771" s="1" t="n"/>
      <c r="AZ771" s="1" t="n"/>
      <c r="BA771" s="1" t="n"/>
    </row>
    <row r="772" ht="16.5" customHeight="1" s="220">
      <c r="A772" s="1" t="n"/>
      <c r="B772" s="1" t="n"/>
      <c r="C772" s="2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  <c r="AR772" s="1" t="n"/>
      <c r="AS772" s="1" t="n"/>
      <c r="AT772" s="1" t="n"/>
      <c r="AU772" s="1" t="n"/>
      <c r="AV772" s="1" t="n"/>
      <c r="AW772" s="1" t="n"/>
      <c r="AX772" s="1" t="n"/>
      <c r="AY772" s="1" t="n"/>
      <c r="AZ772" s="1" t="n"/>
      <c r="BA772" s="1" t="n"/>
    </row>
    <row r="773" ht="16.5" customHeight="1" s="220">
      <c r="A773" s="1" t="n"/>
      <c r="B773" s="1" t="n"/>
      <c r="C773" s="2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  <c r="AR773" s="1" t="n"/>
      <c r="AS773" s="1" t="n"/>
      <c r="AT773" s="1" t="n"/>
      <c r="AU773" s="1" t="n"/>
      <c r="AV773" s="1" t="n"/>
      <c r="AW773" s="1" t="n"/>
      <c r="AX773" s="1" t="n"/>
      <c r="AY773" s="1" t="n"/>
      <c r="AZ773" s="1" t="n"/>
      <c r="BA773" s="1" t="n"/>
    </row>
    <row r="774" ht="16.5" customHeight="1" s="220">
      <c r="A774" s="1" t="n"/>
      <c r="B774" s="1" t="n"/>
      <c r="C774" s="2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  <c r="AR774" s="1" t="n"/>
      <c r="AS774" s="1" t="n"/>
      <c r="AT774" s="1" t="n"/>
      <c r="AU774" s="1" t="n"/>
      <c r="AV774" s="1" t="n"/>
      <c r="AW774" s="1" t="n"/>
      <c r="AX774" s="1" t="n"/>
      <c r="AY774" s="1" t="n"/>
      <c r="AZ774" s="1" t="n"/>
      <c r="BA774" s="1" t="n"/>
    </row>
    <row r="775" ht="16.5" customHeight="1" s="220">
      <c r="A775" s="1" t="n"/>
      <c r="B775" s="1" t="n"/>
      <c r="C775" s="2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  <c r="AR775" s="1" t="n"/>
      <c r="AS775" s="1" t="n"/>
      <c r="AT775" s="1" t="n"/>
      <c r="AU775" s="1" t="n"/>
      <c r="AV775" s="1" t="n"/>
      <c r="AW775" s="1" t="n"/>
      <c r="AX775" s="1" t="n"/>
      <c r="AY775" s="1" t="n"/>
      <c r="AZ775" s="1" t="n"/>
      <c r="BA775" s="1" t="n"/>
    </row>
    <row r="776" ht="16.5" customHeight="1" s="220">
      <c r="A776" s="1" t="n"/>
      <c r="B776" s="1" t="n"/>
      <c r="C776" s="2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  <c r="AR776" s="1" t="n"/>
      <c r="AS776" s="1" t="n"/>
      <c r="AT776" s="1" t="n"/>
      <c r="AU776" s="1" t="n"/>
      <c r="AV776" s="1" t="n"/>
      <c r="AW776" s="1" t="n"/>
      <c r="AX776" s="1" t="n"/>
      <c r="AY776" s="1" t="n"/>
      <c r="AZ776" s="1" t="n"/>
      <c r="BA776" s="1" t="n"/>
    </row>
    <row r="777" ht="16.5" customHeight="1" s="220">
      <c r="A777" s="1" t="n"/>
      <c r="B777" s="1" t="n"/>
      <c r="C777" s="2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  <c r="AR777" s="1" t="n"/>
      <c r="AS777" s="1" t="n"/>
      <c r="AT777" s="1" t="n"/>
      <c r="AU777" s="1" t="n"/>
      <c r="AV777" s="1" t="n"/>
      <c r="AW777" s="1" t="n"/>
      <c r="AX777" s="1" t="n"/>
      <c r="AY777" s="1" t="n"/>
      <c r="AZ777" s="1" t="n"/>
      <c r="BA777" s="1" t="n"/>
    </row>
    <row r="778" ht="16.5" customHeight="1" s="220">
      <c r="A778" s="1" t="n"/>
      <c r="B778" s="1" t="n"/>
      <c r="C778" s="2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Q778" s="1" t="n"/>
      <c r="AR778" s="1" t="n"/>
      <c r="AS778" s="1" t="n"/>
      <c r="AT778" s="1" t="n"/>
      <c r="AU778" s="1" t="n"/>
      <c r="AV778" s="1" t="n"/>
      <c r="AW778" s="1" t="n"/>
      <c r="AX778" s="1" t="n"/>
      <c r="AY778" s="1" t="n"/>
      <c r="AZ778" s="1" t="n"/>
      <c r="BA778" s="1" t="n"/>
    </row>
    <row r="779" ht="16.5" customHeight="1" s="220">
      <c r="A779" s="1" t="n"/>
      <c r="B779" s="1" t="n"/>
      <c r="C779" s="2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  <c r="AR779" s="1" t="n"/>
      <c r="AS779" s="1" t="n"/>
      <c r="AT779" s="1" t="n"/>
      <c r="AU779" s="1" t="n"/>
      <c r="AV779" s="1" t="n"/>
      <c r="AW779" s="1" t="n"/>
      <c r="AX779" s="1" t="n"/>
      <c r="AY779" s="1" t="n"/>
      <c r="AZ779" s="1" t="n"/>
      <c r="BA779" s="1" t="n"/>
    </row>
    <row r="780" ht="16.5" customHeight="1" s="220">
      <c r="A780" s="1" t="n"/>
      <c r="B780" s="1" t="n"/>
      <c r="C780" s="2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  <c r="AR780" s="1" t="n"/>
      <c r="AS780" s="1" t="n"/>
      <c r="AT780" s="1" t="n"/>
      <c r="AU780" s="1" t="n"/>
      <c r="AV780" s="1" t="n"/>
      <c r="AW780" s="1" t="n"/>
      <c r="AX780" s="1" t="n"/>
      <c r="AY780" s="1" t="n"/>
      <c r="AZ780" s="1" t="n"/>
      <c r="BA780" s="1" t="n"/>
    </row>
    <row r="781" ht="16.5" customHeight="1" s="220">
      <c r="A781" s="1" t="n"/>
      <c r="B781" s="1" t="n"/>
      <c r="C781" s="2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  <c r="AR781" s="1" t="n"/>
      <c r="AS781" s="1" t="n"/>
      <c r="AT781" s="1" t="n"/>
      <c r="AU781" s="1" t="n"/>
      <c r="AV781" s="1" t="n"/>
      <c r="AW781" s="1" t="n"/>
      <c r="AX781" s="1" t="n"/>
      <c r="AY781" s="1" t="n"/>
      <c r="AZ781" s="1" t="n"/>
      <c r="BA781" s="1" t="n"/>
    </row>
    <row r="782" ht="16.5" customHeight="1" s="220">
      <c r="A782" s="1" t="n"/>
      <c r="B782" s="1" t="n"/>
      <c r="C782" s="2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  <c r="AR782" s="1" t="n"/>
      <c r="AS782" s="1" t="n"/>
      <c r="AT782" s="1" t="n"/>
      <c r="AU782" s="1" t="n"/>
      <c r="AV782" s="1" t="n"/>
      <c r="AW782" s="1" t="n"/>
      <c r="AX782" s="1" t="n"/>
      <c r="AY782" s="1" t="n"/>
      <c r="AZ782" s="1" t="n"/>
      <c r="BA782" s="1" t="n"/>
    </row>
    <row r="783" ht="16.5" customHeight="1" s="220">
      <c r="A783" s="1" t="n"/>
      <c r="B783" s="1" t="n"/>
      <c r="C783" s="2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  <c r="AR783" s="1" t="n"/>
      <c r="AS783" s="1" t="n"/>
      <c r="AT783" s="1" t="n"/>
      <c r="AU783" s="1" t="n"/>
      <c r="AV783" s="1" t="n"/>
      <c r="AW783" s="1" t="n"/>
      <c r="AX783" s="1" t="n"/>
      <c r="AY783" s="1" t="n"/>
      <c r="AZ783" s="1" t="n"/>
      <c r="BA783" s="1" t="n"/>
    </row>
    <row r="784" ht="16.5" customHeight="1" s="220">
      <c r="A784" s="1" t="n"/>
      <c r="B784" s="1" t="n"/>
      <c r="C784" s="2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  <c r="AR784" s="1" t="n"/>
      <c r="AS784" s="1" t="n"/>
      <c r="AT784" s="1" t="n"/>
      <c r="AU784" s="1" t="n"/>
      <c r="AV784" s="1" t="n"/>
      <c r="AW784" s="1" t="n"/>
      <c r="AX784" s="1" t="n"/>
      <c r="AY784" s="1" t="n"/>
      <c r="AZ784" s="1" t="n"/>
      <c r="BA784" s="1" t="n"/>
    </row>
    <row r="785" ht="16.5" customHeight="1" s="220">
      <c r="A785" s="1" t="n"/>
      <c r="B785" s="1" t="n"/>
      <c r="C785" s="2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  <c r="AR785" s="1" t="n"/>
      <c r="AS785" s="1" t="n"/>
      <c r="AT785" s="1" t="n"/>
      <c r="AU785" s="1" t="n"/>
      <c r="AV785" s="1" t="n"/>
      <c r="AW785" s="1" t="n"/>
      <c r="AX785" s="1" t="n"/>
      <c r="AY785" s="1" t="n"/>
      <c r="AZ785" s="1" t="n"/>
      <c r="BA785" s="1" t="n"/>
    </row>
    <row r="786" ht="16.5" customHeight="1" s="220">
      <c r="A786" s="1" t="n"/>
      <c r="B786" s="1" t="n"/>
      <c r="C786" s="2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  <c r="AR786" s="1" t="n"/>
      <c r="AS786" s="1" t="n"/>
      <c r="AT786" s="1" t="n"/>
      <c r="AU786" s="1" t="n"/>
      <c r="AV786" s="1" t="n"/>
      <c r="AW786" s="1" t="n"/>
      <c r="AX786" s="1" t="n"/>
      <c r="AY786" s="1" t="n"/>
      <c r="AZ786" s="1" t="n"/>
      <c r="BA786" s="1" t="n"/>
    </row>
    <row r="787" ht="16.5" customHeight="1" s="220">
      <c r="A787" s="1" t="n"/>
      <c r="B787" s="1" t="n"/>
      <c r="C787" s="2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  <c r="AR787" s="1" t="n"/>
      <c r="AS787" s="1" t="n"/>
      <c r="AT787" s="1" t="n"/>
      <c r="AU787" s="1" t="n"/>
      <c r="AV787" s="1" t="n"/>
      <c r="AW787" s="1" t="n"/>
      <c r="AX787" s="1" t="n"/>
      <c r="AY787" s="1" t="n"/>
      <c r="AZ787" s="1" t="n"/>
      <c r="BA787" s="1" t="n"/>
    </row>
    <row r="788" ht="16.5" customHeight="1" s="220">
      <c r="A788" s="1" t="n"/>
      <c r="B788" s="1" t="n"/>
      <c r="C788" s="2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  <c r="AR788" s="1" t="n"/>
      <c r="AS788" s="1" t="n"/>
      <c r="AT788" s="1" t="n"/>
      <c r="AU788" s="1" t="n"/>
      <c r="AV788" s="1" t="n"/>
      <c r="AW788" s="1" t="n"/>
      <c r="AX788" s="1" t="n"/>
      <c r="AY788" s="1" t="n"/>
      <c r="AZ788" s="1" t="n"/>
      <c r="BA788" s="1" t="n"/>
    </row>
    <row r="789" ht="16.5" customHeight="1" s="220">
      <c r="A789" s="1" t="n"/>
      <c r="B789" s="1" t="n"/>
      <c r="C789" s="2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  <c r="AR789" s="1" t="n"/>
      <c r="AS789" s="1" t="n"/>
      <c r="AT789" s="1" t="n"/>
      <c r="AU789" s="1" t="n"/>
      <c r="AV789" s="1" t="n"/>
      <c r="AW789" s="1" t="n"/>
      <c r="AX789" s="1" t="n"/>
      <c r="AY789" s="1" t="n"/>
      <c r="AZ789" s="1" t="n"/>
      <c r="BA789" s="1" t="n"/>
    </row>
    <row r="790" ht="16.5" customHeight="1" s="220">
      <c r="A790" s="1" t="n"/>
      <c r="B790" s="1" t="n"/>
      <c r="C790" s="2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Q790" s="1" t="n"/>
      <c r="AR790" s="1" t="n"/>
      <c r="AS790" s="1" t="n"/>
      <c r="AT790" s="1" t="n"/>
      <c r="AU790" s="1" t="n"/>
      <c r="AV790" s="1" t="n"/>
      <c r="AW790" s="1" t="n"/>
      <c r="AX790" s="1" t="n"/>
      <c r="AY790" s="1" t="n"/>
      <c r="AZ790" s="1" t="n"/>
      <c r="BA790" s="1" t="n"/>
    </row>
    <row r="791" ht="16.5" customHeight="1" s="220">
      <c r="A791" s="1" t="n"/>
      <c r="B791" s="1" t="n"/>
      <c r="C791" s="2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  <c r="AR791" s="1" t="n"/>
      <c r="AS791" s="1" t="n"/>
      <c r="AT791" s="1" t="n"/>
      <c r="AU791" s="1" t="n"/>
      <c r="AV791" s="1" t="n"/>
      <c r="AW791" s="1" t="n"/>
      <c r="AX791" s="1" t="n"/>
      <c r="AY791" s="1" t="n"/>
      <c r="AZ791" s="1" t="n"/>
      <c r="BA791" s="1" t="n"/>
    </row>
    <row r="792" ht="16.5" customHeight="1" s="220">
      <c r="A792" s="1" t="n"/>
      <c r="B792" s="1" t="n"/>
      <c r="C792" s="2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  <c r="AR792" s="1" t="n"/>
      <c r="AS792" s="1" t="n"/>
      <c r="AT792" s="1" t="n"/>
      <c r="AU792" s="1" t="n"/>
      <c r="AV792" s="1" t="n"/>
      <c r="AW792" s="1" t="n"/>
      <c r="AX792" s="1" t="n"/>
      <c r="AY792" s="1" t="n"/>
      <c r="AZ792" s="1" t="n"/>
      <c r="BA792" s="1" t="n"/>
    </row>
    <row r="793" ht="16.5" customHeight="1" s="220">
      <c r="A793" s="1" t="n"/>
      <c r="B793" s="1" t="n"/>
      <c r="C793" s="2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  <c r="AR793" s="1" t="n"/>
      <c r="AS793" s="1" t="n"/>
      <c r="AT793" s="1" t="n"/>
      <c r="AU793" s="1" t="n"/>
      <c r="AV793" s="1" t="n"/>
      <c r="AW793" s="1" t="n"/>
      <c r="AX793" s="1" t="n"/>
      <c r="AY793" s="1" t="n"/>
      <c r="AZ793" s="1" t="n"/>
      <c r="BA793" s="1" t="n"/>
    </row>
    <row r="794" ht="16.5" customHeight="1" s="220">
      <c r="A794" s="1" t="n"/>
      <c r="B794" s="1" t="n"/>
      <c r="C794" s="2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  <c r="AR794" s="1" t="n"/>
      <c r="AS794" s="1" t="n"/>
      <c r="AT794" s="1" t="n"/>
      <c r="AU794" s="1" t="n"/>
      <c r="AV794" s="1" t="n"/>
      <c r="AW794" s="1" t="n"/>
      <c r="AX794" s="1" t="n"/>
      <c r="AY794" s="1" t="n"/>
      <c r="AZ794" s="1" t="n"/>
      <c r="BA794" s="1" t="n"/>
    </row>
    <row r="795" ht="16.5" customHeight="1" s="220">
      <c r="A795" s="1" t="n"/>
      <c r="B795" s="1" t="n"/>
      <c r="C795" s="2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  <c r="AR795" s="1" t="n"/>
      <c r="AS795" s="1" t="n"/>
      <c r="AT795" s="1" t="n"/>
      <c r="AU795" s="1" t="n"/>
      <c r="AV795" s="1" t="n"/>
      <c r="AW795" s="1" t="n"/>
      <c r="AX795" s="1" t="n"/>
      <c r="AY795" s="1" t="n"/>
      <c r="AZ795" s="1" t="n"/>
      <c r="BA795" s="1" t="n"/>
    </row>
    <row r="796" ht="16.5" customHeight="1" s="220">
      <c r="A796" s="1" t="n"/>
      <c r="B796" s="1" t="n"/>
      <c r="C796" s="2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  <c r="AR796" s="1" t="n"/>
      <c r="AS796" s="1" t="n"/>
      <c r="AT796" s="1" t="n"/>
      <c r="AU796" s="1" t="n"/>
      <c r="AV796" s="1" t="n"/>
      <c r="AW796" s="1" t="n"/>
      <c r="AX796" s="1" t="n"/>
      <c r="AY796" s="1" t="n"/>
      <c r="AZ796" s="1" t="n"/>
      <c r="BA796" s="1" t="n"/>
    </row>
    <row r="797" ht="16.5" customHeight="1" s="220">
      <c r="A797" s="1" t="n"/>
      <c r="B797" s="1" t="n"/>
      <c r="C797" s="2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  <c r="AR797" s="1" t="n"/>
      <c r="AS797" s="1" t="n"/>
      <c r="AT797" s="1" t="n"/>
      <c r="AU797" s="1" t="n"/>
      <c r="AV797" s="1" t="n"/>
      <c r="AW797" s="1" t="n"/>
      <c r="AX797" s="1" t="n"/>
      <c r="AY797" s="1" t="n"/>
      <c r="AZ797" s="1" t="n"/>
      <c r="BA797" s="1" t="n"/>
    </row>
    <row r="798" ht="16.5" customHeight="1" s="220">
      <c r="A798" s="1" t="n"/>
      <c r="B798" s="1" t="n"/>
      <c r="C798" s="2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  <c r="AR798" s="1" t="n"/>
      <c r="AS798" s="1" t="n"/>
      <c r="AT798" s="1" t="n"/>
      <c r="AU798" s="1" t="n"/>
      <c r="AV798" s="1" t="n"/>
      <c r="AW798" s="1" t="n"/>
      <c r="AX798" s="1" t="n"/>
      <c r="AY798" s="1" t="n"/>
      <c r="AZ798" s="1" t="n"/>
      <c r="BA798" s="1" t="n"/>
    </row>
    <row r="799" ht="16.5" customHeight="1" s="220">
      <c r="A799" s="1" t="n"/>
      <c r="B799" s="1" t="n"/>
      <c r="C799" s="2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  <c r="AR799" s="1" t="n"/>
      <c r="AS799" s="1" t="n"/>
      <c r="AT799" s="1" t="n"/>
      <c r="AU799" s="1" t="n"/>
      <c r="AV799" s="1" t="n"/>
      <c r="AW799" s="1" t="n"/>
      <c r="AX799" s="1" t="n"/>
      <c r="AY799" s="1" t="n"/>
      <c r="AZ799" s="1" t="n"/>
      <c r="BA799" s="1" t="n"/>
    </row>
    <row r="800" ht="16.5" customHeight="1" s="220">
      <c r="A800" s="1" t="n"/>
      <c r="B800" s="1" t="n"/>
      <c r="C800" s="2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  <c r="AR800" s="1" t="n"/>
      <c r="AS800" s="1" t="n"/>
      <c r="AT800" s="1" t="n"/>
      <c r="AU800" s="1" t="n"/>
      <c r="AV800" s="1" t="n"/>
      <c r="AW800" s="1" t="n"/>
      <c r="AX800" s="1" t="n"/>
      <c r="AY800" s="1" t="n"/>
      <c r="AZ800" s="1" t="n"/>
      <c r="BA800" s="1" t="n"/>
    </row>
    <row r="801" ht="16.5" customHeight="1" s="220">
      <c r="A801" s="1" t="n"/>
      <c r="B801" s="1" t="n"/>
      <c r="C801" s="2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  <c r="AR801" s="1" t="n"/>
      <c r="AS801" s="1" t="n"/>
      <c r="AT801" s="1" t="n"/>
      <c r="AU801" s="1" t="n"/>
      <c r="AV801" s="1" t="n"/>
      <c r="AW801" s="1" t="n"/>
      <c r="AX801" s="1" t="n"/>
      <c r="AY801" s="1" t="n"/>
      <c r="AZ801" s="1" t="n"/>
      <c r="BA801" s="1" t="n"/>
    </row>
    <row r="802" ht="16.5" customHeight="1" s="220">
      <c r="A802" s="1" t="n"/>
      <c r="B802" s="1" t="n"/>
      <c r="C802" s="2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  <c r="AR802" s="1" t="n"/>
      <c r="AS802" s="1" t="n"/>
      <c r="AT802" s="1" t="n"/>
      <c r="AU802" s="1" t="n"/>
      <c r="AV802" s="1" t="n"/>
      <c r="AW802" s="1" t="n"/>
      <c r="AX802" s="1" t="n"/>
      <c r="AY802" s="1" t="n"/>
      <c r="AZ802" s="1" t="n"/>
      <c r="BA802" s="1" t="n"/>
    </row>
    <row r="803" ht="16.5" customHeight="1" s="220">
      <c r="A803" s="1" t="n"/>
      <c r="B803" s="1" t="n"/>
      <c r="C803" s="2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  <c r="AR803" s="1" t="n"/>
      <c r="AS803" s="1" t="n"/>
      <c r="AT803" s="1" t="n"/>
      <c r="AU803" s="1" t="n"/>
      <c r="AV803" s="1" t="n"/>
      <c r="AW803" s="1" t="n"/>
      <c r="AX803" s="1" t="n"/>
      <c r="AY803" s="1" t="n"/>
      <c r="AZ803" s="1" t="n"/>
      <c r="BA803" s="1" t="n"/>
    </row>
    <row r="804" ht="16.5" customHeight="1" s="220">
      <c r="A804" s="1" t="n"/>
      <c r="B804" s="1" t="n"/>
      <c r="C804" s="2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  <c r="AR804" s="1" t="n"/>
      <c r="AS804" s="1" t="n"/>
      <c r="AT804" s="1" t="n"/>
      <c r="AU804" s="1" t="n"/>
      <c r="AV804" s="1" t="n"/>
      <c r="AW804" s="1" t="n"/>
      <c r="AX804" s="1" t="n"/>
      <c r="AY804" s="1" t="n"/>
      <c r="AZ804" s="1" t="n"/>
      <c r="BA804" s="1" t="n"/>
    </row>
    <row r="805" ht="16.5" customHeight="1" s="220">
      <c r="A805" s="1" t="n"/>
      <c r="B805" s="1" t="n"/>
      <c r="C805" s="2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  <c r="AR805" s="1" t="n"/>
      <c r="AS805" s="1" t="n"/>
      <c r="AT805" s="1" t="n"/>
      <c r="AU805" s="1" t="n"/>
      <c r="AV805" s="1" t="n"/>
      <c r="AW805" s="1" t="n"/>
      <c r="AX805" s="1" t="n"/>
      <c r="AY805" s="1" t="n"/>
      <c r="AZ805" s="1" t="n"/>
      <c r="BA805" s="1" t="n"/>
    </row>
    <row r="806" ht="16.5" customHeight="1" s="220">
      <c r="A806" s="1" t="n"/>
      <c r="B806" s="1" t="n"/>
      <c r="C806" s="2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Q806" s="1" t="n"/>
      <c r="AR806" s="1" t="n"/>
      <c r="AS806" s="1" t="n"/>
      <c r="AT806" s="1" t="n"/>
      <c r="AU806" s="1" t="n"/>
      <c r="AV806" s="1" t="n"/>
      <c r="AW806" s="1" t="n"/>
      <c r="AX806" s="1" t="n"/>
      <c r="AY806" s="1" t="n"/>
      <c r="AZ806" s="1" t="n"/>
      <c r="BA806" s="1" t="n"/>
    </row>
    <row r="807" ht="16.5" customHeight="1" s="220">
      <c r="A807" s="1" t="n"/>
      <c r="B807" s="1" t="n"/>
      <c r="C807" s="2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  <c r="AR807" s="1" t="n"/>
      <c r="AS807" s="1" t="n"/>
      <c r="AT807" s="1" t="n"/>
      <c r="AU807" s="1" t="n"/>
      <c r="AV807" s="1" t="n"/>
      <c r="AW807" s="1" t="n"/>
      <c r="AX807" s="1" t="n"/>
      <c r="AY807" s="1" t="n"/>
      <c r="AZ807" s="1" t="n"/>
      <c r="BA807" s="1" t="n"/>
    </row>
    <row r="808" ht="16.5" customHeight="1" s="220">
      <c r="A808" s="1" t="n"/>
      <c r="B808" s="1" t="n"/>
      <c r="C808" s="2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  <c r="AR808" s="1" t="n"/>
      <c r="AS808" s="1" t="n"/>
      <c r="AT808" s="1" t="n"/>
      <c r="AU808" s="1" t="n"/>
      <c r="AV808" s="1" t="n"/>
      <c r="AW808" s="1" t="n"/>
      <c r="AX808" s="1" t="n"/>
      <c r="AY808" s="1" t="n"/>
      <c r="AZ808" s="1" t="n"/>
      <c r="BA808" s="1" t="n"/>
    </row>
    <row r="809" ht="16.5" customHeight="1" s="220">
      <c r="A809" s="1" t="n"/>
      <c r="B809" s="1" t="n"/>
      <c r="C809" s="2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  <c r="AR809" s="1" t="n"/>
      <c r="AS809" s="1" t="n"/>
      <c r="AT809" s="1" t="n"/>
      <c r="AU809" s="1" t="n"/>
      <c r="AV809" s="1" t="n"/>
      <c r="AW809" s="1" t="n"/>
      <c r="AX809" s="1" t="n"/>
      <c r="AY809" s="1" t="n"/>
      <c r="AZ809" s="1" t="n"/>
      <c r="BA809" s="1" t="n"/>
    </row>
    <row r="810" ht="16.5" customHeight="1" s="220">
      <c r="A810" s="1" t="n"/>
      <c r="B810" s="1" t="n"/>
      <c r="C810" s="2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  <c r="AR810" s="1" t="n"/>
      <c r="AS810" s="1" t="n"/>
      <c r="AT810" s="1" t="n"/>
      <c r="AU810" s="1" t="n"/>
      <c r="AV810" s="1" t="n"/>
      <c r="AW810" s="1" t="n"/>
      <c r="AX810" s="1" t="n"/>
      <c r="AY810" s="1" t="n"/>
      <c r="AZ810" s="1" t="n"/>
      <c r="BA810" s="1" t="n"/>
    </row>
    <row r="811" ht="16.5" customHeight="1" s="220">
      <c r="A811" s="1" t="n"/>
      <c r="B811" s="1" t="n"/>
      <c r="C811" s="2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  <c r="AR811" s="1" t="n"/>
      <c r="AS811" s="1" t="n"/>
      <c r="AT811" s="1" t="n"/>
      <c r="AU811" s="1" t="n"/>
      <c r="AV811" s="1" t="n"/>
      <c r="AW811" s="1" t="n"/>
      <c r="AX811" s="1" t="n"/>
      <c r="AY811" s="1" t="n"/>
      <c r="AZ811" s="1" t="n"/>
      <c r="BA811" s="1" t="n"/>
    </row>
    <row r="812" ht="16.5" customHeight="1" s="220">
      <c r="A812" s="1" t="n"/>
      <c r="B812" s="1" t="n"/>
      <c r="C812" s="2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  <c r="AR812" s="1" t="n"/>
      <c r="AS812" s="1" t="n"/>
      <c r="AT812" s="1" t="n"/>
      <c r="AU812" s="1" t="n"/>
      <c r="AV812" s="1" t="n"/>
      <c r="AW812" s="1" t="n"/>
      <c r="AX812" s="1" t="n"/>
      <c r="AY812" s="1" t="n"/>
      <c r="AZ812" s="1" t="n"/>
      <c r="BA812" s="1" t="n"/>
    </row>
    <row r="813" ht="16.5" customHeight="1" s="220">
      <c r="A813" s="1" t="n"/>
      <c r="B813" s="1" t="n"/>
      <c r="C813" s="2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  <c r="AR813" s="1" t="n"/>
      <c r="AS813" s="1" t="n"/>
      <c r="AT813" s="1" t="n"/>
      <c r="AU813" s="1" t="n"/>
      <c r="AV813" s="1" t="n"/>
      <c r="AW813" s="1" t="n"/>
      <c r="AX813" s="1" t="n"/>
      <c r="AY813" s="1" t="n"/>
      <c r="AZ813" s="1" t="n"/>
      <c r="BA813" s="1" t="n"/>
    </row>
    <row r="814" ht="16.5" customHeight="1" s="220">
      <c r="A814" s="1" t="n"/>
      <c r="B814" s="1" t="n"/>
      <c r="C814" s="2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  <c r="AR814" s="1" t="n"/>
      <c r="AS814" s="1" t="n"/>
      <c r="AT814" s="1" t="n"/>
      <c r="AU814" s="1" t="n"/>
      <c r="AV814" s="1" t="n"/>
      <c r="AW814" s="1" t="n"/>
      <c r="AX814" s="1" t="n"/>
      <c r="AY814" s="1" t="n"/>
      <c r="AZ814" s="1" t="n"/>
      <c r="BA814" s="1" t="n"/>
    </row>
    <row r="815" ht="16.5" customHeight="1" s="220">
      <c r="A815" s="1" t="n"/>
      <c r="B815" s="1" t="n"/>
      <c r="C815" s="2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  <c r="AR815" s="1" t="n"/>
      <c r="AS815" s="1" t="n"/>
      <c r="AT815" s="1" t="n"/>
      <c r="AU815" s="1" t="n"/>
      <c r="AV815" s="1" t="n"/>
      <c r="AW815" s="1" t="n"/>
      <c r="AX815" s="1" t="n"/>
      <c r="AY815" s="1" t="n"/>
      <c r="AZ815" s="1" t="n"/>
      <c r="BA815" s="1" t="n"/>
    </row>
    <row r="816" ht="16.5" customHeight="1" s="220">
      <c r="A816" s="1" t="n"/>
      <c r="B816" s="1" t="n"/>
      <c r="C816" s="2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  <c r="AR816" s="1" t="n"/>
      <c r="AS816" s="1" t="n"/>
      <c r="AT816" s="1" t="n"/>
      <c r="AU816" s="1" t="n"/>
      <c r="AV816" s="1" t="n"/>
      <c r="AW816" s="1" t="n"/>
      <c r="AX816" s="1" t="n"/>
      <c r="AY816" s="1" t="n"/>
      <c r="AZ816" s="1" t="n"/>
      <c r="BA816" s="1" t="n"/>
    </row>
    <row r="817" ht="16.5" customHeight="1" s="220">
      <c r="A817" s="1" t="n"/>
      <c r="B817" s="1" t="n"/>
      <c r="C817" s="2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  <c r="AR817" s="1" t="n"/>
      <c r="AS817" s="1" t="n"/>
      <c r="AT817" s="1" t="n"/>
      <c r="AU817" s="1" t="n"/>
      <c r="AV817" s="1" t="n"/>
      <c r="AW817" s="1" t="n"/>
      <c r="AX817" s="1" t="n"/>
      <c r="AY817" s="1" t="n"/>
      <c r="AZ817" s="1" t="n"/>
      <c r="BA817" s="1" t="n"/>
    </row>
    <row r="818" ht="16.5" customHeight="1" s="220">
      <c r="A818" s="1" t="n"/>
      <c r="B818" s="1" t="n"/>
      <c r="C818" s="2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Q818" s="1" t="n"/>
      <c r="AR818" s="1" t="n"/>
      <c r="AS818" s="1" t="n"/>
      <c r="AT818" s="1" t="n"/>
      <c r="AU818" s="1" t="n"/>
      <c r="AV818" s="1" t="n"/>
      <c r="AW818" s="1" t="n"/>
      <c r="AX818" s="1" t="n"/>
      <c r="AY818" s="1" t="n"/>
      <c r="AZ818" s="1" t="n"/>
      <c r="BA818" s="1" t="n"/>
    </row>
    <row r="819" ht="16.5" customHeight="1" s="220">
      <c r="A819" s="1" t="n"/>
      <c r="B819" s="1" t="n"/>
      <c r="C819" s="2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  <c r="AR819" s="1" t="n"/>
      <c r="AS819" s="1" t="n"/>
      <c r="AT819" s="1" t="n"/>
      <c r="AU819" s="1" t="n"/>
      <c r="AV819" s="1" t="n"/>
      <c r="AW819" s="1" t="n"/>
      <c r="AX819" s="1" t="n"/>
      <c r="AY819" s="1" t="n"/>
      <c r="AZ819" s="1" t="n"/>
      <c r="BA819" s="1" t="n"/>
    </row>
    <row r="820" ht="16.5" customHeight="1" s="220">
      <c r="A820" s="1" t="n"/>
      <c r="B820" s="1" t="n"/>
      <c r="C820" s="2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  <c r="AR820" s="1" t="n"/>
      <c r="AS820" s="1" t="n"/>
      <c r="AT820" s="1" t="n"/>
      <c r="AU820" s="1" t="n"/>
      <c r="AV820" s="1" t="n"/>
      <c r="AW820" s="1" t="n"/>
      <c r="AX820" s="1" t="n"/>
      <c r="AY820" s="1" t="n"/>
      <c r="AZ820" s="1" t="n"/>
      <c r="BA820" s="1" t="n"/>
    </row>
    <row r="821" ht="16.5" customHeight="1" s="220">
      <c r="A821" s="1" t="n"/>
      <c r="B821" s="1" t="n"/>
      <c r="C821" s="2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  <c r="AR821" s="1" t="n"/>
      <c r="AS821" s="1" t="n"/>
      <c r="AT821" s="1" t="n"/>
      <c r="AU821" s="1" t="n"/>
      <c r="AV821" s="1" t="n"/>
      <c r="AW821" s="1" t="n"/>
      <c r="AX821" s="1" t="n"/>
      <c r="AY821" s="1" t="n"/>
      <c r="AZ821" s="1" t="n"/>
      <c r="BA821" s="1" t="n"/>
    </row>
    <row r="822" ht="16.5" customHeight="1" s="220">
      <c r="A822" s="1" t="n"/>
      <c r="B822" s="1" t="n"/>
      <c r="C822" s="2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  <c r="AR822" s="1" t="n"/>
      <c r="AS822" s="1" t="n"/>
      <c r="AT822" s="1" t="n"/>
      <c r="AU822" s="1" t="n"/>
      <c r="AV822" s="1" t="n"/>
      <c r="AW822" s="1" t="n"/>
      <c r="AX822" s="1" t="n"/>
      <c r="AY822" s="1" t="n"/>
      <c r="AZ822" s="1" t="n"/>
      <c r="BA822" s="1" t="n"/>
    </row>
    <row r="823" ht="16.5" customHeight="1" s="220">
      <c r="A823" s="1" t="n"/>
      <c r="B823" s="1" t="n"/>
      <c r="C823" s="2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  <c r="AR823" s="1" t="n"/>
      <c r="AS823" s="1" t="n"/>
      <c r="AT823" s="1" t="n"/>
      <c r="AU823" s="1" t="n"/>
      <c r="AV823" s="1" t="n"/>
      <c r="AW823" s="1" t="n"/>
      <c r="AX823" s="1" t="n"/>
      <c r="AY823" s="1" t="n"/>
      <c r="AZ823" s="1" t="n"/>
      <c r="BA823" s="1" t="n"/>
    </row>
    <row r="824" ht="16.5" customHeight="1" s="220">
      <c r="A824" s="1" t="n"/>
      <c r="B824" s="1" t="n"/>
      <c r="C824" s="2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  <c r="AR824" s="1" t="n"/>
      <c r="AS824" s="1" t="n"/>
      <c r="AT824" s="1" t="n"/>
      <c r="AU824" s="1" t="n"/>
      <c r="AV824" s="1" t="n"/>
      <c r="AW824" s="1" t="n"/>
      <c r="AX824" s="1" t="n"/>
      <c r="AY824" s="1" t="n"/>
      <c r="AZ824" s="1" t="n"/>
      <c r="BA824" s="1" t="n"/>
    </row>
    <row r="825" ht="16.5" customHeight="1" s="220">
      <c r="A825" s="1" t="n"/>
      <c r="B825" s="1" t="n"/>
      <c r="C825" s="2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  <c r="AR825" s="1" t="n"/>
      <c r="AS825" s="1" t="n"/>
      <c r="AT825" s="1" t="n"/>
      <c r="AU825" s="1" t="n"/>
      <c r="AV825" s="1" t="n"/>
      <c r="AW825" s="1" t="n"/>
      <c r="AX825" s="1" t="n"/>
      <c r="AY825" s="1" t="n"/>
      <c r="AZ825" s="1" t="n"/>
      <c r="BA825" s="1" t="n"/>
    </row>
    <row r="826" ht="16.5" customHeight="1" s="220">
      <c r="A826" s="1" t="n"/>
      <c r="B826" s="1" t="n"/>
      <c r="C826" s="2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  <c r="AR826" s="1" t="n"/>
      <c r="AS826" s="1" t="n"/>
      <c r="AT826" s="1" t="n"/>
      <c r="AU826" s="1" t="n"/>
      <c r="AV826" s="1" t="n"/>
      <c r="AW826" s="1" t="n"/>
      <c r="AX826" s="1" t="n"/>
      <c r="AY826" s="1" t="n"/>
      <c r="AZ826" s="1" t="n"/>
      <c r="BA826" s="1" t="n"/>
    </row>
    <row r="827" ht="16.5" customHeight="1" s="220">
      <c r="A827" s="1" t="n"/>
      <c r="B827" s="1" t="n"/>
      <c r="C827" s="2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  <c r="AR827" s="1" t="n"/>
      <c r="AS827" s="1" t="n"/>
      <c r="AT827" s="1" t="n"/>
      <c r="AU827" s="1" t="n"/>
      <c r="AV827" s="1" t="n"/>
      <c r="AW827" s="1" t="n"/>
      <c r="AX827" s="1" t="n"/>
      <c r="AY827" s="1" t="n"/>
      <c r="AZ827" s="1" t="n"/>
      <c r="BA827" s="1" t="n"/>
    </row>
    <row r="828" ht="16.5" customHeight="1" s="220">
      <c r="A828" s="1" t="n"/>
      <c r="B828" s="1" t="n"/>
      <c r="C828" s="2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Q828" s="1" t="n"/>
      <c r="AR828" s="1" t="n"/>
      <c r="AS828" s="1" t="n"/>
      <c r="AT828" s="1" t="n"/>
      <c r="AU828" s="1" t="n"/>
      <c r="AV828" s="1" t="n"/>
      <c r="AW828" s="1" t="n"/>
      <c r="AX828" s="1" t="n"/>
      <c r="AY828" s="1" t="n"/>
      <c r="AZ828" s="1" t="n"/>
      <c r="BA828" s="1" t="n"/>
    </row>
    <row r="829" ht="16.5" customHeight="1" s="220">
      <c r="A829" s="1" t="n"/>
      <c r="B829" s="1" t="n"/>
      <c r="C829" s="2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  <c r="AR829" s="1" t="n"/>
      <c r="AS829" s="1" t="n"/>
      <c r="AT829" s="1" t="n"/>
      <c r="AU829" s="1" t="n"/>
      <c r="AV829" s="1" t="n"/>
      <c r="AW829" s="1" t="n"/>
      <c r="AX829" s="1" t="n"/>
      <c r="AY829" s="1" t="n"/>
      <c r="AZ829" s="1" t="n"/>
      <c r="BA829" s="1" t="n"/>
    </row>
    <row r="830" ht="16.5" customHeight="1" s="220">
      <c r="A830" s="1" t="n"/>
      <c r="B830" s="1" t="n"/>
      <c r="C830" s="2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  <c r="AR830" s="1" t="n"/>
      <c r="AS830" s="1" t="n"/>
      <c r="AT830" s="1" t="n"/>
      <c r="AU830" s="1" t="n"/>
      <c r="AV830" s="1" t="n"/>
      <c r="AW830" s="1" t="n"/>
      <c r="AX830" s="1" t="n"/>
      <c r="AY830" s="1" t="n"/>
      <c r="AZ830" s="1" t="n"/>
      <c r="BA830" s="1" t="n"/>
    </row>
    <row r="831" ht="16.5" customHeight="1" s="220">
      <c r="A831" s="1" t="n"/>
      <c r="B831" s="1" t="n"/>
      <c r="C831" s="2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  <c r="AR831" s="1" t="n"/>
      <c r="AS831" s="1" t="n"/>
      <c r="AT831" s="1" t="n"/>
      <c r="AU831" s="1" t="n"/>
      <c r="AV831" s="1" t="n"/>
      <c r="AW831" s="1" t="n"/>
      <c r="AX831" s="1" t="n"/>
      <c r="AY831" s="1" t="n"/>
      <c r="AZ831" s="1" t="n"/>
      <c r="BA831" s="1" t="n"/>
    </row>
    <row r="832" ht="16.5" customHeight="1" s="220">
      <c r="A832" s="1" t="n"/>
      <c r="B832" s="1" t="n"/>
      <c r="C832" s="2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  <c r="AR832" s="1" t="n"/>
      <c r="AS832" s="1" t="n"/>
      <c r="AT832" s="1" t="n"/>
      <c r="AU832" s="1" t="n"/>
      <c r="AV832" s="1" t="n"/>
      <c r="AW832" s="1" t="n"/>
      <c r="AX832" s="1" t="n"/>
      <c r="AY832" s="1" t="n"/>
      <c r="AZ832" s="1" t="n"/>
      <c r="BA832" s="1" t="n"/>
    </row>
    <row r="833" ht="16.5" customHeight="1" s="220">
      <c r="A833" s="1" t="n"/>
      <c r="B833" s="1" t="n"/>
      <c r="C833" s="2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  <c r="AR833" s="1" t="n"/>
      <c r="AS833" s="1" t="n"/>
      <c r="AT833" s="1" t="n"/>
      <c r="AU833" s="1" t="n"/>
      <c r="AV833" s="1" t="n"/>
      <c r="AW833" s="1" t="n"/>
      <c r="AX833" s="1" t="n"/>
      <c r="AY833" s="1" t="n"/>
      <c r="AZ833" s="1" t="n"/>
      <c r="BA833" s="1" t="n"/>
    </row>
    <row r="834" ht="16.5" customHeight="1" s="220">
      <c r="A834" s="1" t="n"/>
      <c r="B834" s="1" t="n"/>
      <c r="C834" s="2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  <c r="AR834" s="1" t="n"/>
      <c r="AS834" s="1" t="n"/>
      <c r="AT834" s="1" t="n"/>
      <c r="AU834" s="1" t="n"/>
      <c r="AV834" s="1" t="n"/>
      <c r="AW834" s="1" t="n"/>
      <c r="AX834" s="1" t="n"/>
      <c r="AY834" s="1" t="n"/>
      <c r="AZ834" s="1" t="n"/>
      <c r="BA834" s="1" t="n"/>
    </row>
    <row r="835" ht="16.5" customHeight="1" s="220">
      <c r="A835" s="1" t="n"/>
      <c r="B835" s="1" t="n"/>
      <c r="C835" s="2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  <c r="AR835" s="1" t="n"/>
      <c r="AS835" s="1" t="n"/>
      <c r="AT835" s="1" t="n"/>
      <c r="AU835" s="1" t="n"/>
      <c r="AV835" s="1" t="n"/>
      <c r="AW835" s="1" t="n"/>
      <c r="AX835" s="1" t="n"/>
      <c r="AY835" s="1" t="n"/>
      <c r="AZ835" s="1" t="n"/>
      <c r="BA835" s="1" t="n"/>
    </row>
    <row r="836" ht="16.5" customHeight="1" s="220">
      <c r="A836" s="1" t="n"/>
      <c r="B836" s="1" t="n"/>
      <c r="C836" s="2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  <c r="AR836" s="1" t="n"/>
      <c r="AS836" s="1" t="n"/>
      <c r="AT836" s="1" t="n"/>
      <c r="AU836" s="1" t="n"/>
      <c r="AV836" s="1" t="n"/>
      <c r="AW836" s="1" t="n"/>
      <c r="AX836" s="1" t="n"/>
      <c r="AY836" s="1" t="n"/>
      <c r="AZ836" s="1" t="n"/>
      <c r="BA836" s="1" t="n"/>
    </row>
    <row r="837" ht="16.5" customHeight="1" s="220">
      <c r="A837" s="1" t="n"/>
      <c r="B837" s="1" t="n"/>
      <c r="C837" s="2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  <c r="AR837" s="1" t="n"/>
      <c r="AS837" s="1" t="n"/>
      <c r="AT837" s="1" t="n"/>
      <c r="AU837" s="1" t="n"/>
      <c r="AV837" s="1" t="n"/>
      <c r="AW837" s="1" t="n"/>
      <c r="AX837" s="1" t="n"/>
      <c r="AY837" s="1" t="n"/>
      <c r="AZ837" s="1" t="n"/>
      <c r="BA837" s="1" t="n"/>
    </row>
    <row r="838" ht="16.5" customHeight="1" s="220">
      <c r="A838" s="1" t="n"/>
      <c r="B838" s="1" t="n"/>
      <c r="C838" s="2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  <c r="AR838" s="1" t="n"/>
      <c r="AS838" s="1" t="n"/>
      <c r="AT838" s="1" t="n"/>
      <c r="AU838" s="1" t="n"/>
      <c r="AV838" s="1" t="n"/>
      <c r="AW838" s="1" t="n"/>
      <c r="AX838" s="1" t="n"/>
      <c r="AY838" s="1" t="n"/>
      <c r="AZ838" s="1" t="n"/>
      <c r="BA838" s="1" t="n"/>
    </row>
    <row r="839" ht="16.5" customHeight="1" s="220">
      <c r="A839" s="1" t="n"/>
      <c r="B839" s="1" t="n"/>
      <c r="C839" s="2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  <c r="AR839" s="1" t="n"/>
      <c r="AS839" s="1" t="n"/>
      <c r="AT839" s="1" t="n"/>
      <c r="AU839" s="1" t="n"/>
      <c r="AV839" s="1" t="n"/>
      <c r="AW839" s="1" t="n"/>
      <c r="AX839" s="1" t="n"/>
      <c r="AY839" s="1" t="n"/>
      <c r="AZ839" s="1" t="n"/>
      <c r="BA839" s="1" t="n"/>
    </row>
    <row r="840" ht="16.5" customHeight="1" s="220">
      <c r="A840" s="1" t="n"/>
      <c r="B840" s="1" t="n"/>
      <c r="C840" s="2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  <c r="AR840" s="1" t="n"/>
      <c r="AS840" s="1" t="n"/>
      <c r="AT840" s="1" t="n"/>
      <c r="AU840" s="1" t="n"/>
      <c r="AV840" s="1" t="n"/>
      <c r="AW840" s="1" t="n"/>
      <c r="AX840" s="1" t="n"/>
      <c r="AY840" s="1" t="n"/>
      <c r="AZ840" s="1" t="n"/>
      <c r="BA840" s="1" t="n"/>
    </row>
    <row r="841" ht="16.5" customHeight="1" s="220">
      <c r="A841" s="1" t="n"/>
      <c r="B841" s="1" t="n"/>
      <c r="C841" s="2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  <c r="AR841" s="1" t="n"/>
      <c r="AS841" s="1" t="n"/>
      <c r="AT841" s="1" t="n"/>
      <c r="AU841" s="1" t="n"/>
      <c r="AV841" s="1" t="n"/>
      <c r="AW841" s="1" t="n"/>
      <c r="AX841" s="1" t="n"/>
      <c r="AY841" s="1" t="n"/>
      <c r="AZ841" s="1" t="n"/>
      <c r="BA841" s="1" t="n"/>
    </row>
    <row r="842" ht="16.5" customHeight="1" s="220">
      <c r="A842" s="1" t="n"/>
      <c r="B842" s="1" t="n"/>
      <c r="C842" s="2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  <c r="AR842" s="1" t="n"/>
      <c r="AS842" s="1" t="n"/>
      <c r="AT842" s="1" t="n"/>
      <c r="AU842" s="1" t="n"/>
      <c r="AV842" s="1" t="n"/>
      <c r="AW842" s="1" t="n"/>
      <c r="AX842" s="1" t="n"/>
      <c r="AY842" s="1" t="n"/>
      <c r="AZ842" s="1" t="n"/>
      <c r="BA842" s="1" t="n"/>
    </row>
    <row r="843" ht="16.5" customHeight="1" s="220">
      <c r="A843" s="1" t="n"/>
      <c r="B843" s="1" t="n"/>
      <c r="C843" s="2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  <c r="AR843" s="1" t="n"/>
      <c r="AS843" s="1" t="n"/>
      <c r="AT843" s="1" t="n"/>
      <c r="AU843" s="1" t="n"/>
      <c r="AV843" s="1" t="n"/>
      <c r="AW843" s="1" t="n"/>
      <c r="AX843" s="1" t="n"/>
      <c r="AY843" s="1" t="n"/>
      <c r="AZ843" s="1" t="n"/>
      <c r="BA843" s="1" t="n"/>
    </row>
    <row r="844" ht="16.5" customHeight="1" s="220">
      <c r="A844" s="1" t="n"/>
      <c r="B844" s="1" t="n"/>
      <c r="C844" s="2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  <c r="AR844" s="1" t="n"/>
      <c r="AS844" s="1" t="n"/>
      <c r="AT844" s="1" t="n"/>
      <c r="AU844" s="1" t="n"/>
      <c r="AV844" s="1" t="n"/>
      <c r="AW844" s="1" t="n"/>
      <c r="AX844" s="1" t="n"/>
      <c r="AY844" s="1" t="n"/>
      <c r="AZ844" s="1" t="n"/>
      <c r="BA844" s="1" t="n"/>
    </row>
    <row r="845" ht="16.5" customHeight="1" s="220">
      <c r="A845" s="1" t="n"/>
      <c r="B845" s="1" t="n"/>
      <c r="C845" s="2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  <c r="AR845" s="1" t="n"/>
      <c r="AS845" s="1" t="n"/>
      <c r="AT845" s="1" t="n"/>
      <c r="AU845" s="1" t="n"/>
      <c r="AV845" s="1" t="n"/>
      <c r="AW845" s="1" t="n"/>
      <c r="AX845" s="1" t="n"/>
      <c r="AY845" s="1" t="n"/>
      <c r="AZ845" s="1" t="n"/>
      <c r="BA845" s="1" t="n"/>
    </row>
    <row r="846" ht="16.5" customHeight="1" s="220">
      <c r="A846" s="1" t="n"/>
      <c r="B846" s="1" t="n"/>
      <c r="C846" s="2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  <c r="AR846" s="1" t="n"/>
      <c r="AS846" s="1" t="n"/>
      <c r="AT846" s="1" t="n"/>
      <c r="AU846" s="1" t="n"/>
      <c r="AV846" s="1" t="n"/>
      <c r="AW846" s="1" t="n"/>
      <c r="AX846" s="1" t="n"/>
      <c r="AY846" s="1" t="n"/>
      <c r="AZ846" s="1" t="n"/>
      <c r="BA846" s="1" t="n"/>
    </row>
    <row r="847" ht="16.5" customHeight="1" s="220">
      <c r="A847" s="1" t="n"/>
      <c r="B847" s="1" t="n"/>
      <c r="C847" s="2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  <c r="AR847" s="1" t="n"/>
      <c r="AS847" s="1" t="n"/>
      <c r="AT847" s="1" t="n"/>
      <c r="AU847" s="1" t="n"/>
      <c r="AV847" s="1" t="n"/>
      <c r="AW847" s="1" t="n"/>
      <c r="AX847" s="1" t="n"/>
      <c r="AY847" s="1" t="n"/>
      <c r="AZ847" s="1" t="n"/>
      <c r="BA847" s="1" t="n"/>
    </row>
    <row r="848" ht="16.5" customHeight="1" s="220">
      <c r="A848" s="1" t="n"/>
      <c r="B848" s="1" t="n"/>
      <c r="C848" s="2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  <c r="AR848" s="1" t="n"/>
      <c r="AS848" s="1" t="n"/>
      <c r="AT848" s="1" t="n"/>
      <c r="AU848" s="1" t="n"/>
      <c r="AV848" s="1" t="n"/>
      <c r="AW848" s="1" t="n"/>
      <c r="AX848" s="1" t="n"/>
      <c r="AY848" s="1" t="n"/>
      <c r="AZ848" s="1" t="n"/>
      <c r="BA848" s="1" t="n"/>
    </row>
    <row r="849" ht="16.5" customHeight="1" s="220">
      <c r="A849" s="1" t="n"/>
      <c r="B849" s="1" t="n"/>
      <c r="C849" s="2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  <c r="AR849" s="1" t="n"/>
      <c r="AS849" s="1" t="n"/>
      <c r="AT849" s="1" t="n"/>
      <c r="AU849" s="1" t="n"/>
      <c r="AV849" s="1" t="n"/>
      <c r="AW849" s="1" t="n"/>
      <c r="AX849" s="1" t="n"/>
      <c r="AY849" s="1" t="n"/>
      <c r="AZ849" s="1" t="n"/>
      <c r="BA849" s="1" t="n"/>
    </row>
    <row r="850" ht="16.5" customHeight="1" s="220">
      <c r="A850" s="1" t="n"/>
      <c r="B850" s="1" t="n"/>
      <c r="C850" s="2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  <c r="AR850" s="1" t="n"/>
      <c r="AS850" s="1" t="n"/>
      <c r="AT850" s="1" t="n"/>
      <c r="AU850" s="1" t="n"/>
      <c r="AV850" s="1" t="n"/>
      <c r="AW850" s="1" t="n"/>
      <c r="AX850" s="1" t="n"/>
      <c r="AY850" s="1" t="n"/>
      <c r="AZ850" s="1" t="n"/>
      <c r="BA850" s="1" t="n"/>
    </row>
    <row r="851" ht="16.5" customHeight="1" s="220">
      <c r="A851" s="1" t="n"/>
      <c r="B851" s="1" t="n"/>
      <c r="C851" s="2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  <c r="AR851" s="1" t="n"/>
      <c r="AS851" s="1" t="n"/>
      <c r="AT851" s="1" t="n"/>
      <c r="AU851" s="1" t="n"/>
      <c r="AV851" s="1" t="n"/>
      <c r="AW851" s="1" t="n"/>
      <c r="AX851" s="1" t="n"/>
      <c r="AY851" s="1" t="n"/>
      <c r="AZ851" s="1" t="n"/>
      <c r="BA851" s="1" t="n"/>
    </row>
    <row r="852" ht="16.5" customHeight="1" s="220">
      <c r="A852" s="1" t="n"/>
      <c r="B852" s="1" t="n"/>
      <c r="C852" s="2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  <c r="AR852" s="1" t="n"/>
      <c r="AS852" s="1" t="n"/>
      <c r="AT852" s="1" t="n"/>
      <c r="AU852" s="1" t="n"/>
      <c r="AV852" s="1" t="n"/>
      <c r="AW852" s="1" t="n"/>
      <c r="AX852" s="1" t="n"/>
      <c r="AY852" s="1" t="n"/>
      <c r="AZ852" s="1" t="n"/>
      <c r="BA852" s="1" t="n"/>
    </row>
    <row r="853" ht="16.5" customHeight="1" s="220">
      <c r="A853" s="1" t="n"/>
      <c r="B853" s="1" t="n"/>
      <c r="C853" s="2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  <c r="AR853" s="1" t="n"/>
      <c r="AS853" s="1" t="n"/>
      <c r="AT853" s="1" t="n"/>
      <c r="AU853" s="1" t="n"/>
      <c r="AV853" s="1" t="n"/>
      <c r="AW853" s="1" t="n"/>
      <c r="AX853" s="1" t="n"/>
      <c r="AY853" s="1" t="n"/>
      <c r="AZ853" s="1" t="n"/>
      <c r="BA853" s="1" t="n"/>
    </row>
    <row r="854" ht="16.5" customHeight="1" s="220">
      <c r="A854" s="1" t="n"/>
      <c r="B854" s="1" t="n"/>
      <c r="C854" s="2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  <c r="AR854" s="1" t="n"/>
      <c r="AS854" s="1" t="n"/>
      <c r="AT854" s="1" t="n"/>
      <c r="AU854" s="1" t="n"/>
      <c r="AV854" s="1" t="n"/>
      <c r="AW854" s="1" t="n"/>
      <c r="AX854" s="1" t="n"/>
      <c r="AY854" s="1" t="n"/>
      <c r="AZ854" s="1" t="n"/>
      <c r="BA854" s="1" t="n"/>
    </row>
    <row r="855" ht="16.5" customHeight="1" s="220">
      <c r="A855" s="1" t="n"/>
      <c r="B855" s="1" t="n"/>
      <c r="C855" s="2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  <c r="AR855" s="1" t="n"/>
      <c r="AS855" s="1" t="n"/>
      <c r="AT855" s="1" t="n"/>
      <c r="AU855" s="1" t="n"/>
      <c r="AV855" s="1" t="n"/>
      <c r="AW855" s="1" t="n"/>
      <c r="AX855" s="1" t="n"/>
      <c r="AY855" s="1" t="n"/>
      <c r="AZ855" s="1" t="n"/>
      <c r="BA855" s="1" t="n"/>
    </row>
    <row r="856" ht="16.5" customHeight="1" s="220">
      <c r="A856" s="1" t="n"/>
      <c r="B856" s="1" t="n"/>
      <c r="C856" s="2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  <c r="AR856" s="1" t="n"/>
      <c r="AS856" s="1" t="n"/>
      <c r="AT856" s="1" t="n"/>
      <c r="AU856" s="1" t="n"/>
      <c r="AV856" s="1" t="n"/>
      <c r="AW856" s="1" t="n"/>
      <c r="AX856" s="1" t="n"/>
      <c r="AY856" s="1" t="n"/>
      <c r="AZ856" s="1" t="n"/>
      <c r="BA856" s="1" t="n"/>
    </row>
    <row r="857" ht="16.5" customHeight="1" s="220">
      <c r="A857" s="1" t="n"/>
      <c r="B857" s="1" t="n"/>
      <c r="C857" s="2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  <c r="AR857" s="1" t="n"/>
      <c r="AS857" s="1" t="n"/>
      <c r="AT857" s="1" t="n"/>
      <c r="AU857" s="1" t="n"/>
      <c r="AV857" s="1" t="n"/>
      <c r="AW857" s="1" t="n"/>
      <c r="AX857" s="1" t="n"/>
      <c r="AY857" s="1" t="n"/>
      <c r="AZ857" s="1" t="n"/>
      <c r="BA857" s="1" t="n"/>
    </row>
    <row r="858" ht="16.5" customHeight="1" s="220">
      <c r="A858" s="1" t="n"/>
      <c r="B858" s="1" t="n"/>
      <c r="C858" s="2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  <c r="AR858" s="1" t="n"/>
      <c r="AS858" s="1" t="n"/>
      <c r="AT858" s="1" t="n"/>
      <c r="AU858" s="1" t="n"/>
      <c r="AV858" s="1" t="n"/>
      <c r="AW858" s="1" t="n"/>
      <c r="AX858" s="1" t="n"/>
      <c r="AY858" s="1" t="n"/>
      <c r="AZ858" s="1" t="n"/>
      <c r="BA858" s="1" t="n"/>
    </row>
    <row r="859" ht="16.5" customHeight="1" s="220">
      <c r="A859" s="1" t="n"/>
      <c r="B859" s="1" t="n"/>
      <c r="C859" s="2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  <c r="AR859" s="1" t="n"/>
      <c r="AS859" s="1" t="n"/>
      <c r="AT859" s="1" t="n"/>
      <c r="AU859" s="1" t="n"/>
      <c r="AV859" s="1" t="n"/>
      <c r="AW859" s="1" t="n"/>
      <c r="AX859" s="1" t="n"/>
      <c r="AY859" s="1" t="n"/>
      <c r="AZ859" s="1" t="n"/>
      <c r="BA859" s="1" t="n"/>
    </row>
    <row r="860" ht="16.5" customHeight="1" s="220">
      <c r="A860" s="1" t="n"/>
      <c r="B860" s="1" t="n"/>
      <c r="C860" s="2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  <c r="AW860" s="1" t="n"/>
      <c r="AX860" s="1" t="n"/>
      <c r="AY860" s="1" t="n"/>
      <c r="AZ860" s="1" t="n"/>
      <c r="BA860" s="1" t="n"/>
    </row>
    <row r="861" ht="16.5" customHeight="1" s="220">
      <c r="A861" s="1" t="n"/>
      <c r="B861" s="1" t="n"/>
      <c r="C861" s="2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  <c r="AX861" s="1" t="n"/>
      <c r="AY861" s="1" t="n"/>
      <c r="AZ861" s="1" t="n"/>
      <c r="BA861" s="1" t="n"/>
    </row>
    <row r="862" ht="16.5" customHeight="1" s="220">
      <c r="A862" s="1" t="n"/>
      <c r="B862" s="1" t="n"/>
      <c r="C862" s="2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  <c r="AW862" s="1" t="n"/>
      <c r="AX862" s="1" t="n"/>
      <c r="AY862" s="1" t="n"/>
      <c r="AZ862" s="1" t="n"/>
      <c r="BA862" s="1" t="n"/>
    </row>
    <row r="863" ht="16.5" customHeight="1" s="220">
      <c r="A863" s="1" t="n"/>
      <c r="B863" s="1" t="n"/>
      <c r="C863" s="2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  <c r="AX863" s="1" t="n"/>
      <c r="AY863" s="1" t="n"/>
      <c r="AZ863" s="1" t="n"/>
      <c r="BA863" s="1" t="n"/>
    </row>
    <row r="864" ht="16.5" customHeight="1" s="220">
      <c r="A864" s="1" t="n"/>
      <c r="B864" s="1" t="n"/>
      <c r="C864" s="2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  <c r="AS864" s="1" t="n"/>
      <c r="AT864" s="1" t="n"/>
      <c r="AU864" s="1" t="n"/>
      <c r="AV864" s="1" t="n"/>
      <c r="AW864" s="1" t="n"/>
      <c r="AX864" s="1" t="n"/>
      <c r="AY864" s="1" t="n"/>
      <c r="AZ864" s="1" t="n"/>
      <c r="BA864" s="1" t="n"/>
    </row>
    <row r="865" ht="16.5" customHeight="1" s="220">
      <c r="A865" s="1" t="n"/>
      <c r="B865" s="1" t="n"/>
      <c r="C865" s="2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  <c r="AX865" s="1" t="n"/>
      <c r="AY865" s="1" t="n"/>
      <c r="AZ865" s="1" t="n"/>
      <c r="BA865" s="1" t="n"/>
    </row>
    <row r="866" ht="16.5" customHeight="1" s="220">
      <c r="A866" s="1" t="n"/>
      <c r="B866" s="1" t="n"/>
      <c r="C866" s="2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  <c r="AS866" s="1" t="n"/>
      <c r="AT866" s="1" t="n"/>
      <c r="AU866" s="1" t="n"/>
      <c r="AV866" s="1" t="n"/>
      <c r="AW866" s="1" t="n"/>
      <c r="AX866" s="1" t="n"/>
      <c r="AY866" s="1" t="n"/>
      <c r="AZ866" s="1" t="n"/>
      <c r="BA866" s="1" t="n"/>
    </row>
    <row r="867" ht="16.5" customHeight="1" s="220">
      <c r="A867" s="1" t="n"/>
      <c r="B867" s="1" t="n"/>
      <c r="C867" s="2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  <c r="AX867" s="1" t="n"/>
      <c r="AY867" s="1" t="n"/>
      <c r="AZ867" s="1" t="n"/>
      <c r="BA867" s="1" t="n"/>
    </row>
    <row r="868" ht="16.5" customHeight="1" s="220">
      <c r="A868" s="1" t="n"/>
      <c r="B868" s="1" t="n"/>
      <c r="C868" s="2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  <c r="AS868" s="1" t="n"/>
      <c r="AT868" s="1" t="n"/>
      <c r="AU868" s="1" t="n"/>
      <c r="AV868" s="1" t="n"/>
      <c r="AW868" s="1" t="n"/>
      <c r="AX868" s="1" t="n"/>
      <c r="AY868" s="1" t="n"/>
      <c r="AZ868" s="1" t="n"/>
      <c r="BA868" s="1" t="n"/>
    </row>
    <row r="869" ht="16.5" customHeight="1" s="220">
      <c r="A869" s="1" t="n"/>
      <c r="B869" s="1" t="n"/>
      <c r="C869" s="2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  <c r="AX869" s="1" t="n"/>
      <c r="AY869" s="1" t="n"/>
      <c r="AZ869" s="1" t="n"/>
      <c r="BA869" s="1" t="n"/>
    </row>
    <row r="870" ht="16.5" customHeight="1" s="220">
      <c r="A870" s="1" t="n"/>
      <c r="B870" s="1" t="n"/>
      <c r="C870" s="2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  <c r="AS870" s="1" t="n"/>
      <c r="AT870" s="1" t="n"/>
      <c r="AU870" s="1" t="n"/>
      <c r="AV870" s="1" t="n"/>
      <c r="AW870" s="1" t="n"/>
      <c r="AX870" s="1" t="n"/>
      <c r="AY870" s="1" t="n"/>
      <c r="AZ870" s="1" t="n"/>
      <c r="BA870" s="1" t="n"/>
    </row>
    <row r="871" ht="16.5" customHeight="1" s="220">
      <c r="A871" s="1" t="n"/>
      <c r="B871" s="1" t="n"/>
      <c r="C871" s="2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  <c r="AW871" s="1" t="n"/>
      <c r="AX871" s="1" t="n"/>
      <c r="AY871" s="1" t="n"/>
      <c r="AZ871" s="1" t="n"/>
      <c r="BA871" s="1" t="n"/>
    </row>
    <row r="872" ht="16.5" customHeight="1" s="220">
      <c r="A872" s="1" t="n"/>
      <c r="B872" s="1" t="n"/>
      <c r="C872" s="2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  <c r="AS872" s="1" t="n"/>
      <c r="AT872" s="1" t="n"/>
      <c r="AU872" s="1" t="n"/>
      <c r="AV872" s="1" t="n"/>
      <c r="AW872" s="1" t="n"/>
      <c r="AX872" s="1" t="n"/>
      <c r="AY872" s="1" t="n"/>
      <c r="AZ872" s="1" t="n"/>
      <c r="BA872" s="1" t="n"/>
    </row>
    <row r="873" ht="16.5" customHeight="1" s="220">
      <c r="A873" s="1" t="n"/>
      <c r="B873" s="1" t="n"/>
      <c r="C873" s="2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  <c r="AW873" s="1" t="n"/>
      <c r="AX873" s="1" t="n"/>
      <c r="AY873" s="1" t="n"/>
      <c r="AZ873" s="1" t="n"/>
      <c r="BA873" s="1" t="n"/>
    </row>
    <row r="874" ht="16.5" customHeight="1" s="220">
      <c r="A874" s="1" t="n"/>
      <c r="B874" s="1" t="n"/>
      <c r="C874" s="2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  <c r="AS874" s="1" t="n"/>
      <c r="AT874" s="1" t="n"/>
      <c r="AU874" s="1" t="n"/>
      <c r="AV874" s="1" t="n"/>
      <c r="AW874" s="1" t="n"/>
      <c r="AX874" s="1" t="n"/>
      <c r="AY874" s="1" t="n"/>
      <c r="AZ874" s="1" t="n"/>
      <c r="BA874" s="1" t="n"/>
    </row>
    <row r="875" ht="16.5" customHeight="1" s="220">
      <c r="A875" s="1" t="n"/>
      <c r="B875" s="1" t="n"/>
      <c r="C875" s="2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  <c r="AX875" s="1" t="n"/>
      <c r="AY875" s="1" t="n"/>
      <c r="AZ875" s="1" t="n"/>
      <c r="BA875" s="1" t="n"/>
    </row>
    <row r="876" ht="16.5" customHeight="1" s="220">
      <c r="A876" s="1" t="n"/>
      <c r="B876" s="1" t="n"/>
      <c r="C876" s="2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  <c r="AS876" s="1" t="n"/>
      <c r="AT876" s="1" t="n"/>
      <c r="AU876" s="1" t="n"/>
      <c r="AV876" s="1" t="n"/>
      <c r="AW876" s="1" t="n"/>
      <c r="AX876" s="1" t="n"/>
      <c r="AY876" s="1" t="n"/>
      <c r="AZ876" s="1" t="n"/>
      <c r="BA876" s="1" t="n"/>
    </row>
    <row r="877" ht="16.5" customHeight="1" s="220">
      <c r="A877" s="1" t="n"/>
      <c r="B877" s="1" t="n"/>
      <c r="C877" s="2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  <c r="AW877" s="1" t="n"/>
      <c r="AX877" s="1" t="n"/>
      <c r="AY877" s="1" t="n"/>
      <c r="AZ877" s="1" t="n"/>
      <c r="BA877" s="1" t="n"/>
    </row>
    <row r="878" ht="16.5" customHeight="1" s="220">
      <c r="A878" s="1" t="n"/>
      <c r="B878" s="1" t="n"/>
      <c r="C878" s="2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  <c r="AS878" s="1" t="n"/>
      <c r="AT878" s="1" t="n"/>
      <c r="AU878" s="1" t="n"/>
      <c r="AV878" s="1" t="n"/>
      <c r="AW878" s="1" t="n"/>
      <c r="AX878" s="1" t="n"/>
      <c r="AY878" s="1" t="n"/>
      <c r="AZ878" s="1" t="n"/>
      <c r="BA878" s="1" t="n"/>
    </row>
    <row r="879" ht="16.5" customHeight="1" s="220">
      <c r="A879" s="1" t="n"/>
      <c r="B879" s="1" t="n"/>
      <c r="C879" s="2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  <c r="AX879" s="1" t="n"/>
      <c r="AY879" s="1" t="n"/>
      <c r="AZ879" s="1" t="n"/>
      <c r="BA879" s="1" t="n"/>
    </row>
    <row r="880" ht="16.5" customHeight="1" s="220">
      <c r="A880" s="1" t="n"/>
      <c r="B880" s="1" t="n"/>
      <c r="C880" s="2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  <c r="AS880" s="1" t="n"/>
      <c r="AT880" s="1" t="n"/>
      <c r="AU880" s="1" t="n"/>
      <c r="AV880" s="1" t="n"/>
      <c r="AW880" s="1" t="n"/>
      <c r="AX880" s="1" t="n"/>
      <c r="AY880" s="1" t="n"/>
      <c r="AZ880" s="1" t="n"/>
      <c r="BA880" s="1" t="n"/>
    </row>
    <row r="881" ht="16.5" customHeight="1" s="220">
      <c r="A881" s="1" t="n"/>
      <c r="B881" s="1" t="n"/>
      <c r="C881" s="2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  <c r="AW881" s="1" t="n"/>
      <c r="AX881" s="1" t="n"/>
      <c r="AY881" s="1" t="n"/>
      <c r="AZ881" s="1" t="n"/>
      <c r="BA881" s="1" t="n"/>
    </row>
    <row r="882" ht="16.5" customHeight="1" s="220">
      <c r="A882" s="1" t="n"/>
      <c r="B882" s="1" t="n"/>
      <c r="C882" s="2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  <c r="AS882" s="1" t="n"/>
      <c r="AT882" s="1" t="n"/>
      <c r="AU882" s="1" t="n"/>
      <c r="AV882" s="1" t="n"/>
      <c r="AW882" s="1" t="n"/>
      <c r="AX882" s="1" t="n"/>
      <c r="AY882" s="1" t="n"/>
      <c r="AZ882" s="1" t="n"/>
      <c r="BA882" s="1" t="n"/>
    </row>
    <row r="883" ht="16.5" customHeight="1" s="220">
      <c r="A883" s="1" t="n"/>
      <c r="B883" s="1" t="n"/>
      <c r="C883" s="2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  <c r="AW883" s="1" t="n"/>
      <c r="AX883" s="1" t="n"/>
      <c r="AY883" s="1" t="n"/>
      <c r="AZ883" s="1" t="n"/>
      <c r="BA883" s="1" t="n"/>
    </row>
    <row r="884" ht="16.5" customHeight="1" s="220">
      <c r="A884" s="1" t="n"/>
      <c r="B884" s="1" t="n"/>
      <c r="C884" s="2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  <c r="AS884" s="1" t="n"/>
      <c r="AT884" s="1" t="n"/>
      <c r="AU884" s="1" t="n"/>
      <c r="AV884" s="1" t="n"/>
      <c r="AW884" s="1" t="n"/>
      <c r="AX884" s="1" t="n"/>
      <c r="AY884" s="1" t="n"/>
      <c r="AZ884" s="1" t="n"/>
      <c r="BA884" s="1" t="n"/>
    </row>
    <row r="885" ht="16.5" customHeight="1" s="220">
      <c r="A885" s="1" t="n"/>
      <c r="B885" s="1" t="n"/>
      <c r="C885" s="2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  <c r="AX885" s="1" t="n"/>
      <c r="AY885" s="1" t="n"/>
      <c r="AZ885" s="1" t="n"/>
      <c r="BA885" s="1" t="n"/>
    </row>
    <row r="886" ht="16.5" customHeight="1" s="220">
      <c r="A886" s="1" t="n"/>
      <c r="B886" s="1" t="n"/>
      <c r="C886" s="2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  <c r="AS886" s="1" t="n"/>
      <c r="AT886" s="1" t="n"/>
      <c r="AU886" s="1" t="n"/>
      <c r="AV886" s="1" t="n"/>
      <c r="AW886" s="1" t="n"/>
      <c r="AX886" s="1" t="n"/>
      <c r="AY886" s="1" t="n"/>
      <c r="AZ886" s="1" t="n"/>
      <c r="BA886" s="1" t="n"/>
    </row>
    <row r="887" ht="16.5" customHeight="1" s="220">
      <c r="A887" s="1" t="n"/>
      <c r="B887" s="1" t="n"/>
      <c r="C887" s="2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  <c r="AR887" s="1" t="n"/>
      <c r="AS887" s="1" t="n"/>
      <c r="AT887" s="1" t="n"/>
      <c r="AU887" s="1" t="n"/>
      <c r="AV887" s="1" t="n"/>
      <c r="AW887" s="1" t="n"/>
      <c r="AX887" s="1" t="n"/>
      <c r="AY887" s="1" t="n"/>
      <c r="AZ887" s="1" t="n"/>
      <c r="BA887" s="1" t="n"/>
    </row>
    <row r="888" ht="16.5" customHeight="1" s="220">
      <c r="A888" s="1" t="n"/>
      <c r="B888" s="1" t="n"/>
      <c r="C888" s="2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Q888" s="1" t="n"/>
      <c r="AR888" s="1" t="n"/>
      <c r="AS888" s="1" t="n"/>
      <c r="AT888" s="1" t="n"/>
      <c r="AU888" s="1" t="n"/>
      <c r="AV888" s="1" t="n"/>
      <c r="AW888" s="1" t="n"/>
      <c r="AX888" s="1" t="n"/>
      <c r="AY888" s="1" t="n"/>
      <c r="AZ888" s="1" t="n"/>
      <c r="BA888" s="1" t="n"/>
    </row>
    <row r="889" ht="16.5" customHeight="1" s="220">
      <c r="A889" s="1" t="n"/>
      <c r="B889" s="1" t="n"/>
      <c r="C889" s="2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  <c r="AR889" s="1" t="n"/>
      <c r="AS889" s="1" t="n"/>
      <c r="AT889" s="1" t="n"/>
      <c r="AU889" s="1" t="n"/>
      <c r="AV889" s="1" t="n"/>
      <c r="AW889" s="1" t="n"/>
      <c r="AX889" s="1" t="n"/>
      <c r="AY889" s="1" t="n"/>
      <c r="AZ889" s="1" t="n"/>
      <c r="BA889" s="1" t="n"/>
    </row>
    <row r="890" ht="16.5" customHeight="1" s="220">
      <c r="A890" s="1" t="n"/>
      <c r="B890" s="1" t="n"/>
      <c r="C890" s="2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Q890" s="1" t="n"/>
      <c r="AR890" s="1" t="n"/>
      <c r="AS890" s="1" t="n"/>
      <c r="AT890" s="1" t="n"/>
      <c r="AU890" s="1" t="n"/>
      <c r="AV890" s="1" t="n"/>
      <c r="AW890" s="1" t="n"/>
      <c r="AX890" s="1" t="n"/>
      <c r="AY890" s="1" t="n"/>
      <c r="AZ890" s="1" t="n"/>
      <c r="BA890" s="1" t="n"/>
    </row>
    <row r="891" ht="16.5" customHeight="1" s="220">
      <c r="A891" s="1" t="n"/>
      <c r="B891" s="1" t="n"/>
      <c r="C891" s="2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  <c r="AR891" s="1" t="n"/>
      <c r="AS891" s="1" t="n"/>
      <c r="AT891" s="1" t="n"/>
      <c r="AU891" s="1" t="n"/>
      <c r="AV891" s="1" t="n"/>
      <c r="AW891" s="1" t="n"/>
      <c r="AX891" s="1" t="n"/>
      <c r="AY891" s="1" t="n"/>
      <c r="AZ891" s="1" t="n"/>
      <c r="BA891" s="1" t="n"/>
    </row>
    <row r="892" ht="16.5" customHeight="1" s="220">
      <c r="A892" s="1" t="n"/>
      <c r="B892" s="1" t="n"/>
      <c r="C892" s="2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Q892" s="1" t="n"/>
      <c r="AR892" s="1" t="n"/>
      <c r="AS892" s="1" t="n"/>
      <c r="AT892" s="1" t="n"/>
      <c r="AU892" s="1" t="n"/>
      <c r="AV892" s="1" t="n"/>
      <c r="AW892" s="1" t="n"/>
      <c r="AX892" s="1" t="n"/>
      <c r="AY892" s="1" t="n"/>
      <c r="AZ892" s="1" t="n"/>
      <c r="BA892" s="1" t="n"/>
    </row>
    <row r="893" ht="16.5" customHeight="1" s="220">
      <c r="A893" s="1" t="n"/>
      <c r="B893" s="1" t="n"/>
      <c r="C893" s="2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  <c r="AR893" s="1" t="n"/>
      <c r="AS893" s="1" t="n"/>
      <c r="AT893" s="1" t="n"/>
      <c r="AU893" s="1" t="n"/>
      <c r="AV893" s="1" t="n"/>
      <c r="AW893" s="1" t="n"/>
      <c r="AX893" s="1" t="n"/>
      <c r="AY893" s="1" t="n"/>
      <c r="AZ893" s="1" t="n"/>
      <c r="BA893" s="1" t="n"/>
    </row>
    <row r="894" ht="16.5" customHeight="1" s="220">
      <c r="A894" s="1" t="n"/>
      <c r="B894" s="1" t="n"/>
      <c r="C894" s="2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Q894" s="1" t="n"/>
      <c r="AR894" s="1" t="n"/>
      <c r="AS894" s="1" t="n"/>
      <c r="AT894" s="1" t="n"/>
      <c r="AU894" s="1" t="n"/>
      <c r="AV894" s="1" t="n"/>
      <c r="AW894" s="1" t="n"/>
      <c r="AX894" s="1" t="n"/>
      <c r="AY894" s="1" t="n"/>
      <c r="AZ894" s="1" t="n"/>
      <c r="BA894" s="1" t="n"/>
    </row>
    <row r="895" ht="16.5" customHeight="1" s="220">
      <c r="A895" s="1" t="n"/>
      <c r="B895" s="1" t="n"/>
      <c r="C895" s="2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  <c r="AR895" s="1" t="n"/>
      <c r="AS895" s="1" t="n"/>
      <c r="AT895" s="1" t="n"/>
      <c r="AU895" s="1" t="n"/>
      <c r="AV895" s="1" t="n"/>
      <c r="AW895" s="1" t="n"/>
      <c r="AX895" s="1" t="n"/>
      <c r="AY895" s="1" t="n"/>
      <c r="AZ895" s="1" t="n"/>
      <c r="BA895" s="1" t="n"/>
    </row>
    <row r="896" ht="16.5" customHeight="1" s="220">
      <c r="A896" s="1" t="n"/>
      <c r="B896" s="1" t="n"/>
      <c r="C896" s="2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Q896" s="1" t="n"/>
      <c r="AR896" s="1" t="n"/>
      <c r="AS896" s="1" t="n"/>
      <c r="AT896" s="1" t="n"/>
      <c r="AU896" s="1" t="n"/>
      <c r="AV896" s="1" t="n"/>
      <c r="AW896" s="1" t="n"/>
      <c r="AX896" s="1" t="n"/>
      <c r="AY896" s="1" t="n"/>
      <c r="AZ896" s="1" t="n"/>
      <c r="BA896" s="1" t="n"/>
    </row>
    <row r="897" ht="16.5" customHeight="1" s="220">
      <c r="A897" s="1" t="n"/>
      <c r="B897" s="1" t="n"/>
      <c r="C897" s="2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  <c r="AR897" s="1" t="n"/>
      <c r="AS897" s="1" t="n"/>
      <c r="AT897" s="1" t="n"/>
      <c r="AU897" s="1" t="n"/>
      <c r="AV897" s="1" t="n"/>
      <c r="AW897" s="1" t="n"/>
      <c r="AX897" s="1" t="n"/>
      <c r="AY897" s="1" t="n"/>
      <c r="AZ897" s="1" t="n"/>
      <c r="BA897" s="1" t="n"/>
    </row>
    <row r="898" ht="16.5" customHeight="1" s="220">
      <c r="A898" s="1" t="n"/>
      <c r="B898" s="1" t="n"/>
      <c r="C898" s="2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Q898" s="1" t="n"/>
      <c r="AR898" s="1" t="n"/>
      <c r="AS898" s="1" t="n"/>
      <c r="AT898" s="1" t="n"/>
      <c r="AU898" s="1" t="n"/>
      <c r="AV898" s="1" t="n"/>
      <c r="AW898" s="1" t="n"/>
      <c r="AX898" s="1" t="n"/>
      <c r="AY898" s="1" t="n"/>
      <c r="AZ898" s="1" t="n"/>
      <c r="BA898" s="1" t="n"/>
    </row>
    <row r="899" ht="16.5" customHeight="1" s="220">
      <c r="A899" s="1" t="n"/>
      <c r="B899" s="1" t="n"/>
      <c r="C899" s="2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  <c r="AR899" s="1" t="n"/>
      <c r="AS899" s="1" t="n"/>
      <c r="AT899" s="1" t="n"/>
      <c r="AU899" s="1" t="n"/>
      <c r="AV899" s="1" t="n"/>
      <c r="AW899" s="1" t="n"/>
      <c r="AX899" s="1" t="n"/>
      <c r="AY899" s="1" t="n"/>
      <c r="AZ899" s="1" t="n"/>
      <c r="BA899" s="1" t="n"/>
    </row>
    <row r="900" ht="16.5" customHeight="1" s="220">
      <c r="A900" s="1" t="n"/>
      <c r="B900" s="1" t="n"/>
      <c r="C900" s="2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Q900" s="1" t="n"/>
      <c r="AR900" s="1" t="n"/>
      <c r="AS900" s="1" t="n"/>
      <c r="AT900" s="1" t="n"/>
      <c r="AU900" s="1" t="n"/>
      <c r="AV900" s="1" t="n"/>
      <c r="AW900" s="1" t="n"/>
      <c r="AX900" s="1" t="n"/>
      <c r="AY900" s="1" t="n"/>
      <c r="AZ900" s="1" t="n"/>
      <c r="BA900" s="1" t="n"/>
    </row>
    <row r="901" ht="16.5" customHeight="1" s="220">
      <c r="A901" s="1" t="n"/>
      <c r="B901" s="1" t="n"/>
      <c r="C901" s="2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  <c r="AR901" s="1" t="n"/>
      <c r="AS901" s="1" t="n"/>
      <c r="AT901" s="1" t="n"/>
      <c r="AU901" s="1" t="n"/>
      <c r="AV901" s="1" t="n"/>
      <c r="AW901" s="1" t="n"/>
      <c r="AX901" s="1" t="n"/>
      <c r="AY901" s="1" t="n"/>
      <c r="AZ901" s="1" t="n"/>
      <c r="BA901" s="1" t="n"/>
    </row>
    <row r="902" ht="16.5" customHeight="1" s="220">
      <c r="A902" s="1" t="n"/>
      <c r="B902" s="1" t="n"/>
      <c r="C902" s="2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Q902" s="1" t="n"/>
      <c r="AR902" s="1" t="n"/>
      <c r="AS902" s="1" t="n"/>
      <c r="AT902" s="1" t="n"/>
      <c r="AU902" s="1" t="n"/>
      <c r="AV902" s="1" t="n"/>
      <c r="AW902" s="1" t="n"/>
      <c r="AX902" s="1" t="n"/>
      <c r="AY902" s="1" t="n"/>
      <c r="AZ902" s="1" t="n"/>
      <c r="BA902" s="1" t="n"/>
    </row>
    <row r="903" ht="16.5" customHeight="1" s="220">
      <c r="A903" s="1" t="n"/>
      <c r="B903" s="1" t="n"/>
      <c r="C903" s="2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  <c r="AR903" s="1" t="n"/>
      <c r="AS903" s="1" t="n"/>
      <c r="AT903" s="1" t="n"/>
      <c r="AU903" s="1" t="n"/>
      <c r="AV903" s="1" t="n"/>
      <c r="AW903" s="1" t="n"/>
      <c r="AX903" s="1" t="n"/>
      <c r="AY903" s="1" t="n"/>
      <c r="AZ903" s="1" t="n"/>
      <c r="BA903" s="1" t="n"/>
    </row>
    <row r="904" ht="16.5" customHeight="1" s="220">
      <c r="A904" s="1" t="n"/>
      <c r="B904" s="1" t="n"/>
      <c r="C904" s="2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Q904" s="1" t="n"/>
      <c r="AR904" s="1" t="n"/>
      <c r="AS904" s="1" t="n"/>
      <c r="AT904" s="1" t="n"/>
      <c r="AU904" s="1" t="n"/>
      <c r="AV904" s="1" t="n"/>
      <c r="AW904" s="1" t="n"/>
      <c r="AX904" s="1" t="n"/>
      <c r="AY904" s="1" t="n"/>
      <c r="AZ904" s="1" t="n"/>
      <c r="BA904" s="1" t="n"/>
    </row>
    <row r="905" ht="16.5" customHeight="1" s="220">
      <c r="A905" s="1" t="n"/>
      <c r="B905" s="1" t="n"/>
      <c r="C905" s="2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  <c r="AR905" s="1" t="n"/>
      <c r="AS905" s="1" t="n"/>
      <c r="AT905" s="1" t="n"/>
      <c r="AU905" s="1" t="n"/>
      <c r="AV905" s="1" t="n"/>
      <c r="AW905" s="1" t="n"/>
      <c r="AX905" s="1" t="n"/>
      <c r="AY905" s="1" t="n"/>
      <c r="AZ905" s="1" t="n"/>
      <c r="BA905" s="1" t="n"/>
    </row>
    <row r="906" ht="16.5" customHeight="1" s="220">
      <c r="A906" s="1" t="n"/>
      <c r="B906" s="1" t="n"/>
      <c r="C906" s="2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Q906" s="1" t="n"/>
      <c r="AR906" s="1" t="n"/>
      <c r="AS906" s="1" t="n"/>
      <c r="AT906" s="1" t="n"/>
      <c r="AU906" s="1" t="n"/>
      <c r="AV906" s="1" t="n"/>
      <c r="AW906" s="1" t="n"/>
      <c r="AX906" s="1" t="n"/>
      <c r="AY906" s="1" t="n"/>
      <c r="AZ906" s="1" t="n"/>
      <c r="BA906" s="1" t="n"/>
    </row>
    <row r="907" ht="16.5" customHeight="1" s="220">
      <c r="A907" s="1" t="n"/>
      <c r="B907" s="1" t="n"/>
      <c r="C907" s="2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  <c r="AR907" s="1" t="n"/>
      <c r="AS907" s="1" t="n"/>
      <c r="AT907" s="1" t="n"/>
      <c r="AU907" s="1" t="n"/>
      <c r="AV907" s="1" t="n"/>
      <c r="AW907" s="1" t="n"/>
      <c r="AX907" s="1" t="n"/>
      <c r="AY907" s="1" t="n"/>
      <c r="AZ907" s="1" t="n"/>
      <c r="BA907" s="1" t="n"/>
    </row>
    <row r="908" ht="16.5" customHeight="1" s="220">
      <c r="A908" s="1" t="n"/>
      <c r="B908" s="1" t="n"/>
      <c r="C908" s="2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Q908" s="1" t="n"/>
      <c r="AR908" s="1" t="n"/>
      <c r="AS908" s="1" t="n"/>
      <c r="AT908" s="1" t="n"/>
      <c r="AU908" s="1" t="n"/>
      <c r="AV908" s="1" t="n"/>
      <c r="AW908" s="1" t="n"/>
      <c r="AX908" s="1" t="n"/>
      <c r="AY908" s="1" t="n"/>
      <c r="AZ908" s="1" t="n"/>
      <c r="BA908" s="1" t="n"/>
    </row>
    <row r="909" ht="16.5" customHeight="1" s="220">
      <c r="A909" s="1" t="n"/>
      <c r="B909" s="1" t="n"/>
      <c r="C909" s="2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  <c r="AR909" s="1" t="n"/>
      <c r="AS909" s="1" t="n"/>
      <c r="AT909" s="1" t="n"/>
      <c r="AU909" s="1" t="n"/>
      <c r="AV909" s="1" t="n"/>
      <c r="AW909" s="1" t="n"/>
      <c r="AX909" s="1" t="n"/>
      <c r="AY909" s="1" t="n"/>
      <c r="AZ909" s="1" t="n"/>
      <c r="BA909" s="1" t="n"/>
    </row>
    <row r="910" ht="16.5" customHeight="1" s="220">
      <c r="A910" s="1" t="n"/>
      <c r="B910" s="1" t="n"/>
      <c r="C910" s="2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Q910" s="1" t="n"/>
      <c r="AR910" s="1" t="n"/>
      <c r="AS910" s="1" t="n"/>
      <c r="AT910" s="1" t="n"/>
      <c r="AU910" s="1" t="n"/>
      <c r="AV910" s="1" t="n"/>
      <c r="AW910" s="1" t="n"/>
      <c r="AX910" s="1" t="n"/>
      <c r="AY910" s="1" t="n"/>
      <c r="AZ910" s="1" t="n"/>
      <c r="BA910" s="1" t="n"/>
    </row>
    <row r="911" ht="16.5" customHeight="1" s="220">
      <c r="A911" s="1" t="n"/>
      <c r="B911" s="1" t="n"/>
      <c r="C911" s="2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  <c r="AR911" s="1" t="n"/>
      <c r="AS911" s="1" t="n"/>
      <c r="AT911" s="1" t="n"/>
      <c r="AU911" s="1" t="n"/>
      <c r="AV911" s="1" t="n"/>
      <c r="AW911" s="1" t="n"/>
      <c r="AX911" s="1" t="n"/>
      <c r="AY911" s="1" t="n"/>
      <c r="AZ911" s="1" t="n"/>
      <c r="BA911" s="1" t="n"/>
    </row>
    <row r="912" ht="16.5" customHeight="1" s="220">
      <c r="A912" s="1" t="n"/>
      <c r="B912" s="1" t="n"/>
      <c r="C912" s="2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Q912" s="1" t="n"/>
      <c r="AR912" s="1" t="n"/>
      <c r="AS912" s="1" t="n"/>
      <c r="AT912" s="1" t="n"/>
      <c r="AU912" s="1" t="n"/>
      <c r="AV912" s="1" t="n"/>
      <c r="AW912" s="1" t="n"/>
      <c r="AX912" s="1" t="n"/>
      <c r="AY912" s="1" t="n"/>
      <c r="AZ912" s="1" t="n"/>
      <c r="BA912" s="1" t="n"/>
    </row>
    <row r="913" ht="16.5" customHeight="1" s="220">
      <c r="A913" s="1" t="n"/>
      <c r="B913" s="1" t="n"/>
      <c r="C913" s="2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  <c r="AR913" s="1" t="n"/>
      <c r="AS913" s="1" t="n"/>
      <c r="AT913" s="1" t="n"/>
      <c r="AU913" s="1" t="n"/>
      <c r="AV913" s="1" t="n"/>
      <c r="AW913" s="1" t="n"/>
      <c r="AX913" s="1" t="n"/>
      <c r="AY913" s="1" t="n"/>
      <c r="AZ913" s="1" t="n"/>
      <c r="BA913" s="1" t="n"/>
    </row>
    <row r="914" ht="16.5" customHeight="1" s="220">
      <c r="A914" s="1" t="n"/>
      <c r="B914" s="1" t="n"/>
      <c r="C914" s="2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Q914" s="1" t="n"/>
      <c r="AR914" s="1" t="n"/>
      <c r="AS914" s="1" t="n"/>
      <c r="AT914" s="1" t="n"/>
      <c r="AU914" s="1" t="n"/>
      <c r="AV914" s="1" t="n"/>
      <c r="AW914" s="1" t="n"/>
      <c r="AX914" s="1" t="n"/>
      <c r="AY914" s="1" t="n"/>
      <c r="AZ914" s="1" t="n"/>
      <c r="BA914" s="1" t="n"/>
    </row>
    <row r="915" ht="16.5" customHeight="1" s="220">
      <c r="A915" s="1" t="n"/>
      <c r="B915" s="1" t="n"/>
      <c r="C915" s="2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  <c r="AR915" s="1" t="n"/>
      <c r="AS915" s="1" t="n"/>
      <c r="AT915" s="1" t="n"/>
      <c r="AU915" s="1" t="n"/>
      <c r="AV915" s="1" t="n"/>
      <c r="AW915" s="1" t="n"/>
      <c r="AX915" s="1" t="n"/>
      <c r="AY915" s="1" t="n"/>
      <c r="AZ915" s="1" t="n"/>
      <c r="BA915" s="1" t="n"/>
    </row>
    <row r="916" ht="16.5" customHeight="1" s="220">
      <c r="A916" s="1" t="n"/>
      <c r="B916" s="1" t="n"/>
      <c r="C916" s="2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Q916" s="1" t="n"/>
      <c r="AR916" s="1" t="n"/>
      <c r="AS916" s="1" t="n"/>
      <c r="AT916" s="1" t="n"/>
      <c r="AU916" s="1" t="n"/>
      <c r="AV916" s="1" t="n"/>
      <c r="AW916" s="1" t="n"/>
      <c r="AX916" s="1" t="n"/>
      <c r="AY916" s="1" t="n"/>
      <c r="AZ916" s="1" t="n"/>
      <c r="BA916" s="1" t="n"/>
    </row>
    <row r="917" ht="16.5" customHeight="1" s="220">
      <c r="A917" s="1" t="n"/>
      <c r="B917" s="1" t="n"/>
      <c r="C917" s="2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  <c r="AR917" s="1" t="n"/>
      <c r="AS917" s="1" t="n"/>
      <c r="AT917" s="1" t="n"/>
      <c r="AU917" s="1" t="n"/>
      <c r="AV917" s="1" t="n"/>
      <c r="AW917" s="1" t="n"/>
      <c r="AX917" s="1" t="n"/>
      <c r="AY917" s="1" t="n"/>
      <c r="AZ917" s="1" t="n"/>
      <c r="BA917" s="1" t="n"/>
    </row>
    <row r="918" ht="16.5" customHeight="1" s="220">
      <c r="A918" s="1" t="n"/>
      <c r="B918" s="1" t="n"/>
      <c r="C918" s="2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Q918" s="1" t="n"/>
      <c r="AR918" s="1" t="n"/>
      <c r="AS918" s="1" t="n"/>
      <c r="AT918" s="1" t="n"/>
      <c r="AU918" s="1" t="n"/>
      <c r="AV918" s="1" t="n"/>
      <c r="AW918" s="1" t="n"/>
      <c r="AX918" s="1" t="n"/>
      <c r="AY918" s="1" t="n"/>
      <c r="AZ918" s="1" t="n"/>
      <c r="BA918" s="1" t="n"/>
    </row>
    <row r="919" ht="16.5" customHeight="1" s="220">
      <c r="A919" s="1" t="n"/>
      <c r="B919" s="1" t="n"/>
      <c r="C919" s="2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  <c r="AR919" s="1" t="n"/>
      <c r="AS919" s="1" t="n"/>
      <c r="AT919" s="1" t="n"/>
      <c r="AU919" s="1" t="n"/>
      <c r="AV919" s="1" t="n"/>
      <c r="AW919" s="1" t="n"/>
      <c r="AX919" s="1" t="n"/>
      <c r="AY919" s="1" t="n"/>
      <c r="AZ919" s="1" t="n"/>
      <c r="BA919" s="1" t="n"/>
    </row>
    <row r="920" ht="16.5" customHeight="1" s="220">
      <c r="A920" s="1" t="n"/>
      <c r="B920" s="1" t="n"/>
      <c r="C920" s="2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Q920" s="1" t="n"/>
      <c r="AR920" s="1" t="n"/>
      <c r="AS920" s="1" t="n"/>
      <c r="AT920" s="1" t="n"/>
      <c r="AU920" s="1" t="n"/>
      <c r="AV920" s="1" t="n"/>
      <c r="AW920" s="1" t="n"/>
      <c r="AX920" s="1" t="n"/>
      <c r="AY920" s="1" t="n"/>
      <c r="AZ920" s="1" t="n"/>
      <c r="BA920" s="1" t="n"/>
    </row>
    <row r="921" ht="16.5" customHeight="1" s="220">
      <c r="A921" s="1" t="n"/>
      <c r="B921" s="1" t="n"/>
      <c r="C921" s="2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  <c r="AR921" s="1" t="n"/>
      <c r="AS921" s="1" t="n"/>
      <c r="AT921" s="1" t="n"/>
      <c r="AU921" s="1" t="n"/>
      <c r="AV921" s="1" t="n"/>
      <c r="AW921" s="1" t="n"/>
      <c r="AX921" s="1" t="n"/>
      <c r="AY921" s="1" t="n"/>
      <c r="AZ921" s="1" t="n"/>
      <c r="BA921" s="1" t="n"/>
    </row>
    <row r="922" ht="16.5" customHeight="1" s="220">
      <c r="A922" s="1" t="n"/>
      <c r="B922" s="1" t="n"/>
      <c r="C922" s="2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Q922" s="1" t="n"/>
      <c r="AR922" s="1" t="n"/>
      <c r="AS922" s="1" t="n"/>
      <c r="AT922" s="1" t="n"/>
      <c r="AU922" s="1" t="n"/>
      <c r="AV922" s="1" t="n"/>
      <c r="AW922" s="1" t="n"/>
      <c r="AX922" s="1" t="n"/>
      <c r="AY922" s="1" t="n"/>
      <c r="AZ922" s="1" t="n"/>
      <c r="BA922" s="1" t="n"/>
    </row>
    <row r="923" ht="16.5" customHeight="1" s="220">
      <c r="A923" s="1" t="n"/>
      <c r="B923" s="1" t="n"/>
      <c r="C923" s="2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  <c r="AR923" s="1" t="n"/>
      <c r="AS923" s="1" t="n"/>
      <c r="AT923" s="1" t="n"/>
      <c r="AU923" s="1" t="n"/>
      <c r="AV923" s="1" t="n"/>
      <c r="AW923" s="1" t="n"/>
      <c r="AX923" s="1" t="n"/>
      <c r="AY923" s="1" t="n"/>
      <c r="AZ923" s="1" t="n"/>
      <c r="BA923" s="1" t="n"/>
    </row>
    <row r="924" ht="16.5" customHeight="1" s="220">
      <c r="A924" s="1" t="n"/>
      <c r="B924" s="1" t="n"/>
      <c r="C924" s="2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Q924" s="1" t="n"/>
      <c r="AR924" s="1" t="n"/>
      <c r="AS924" s="1" t="n"/>
      <c r="AT924" s="1" t="n"/>
      <c r="AU924" s="1" t="n"/>
      <c r="AV924" s="1" t="n"/>
      <c r="AW924" s="1" t="n"/>
      <c r="AX924" s="1" t="n"/>
      <c r="AY924" s="1" t="n"/>
      <c r="AZ924" s="1" t="n"/>
      <c r="BA924" s="1" t="n"/>
    </row>
    <row r="925" ht="16.5" customHeight="1" s="220">
      <c r="A925" s="1" t="n"/>
      <c r="B925" s="1" t="n"/>
      <c r="C925" s="2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  <c r="AR925" s="1" t="n"/>
      <c r="AS925" s="1" t="n"/>
      <c r="AT925" s="1" t="n"/>
      <c r="AU925" s="1" t="n"/>
      <c r="AV925" s="1" t="n"/>
      <c r="AW925" s="1" t="n"/>
      <c r="AX925" s="1" t="n"/>
      <c r="AY925" s="1" t="n"/>
      <c r="AZ925" s="1" t="n"/>
      <c r="BA925" s="1" t="n"/>
    </row>
    <row r="926" ht="16.5" customHeight="1" s="220">
      <c r="A926" s="1" t="n"/>
      <c r="B926" s="1" t="n"/>
      <c r="C926" s="2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Q926" s="1" t="n"/>
      <c r="AR926" s="1" t="n"/>
      <c r="AS926" s="1" t="n"/>
      <c r="AT926" s="1" t="n"/>
      <c r="AU926" s="1" t="n"/>
      <c r="AV926" s="1" t="n"/>
      <c r="AW926" s="1" t="n"/>
      <c r="AX926" s="1" t="n"/>
      <c r="AY926" s="1" t="n"/>
      <c r="AZ926" s="1" t="n"/>
      <c r="BA926" s="1" t="n"/>
    </row>
    <row r="927" ht="16.5" customHeight="1" s="220">
      <c r="A927" s="1" t="n"/>
      <c r="B927" s="1" t="n"/>
      <c r="C927" s="2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  <c r="AR927" s="1" t="n"/>
      <c r="AS927" s="1" t="n"/>
      <c r="AT927" s="1" t="n"/>
      <c r="AU927" s="1" t="n"/>
      <c r="AV927" s="1" t="n"/>
      <c r="AW927" s="1" t="n"/>
      <c r="AX927" s="1" t="n"/>
      <c r="AY927" s="1" t="n"/>
      <c r="AZ927" s="1" t="n"/>
      <c r="BA927" s="1" t="n"/>
    </row>
    <row r="928" ht="16.5" customHeight="1" s="220">
      <c r="A928" s="1" t="n"/>
      <c r="B928" s="1" t="n"/>
      <c r="C928" s="2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Q928" s="1" t="n"/>
      <c r="AR928" s="1" t="n"/>
      <c r="AS928" s="1" t="n"/>
      <c r="AT928" s="1" t="n"/>
      <c r="AU928" s="1" t="n"/>
      <c r="AV928" s="1" t="n"/>
      <c r="AW928" s="1" t="n"/>
      <c r="AX928" s="1" t="n"/>
      <c r="AY928" s="1" t="n"/>
      <c r="AZ928" s="1" t="n"/>
      <c r="BA928" s="1" t="n"/>
    </row>
    <row r="929" ht="16.5" customHeight="1" s="220">
      <c r="A929" s="1" t="n"/>
      <c r="B929" s="1" t="n"/>
      <c r="C929" s="2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  <c r="AR929" s="1" t="n"/>
      <c r="AS929" s="1" t="n"/>
      <c r="AT929" s="1" t="n"/>
      <c r="AU929" s="1" t="n"/>
      <c r="AV929" s="1" t="n"/>
      <c r="AW929" s="1" t="n"/>
      <c r="AX929" s="1" t="n"/>
      <c r="AY929" s="1" t="n"/>
      <c r="AZ929" s="1" t="n"/>
      <c r="BA929" s="1" t="n"/>
    </row>
    <row r="930" ht="16.5" customHeight="1" s="220">
      <c r="A930" s="1" t="n"/>
      <c r="B930" s="1" t="n"/>
      <c r="C930" s="2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Q930" s="1" t="n"/>
      <c r="AR930" s="1" t="n"/>
      <c r="AS930" s="1" t="n"/>
      <c r="AT930" s="1" t="n"/>
      <c r="AU930" s="1" t="n"/>
      <c r="AV930" s="1" t="n"/>
      <c r="AW930" s="1" t="n"/>
      <c r="AX930" s="1" t="n"/>
      <c r="AY930" s="1" t="n"/>
      <c r="AZ930" s="1" t="n"/>
      <c r="BA930" s="1" t="n"/>
    </row>
    <row r="931" ht="16.5" customHeight="1" s="220">
      <c r="A931" s="1" t="n"/>
      <c r="B931" s="1" t="n"/>
      <c r="C931" s="2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  <c r="AR931" s="1" t="n"/>
      <c r="AS931" s="1" t="n"/>
      <c r="AT931" s="1" t="n"/>
      <c r="AU931" s="1" t="n"/>
      <c r="AV931" s="1" t="n"/>
      <c r="AW931" s="1" t="n"/>
      <c r="AX931" s="1" t="n"/>
      <c r="AY931" s="1" t="n"/>
      <c r="AZ931" s="1" t="n"/>
      <c r="BA931" s="1" t="n"/>
    </row>
    <row r="932" ht="16.5" customHeight="1" s="220">
      <c r="A932" s="1" t="n"/>
      <c r="B932" s="1" t="n"/>
      <c r="C932" s="2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Q932" s="1" t="n"/>
      <c r="AR932" s="1" t="n"/>
      <c r="AS932" s="1" t="n"/>
      <c r="AT932" s="1" t="n"/>
      <c r="AU932" s="1" t="n"/>
      <c r="AV932" s="1" t="n"/>
      <c r="AW932" s="1" t="n"/>
      <c r="AX932" s="1" t="n"/>
      <c r="AY932" s="1" t="n"/>
      <c r="AZ932" s="1" t="n"/>
      <c r="BA932" s="1" t="n"/>
    </row>
    <row r="933" ht="16.5" customHeight="1" s="220">
      <c r="A933" s="1" t="n"/>
      <c r="B933" s="1" t="n"/>
      <c r="C933" s="2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  <c r="AR933" s="1" t="n"/>
      <c r="AS933" s="1" t="n"/>
      <c r="AT933" s="1" t="n"/>
      <c r="AU933" s="1" t="n"/>
      <c r="AV933" s="1" t="n"/>
      <c r="AW933" s="1" t="n"/>
      <c r="AX933" s="1" t="n"/>
      <c r="AY933" s="1" t="n"/>
      <c r="AZ933" s="1" t="n"/>
      <c r="BA933" s="1" t="n"/>
    </row>
    <row r="934" ht="16.5" customHeight="1" s="220">
      <c r="A934" s="1" t="n"/>
      <c r="B934" s="1" t="n"/>
      <c r="C934" s="2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Q934" s="1" t="n"/>
      <c r="AR934" s="1" t="n"/>
      <c r="AS934" s="1" t="n"/>
      <c r="AT934" s="1" t="n"/>
      <c r="AU934" s="1" t="n"/>
      <c r="AV934" s="1" t="n"/>
      <c r="AW934" s="1" t="n"/>
      <c r="AX934" s="1" t="n"/>
      <c r="AY934" s="1" t="n"/>
      <c r="AZ934" s="1" t="n"/>
      <c r="BA934" s="1" t="n"/>
    </row>
    <row r="935" ht="16.5" customHeight="1" s="220">
      <c r="A935" s="1" t="n"/>
      <c r="B935" s="1" t="n"/>
      <c r="C935" s="2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  <c r="AR935" s="1" t="n"/>
      <c r="AS935" s="1" t="n"/>
      <c r="AT935" s="1" t="n"/>
      <c r="AU935" s="1" t="n"/>
      <c r="AV935" s="1" t="n"/>
      <c r="AW935" s="1" t="n"/>
      <c r="AX935" s="1" t="n"/>
      <c r="AY935" s="1" t="n"/>
      <c r="AZ935" s="1" t="n"/>
      <c r="BA935" s="1" t="n"/>
    </row>
    <row r="936" ht="16.5" customHeight="1" s="220">
      <c r="A936" s="1" t="n"/>
      <c r="B936" s="1" t="n"/>
      <c r="C936" s="2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Q936" s="1" t="n"/>
      <c r="AR936" s="1" t="n"/>
      <c r="AS936" s="1" t="n"/>
      <c r="AT936" s="1" t="n"/>
      <c r="AU936" s="1" t="n"/>
      <c r="AV936" s="1" t="n"/>
      <c r="AW936" s="1" t="n"/>
      <c r="AX936" s="1" t="n"/>
      <c r="AY936" s="1" t="n"/>
      <c r="AZ936" s="1" t="n"/>
      <c r="BA936" s="1" t="n"/>
    </row>
    <row r="937" ht="16.5" customHeight="1" s="220">
      <c r="A937" s="1" t="n"/>
      <c r="B937" s="1" t="n"/>
      <c r="C937" s="2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  <c r="AR937" s="1" t="n"/>
      <c r="AS937" s="1" t="n"/>
      <c r="AT937" s="1" t="n"/>
      <c r="AU937" s="1" t="n"/>
      <c r="AV937" s="1" t="n"/>
      <c r="AW937" s="1" t="n"/>
      <c r="AX937" s="1" t="n"/>
      <c r="AY937" s="1" t="n"/>
      <c r="AZ937" s="1" t="n"/>
      <c r="BA937" s="1" t="n"/>
    </row>
    <row r="938" ht="16.5" customHeight="1" s="220">
      <c r="A938" s="1" t="n"/>
      <c r="B938" s="1" t="n"/>
      <c r="C938" s="2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Q938" s="1" t="n"/>
      <c r="AR938" s="1" t="n"/>
      <c r="AS938" s="1" t="n"/>
      <c r="AT938" s="1" t="n"/>
      <c r="AU938" s="1" t="n"/>
      <c r="AV938" s="1" t="n"/>
      <c r="AW938" s="1" t="n"/>
      <c r="AX938" s="1" t="n"/>
      <c r="AY938" s="1" t="n"/>
      <c r="AZ938" s="1" t="n"/>
      <c r="BA938" s="1" t="n"/>
    </row>
    <row r="939" ht="16.5" customHeight="1" s="220">
      <c r="A939" s="1" t="n"/>
      <c r="B939" s="1" t="n"/>
      <c r="C939" s="2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  <c r="AR939" s="1" t="n"/>
      <c r="AS939" s="1" t="n"/>
      <c r="AT939" s="1" t="n"/>
      <c r="AU939" s="1" t="n"/>
      <c r="AV939" s="1" t="n"/>
      <c r="AW939" s="1" t="n"/>
      <c r="AX939" s="1" t="n"/>
      <c r="AY939" s="1" t="n"/>
      <c r="AZ939" s="1" t="n"/>
      <c r="BA939" s="1" t="n"/>
    </row>
    <row r="940" ht="16.5" customHeight="1" s="220">
      <c r="A940" s="1" t="n"/>
      <c r="B940" s="1" t="n"/>
      <c r="C940" s="2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Q940" s="1" t="n"/>
      <c r="AR940" s="1" t="n"/>
      <c r="AS940" s="1" t="n"/>
      <c r="AT940" s="1" t="n"/>
      <c r="AU940" s="1" t="n"/>
      <c r="AV940" s="1" t="n"/>
      <c r="AW940" s="1" t="n"/>
      <c r="AX940" s="1" t="n"/>
      <c r="AY940" s="1" t="n"/>
      <c r="AZ940" s="1" t="n"/>
      <c r="BA940" s="1" t="n"/>
    </row>
    <row r="941" ht="16.5" customHeight="1" s="220">
      <c r="A941" s="1" t="n"/>
      <c r="B941" s="1" t="n"/>
      <c r="C941" s="2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  <c r="AR941" s="1" t="n"/>
      <c r="AS941" s="1" t="n"/>
      <c r="AT941" s="1" t="n"/>
      <c r="AU941" s="1" t="n"/>
      <c r="AV941" s="1" t="n"/>
      <c r="AW941" s="1" t="n"/>
      <c r="AX941" s="1" t="n"/>
      <c r="AY941" s="1" t="n"/>
      <c r="AZ941" s="1" t="n"/>
      <c r="BA941" s="1" t="n"/>
    </row>
    <row r="942" ht="16.5" customHeight="1" s="220">
      <c r="A942" s="1" t="n"/>
      <c r="B942" s="1" t="n"/>
      <c r="C942" s="2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Q942" s="1" t="n"/>
      <c r="AR942" s="1" t="n"/>
      <c r="AS942" s="1" t="n"/>
      <c r="AT942" s="1" t="n"/>
      <c r="AU942" s="1" t="n"/>
      <c r="AV942" s="1" t="n"/>
      <c r="AW942" s="1" t="n"/>
      <c r="AX942" s="1" t="n"/>
      <c r="AY942" s="1" t="n"/>
      <c r="AZ942" s="1" t="n"/>
      <c r="BA942" s="1" t="n"/>
    </row>
    <row r="943" ht="16.5" customHeight="1" s="220">
      <c r="A943" s="1" t="n"/>
      <c r="B943" s="1" t="n"/>
      <c r="C943" s="2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  <c r="AR943" s="1" t="n"/>
      <c r="AS943" s="1" t="n"/>
      <c r="AT943" s="1" t="n"/>
      <c r="AU943" s="1" t="n"/>
      <c r="AV943" s="1" t="n"/>
      <c r="AW943" s="1" t="n"/>
      <c r="AX943" s="1" t="n"/>
      <c r="AY943" s="1" t="n"/>
      <c r="AZ943" s="1" t="n"/>
      <c r="BA943" s="1" t="n"/>
    </row>
    <row r="944" ht="16.5" customHeight="1" s="220">
      <c r="A944" s="1" t="n"/>
      <c r="B944" s="1" t="n"/>
      <c r="C944" s="2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Q944" s="1" t="n"/>
      <c r="AR944" s="1" t="n"/>
      <c r="AS944" s="1" t="n"/>
      <c r="AT944" s="1" t="n"/>
      <c r="AU944" s="1" t="n"/>
      <c r="AV944" s="1" t="n"/>
      <c r="AW944" s="1" t="n"/>
      <c r="AX944" s="1" t="n"/>
      <c r="AY944" s="1" t="n"/>
      <c r="AZ944" s="1" t="n"/>
      <c r="BA944" s="1" t="n"/>
    </row>
    <row r="945" ht="16.5" customHeight="1" s="220">
      <c r="A945" s="1" t="n"/>
      <c r="B945" s="1" t="n"/>
      <c r="C945" s="2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  <c r="AR945" s="1" t="n"/>
      <c r="AS945" s="1" t="n"/>
      <c r="AT945" s="1" t="n"/>
      <c r="AU945" s="1" t="n"/>
      <c r="AV945" s="1" t="n"/>
      <c r="AW945" s="1" t="n"/>
      <c r="AX945" s="1" t="n"/>
      <c r="AY945" s="1" t="n"/>
      <c r="AZ945" s="1" t="n"/>
      <c r="BA945" s="1" t="n"/>
    </row>
    <row r="946" ht="16.5" customHeight="1" s="220">
      <c r="A946" s="1" t="n"/>
      <c r="B946" s="1" t="n"/>
      <c r="C946" s="2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Q946" s="1" t="n"/>
      <c r="AR946" s="1" t="n"/>
      <c r="AS946" s="1" t="n"/>
      <c r="AT946" s="1" t="n"/>
      <c r="AU946" s="1" t="n"/>
      <c r="AV946" s="1" t="n"/>
      <c r="AW946" s="1" t="n"/>
      <c r="AX946" s="1" t="n"/>
      <c r="AY946" s="1" t="n"/>
      <c r="AZ946" s="1" t="n"/>
      <c r="BA946" s="1" t="n"/>
    </row>
    <row r="947" ht="16.5" customHeight="1" s="220">
      <c r="A947" s="1" t="n"/>
      <c r="B947" s="1" t="n"/>
      <c r="C947" s="2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  <c r="AR947" s="1" t="n"/>
      <c r="AS947" s="1" t="n"/>
      <c r="AT947" s="1" t="n"/>
      <c r="AU947" s="1" t="n"/>
      <c r="AV947" s="1" t="n"/>
      <c r="AW947" s="1" t="n"/>
      <c r="AX947" s="1" t="n"/>
      <c r="AY947" s="1" t="n"/>
      <c r="AZ947" s="1" t="n"/>
      <c r="BA947" s="1" t="n"/>
    </row>
    <row r="948" ht="16.5" customHeight="1" s="220">
      <c r="A948" s="1" t="n"/>
      <c r="B948" s="1" t="n"/>
      <c r="C948" s="2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Q948" s="1" t="n"/>
      <c r="AR948" s="1" t="n"/>
      <c r="AS948" s="1" t="n"/>
      <c r="AT948" s="1" t="n"/>
      <c r="AU948" s="1" t="n"/>
      <c r="AV948" s="1" t="n"/>
      <c r="AW948" s="1" t="n"/>
      <c r="AX948" s="1" t="n"/>
      <c r="AY948" s="1" t="n"/>
      <c r="AZ948" s="1" t="n"/>
      <c r="BA948" s="1" t="n"/>
    </row>
    <row r="949" ht="16.5" customHeight="1" s="220">
      <c r="A949" s="1" t="n"/>
      <c r="B949" s="1" t="n"/>
      <c r="C949" s="2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  <c r="AR949" s="1" t="n"/>
      <c r="AS949" s="1" t="n"/>
      <c r="AT949" s="1" t="n"/>
      <c r="AU949" s="1" t="n"/>
      <c r="AV949" s="1" t="n"/>
      <c r="AW949" s="1" t="n"/>
      <c r="AX949" s="1" t="n"/>
      <c r="AY949" s="1" t="n"/>
      <c r="AZ949" s="1" t="n"/>
      <c r="BA949" s="1" t="n"/>
    </row>
    <row r="950" ht="16.5" customHeight="1" s="220">
      <c r="A950" s="1" t="n"/>
      <c r="B950" s="1" t="n"/>
      <c r="C950" s="2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Q950" s="1" t="n"/>
      <c r="AR950" s="1" t="n"/>
      <c r="AS950" s="1" t="n"/>
      <c r="AT950" s="1" t="n"/>
      <c r="AU950" s="1" t="n"/>
      <c r="AV950" s="1" t="n"/>
      <c r="AW950" s="1" t="n"/>
      <c r="AX950" s="1" t="n"/>
      <c r="AY950" s="1" t="n"/>
      <c r="AZ950" s="1" t="n"/>
      <c r="BA950" s="1" t="n"/>
    </row>
    <row r="951" ht="16.5" customHeight="1" s="220">
      <c r="A951" s="1" t="n"/>
      <c r="B951" s="1" t="n"/>
      <c r="C951" s="2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  <c r="AR951" s="1" t="n"/>
      <c r="AS951" s="1" t="n"/>
      <c r="AT951" s="1" t="n"/>
      <c r="AU951" s="1" t="n"/>
      <c r="AV951" s="1" t="n"/>
      <c r="AW951" s="1" t="n"/>
      <c r="AX951" s="1" t="n"/>
      <c r="AY951" s="1" t="n"/>
      <c r="AZ951" s="1" t="n"/>
      <c r="BA951" s="1" t="n"/>
    </row>
    <row r="952" ht="16.5" customHeight="1" s="220">
      <c r="A952" s="1" t="n"/>
      <c r="B952" s="1" t="n"/>
      <c r="C952" s="2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Q952" s="1" t="n"/>
      <c r="AR952" s="1" t="n"/>
      <c r="AS952" s="1" t="n"/>
      <c r="AT952" s="1" t="n"/>
      <c r="AU952" s="1" t="n"/>
      <c r="AV952" s="1" t="n"/>
      <c r="AW952" s="1" t="n"/>
      <c r="AX952" s="1" t="n"/>
      <c r="AY952" s="1" t="n"/>
      <c r="AZ952" s="1" t="n"/>
      <c r="BA952" s="1" t="n"/>
    </row>
    <row r="953" ht="16.5" customHeight="1" s="220">
      <c r="A953" s="1" t="n"/>
      <c r="B953" s="1" t="n"/>
      <c r="C953" s="2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  <c r="AR953" s="1" t="n"/>
      <c r="AS953" s="1" t="n"/>
      <c r="AT953" s="1" t="n"/>
      <c r="AU953" s="1" t="n"/>
      <c r="AV953" s="1" t="n"/>
      <c r="AW953" s="1" t="n"/>
      <c r="AX953" s="1" t="n"/>
      <c r="AY953" s="1" t="n"/>
      <c r="AZ953" s="1" t="n"/>
      <c r="BA953" s="1" t="n"/>
    </row>
    <row r="954" ht="16.5" customHeight="1" s="220">
      <c r="A954" s="1" t="n"/>
      <c r="B954" s="1" t="n"/>
      <c r="C954" s="2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Q954" s="1" t="n"/>
      <c r="AR954" s="1" t="n"/>
      <c r="AS954" s="1" t="n"/>
      <c r="AT954" s="1" t="n"/>
      <c r="AU954" s="1" t="n"/>
      <c r="AV954" s="1" t="n"/>
      <c r="AW954" s="1" t="n"/>
      <c r="AX954" s="1" t="n"/>
      <c r="AY954" s="1" t="n"/>
      <c r="AZ954" s="1" t="n"/>
      <c r="BA954" s="1" t="n"/>
    </row>
    <row r="955" ht="16.5" customHeight="1" s="220">
      <c r="A955" s="1" t="n"/>
      <c r="B955" s="1" t="n"/>
      <c r="C955" s="2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  <c r="AR955" s="1" t="n"/>
      <c r="AS955" s="1" t="n"/>
      <c r="AT955" s="1" t="n"/>
      <c r="AU955" s="1" t="n"/>
      <c r="AV955" s="1" t="n"/>
      <c r="AW955" s="1" t="n"/>
      <c r="AX955" s="1" t="n"/>
      <c r="AY955" s="1" t="n"/>
      <c r="AZ955" s="1" t="n"/>
      <c r="BA955" s="1" t="n"/>
    </row>
    <row r="956" ht="16.5" customHeight="1" s="220">
      <c r="A956" s="1" t="n"/>
      <c r="B956" s="1" t="n"/>
      <c r="C956" s="2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Q956" s="1" t="n"/>
      <c r="AR956" s="1" t="n"/>
      <c r="AS956" s="1" t="n"/>
      <c r="AT956" s="1" t="n"/>
      <c r="AU956" s="1" t="n"/>
      <c r="AV956" s="1" t="n"/>
      <c r="AW956" s="1" t="n"/>
      <c r="AX956" s="1" t="n"/>
      <c r="AY956" s="1" t="n"/>
      <c r="AZ956" s="1" t="n"/>
      <c r="BA956" s="1" t="n"/>
    </row>
    <row r="957" ht="16.5" customHeight="1" s="220">
      <c r="A957" s="1" t="n"/>
      <c r="B957" s="1" t="n"/>
      <c r="C957" s="2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  <c r="AR957" s="1" t="n"/>
      <c r="AS957" s="1" t="n"/>
      <c r="AT957" s="1" t="n"/>
      <c r="AU957" s="1" t="n"/>
      <c r="AV957" s="1" t="n"/>
      <c r="AW957" s="1" t="n"/>
      <c r="AX957" s="1" t="n"/>
      <c r="AY957" s="1" t="n"/>
      <c r="AZ957" s="1" t="n"/>
      <c r="BA957" s="1" t="n"/>
    </row>
    <row r="958" ht="16.5" customHeight="1" s="220">
      <c r="A958" s="1" t="n"/>
      <c r="B958" s="1" t="n"/>
      <c r="C958" s="2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Q958" s="1" t="n"/>
      <c r="AR958" s="1" t="n"/>
      <c r="AS958" s="1" t="n"/>
      <c r="AT958" s="1" t="n"/>
      <c r="AU958" s="1" t="n"/>
      <c r="AV958" s="1" t="n"/>
      <c r="AW958" s="1" t="n"/>
      <c r="AX958" s="1" t="n"/>
      <c r="AY958" s="1" t="n"/>
      <c r="AZ958" s="1" t="n"/>
      <c r="BA958" s="1" t="n"/>
    </row>
    <row r="959" ht="16.5" customHeight="1" s="220">
      <c r="A959" s="1" t="n"/>
      <c r="B959" s="1" t="n"/>
      <c r="C959" s="2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  <c r="AR959" s="1" t="n"/>
      <c r="AS959" s="1" t="n"/>
      <c r="AT959" s="1" t="n"/>
      <c r="AU959" s="1" t="n"/>
      <c r="AV959" s="1" t="n"/>
      <c r="AW959" s="1" t="n"/>
      <c r="AX959" s="1" t="n"/>
      <c r="AY959" s="1" t="n"/>
      <c r="AZ959" s="1" t="n"/>
      <c r="BA959" s="1" t="n"/>
    </row>
    <row r="960" ht="16.5" customHeight="1" s="220">
      <c r="A960" s="1" t="n"/>
      <c r="B960" s="1" t="n"/>
      <c r="C960" s="2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Q960" s="1" t="n"/>
      <c r="AR960" s="1" t="n"/>
      <c r="AS960" s="1" t="n"/>
      <c r="AT960" s="1" t="n"/>
      <c r="AU960" s="1" t="n"/>
      <c r="AV960" s="1" t="n"/>
      <c r="AW960" s="1" t="n"/>
      <c r="AX960" s="1" t="n"/>
      <c r="AY960" s="1" t="n"/>
      <c r="AZ960" s="1" t="n"/>
      <c r="BA960" s="1" t="n"/>
    </row>
    <row r="961" ht="16.5" customHeight="1" s="220">
      <c r="A961" s="1" t="n"/>
      <c r="B961" s="1" t="n"/>
      <c r="C961" s="2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  <c r="AR961" s="1" t="n"/>
      <c r="AS961" s="1" t="n"/>
      <c r="AT961" s="1" t="n"/>
      <c r="AU961" s="1" t="n"/>
      <c r="AV961" s="1" t="n"/>
      <c r="AW961" s="1" t="n"/>
      <c r="AX961" s="1" t="n"/>
      <c r="AY961" s="1" t="n"/>
      <c r="AZ961" s="1" t="n"/>
      <c r="BA961" s="1" t="n"/>
    </row>
    <row r="962" ht="16.5" customHeight="1" s="220">
      <c r="A962" s="1" t="n"/>
      <c r="B962" s="1" t="n"/>
      <c r="C962" s="2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Q962" s="1" t="n"/>
      <c r="AR962" s="1" t="n"/>
      <c r="AS962" s="1" t="n"/>
      <c r="AT962" s="1" t="n"/>
      <c r="AU962" s="1" t="n"/>
      <c r="AV962" s="1" t="n"/>
      <c r="AW962" s="1" t="n"/>
      <c r="AX962" s="1" t="n"/>
      <c r="AY962" s="1" t="n"/>
      <c r="AZ962" s="1" t="n"/>
      <c r="BA962" s="1" t="n"/>
    </row>
    <row r="963" ht="16.5" customHeight="1" s="220">
      <c r="A963" s="1" t="n"/>
      <c r="B963" s="1" t="n"/>
      <c r="C963" s="2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  <c r="AR963" s="1" t="n"/>
      <c r="AS963" s="1" t="n"/>
      <c r="AT963" s="1" t="n"/>
      <c r="AU963" s="1" t="n"/>
      <c r="AV963" s="1" t="n"/>
      <c r="AW963" s="1" t="n"/>
      <c r="AX963" s="1" t="n"/>
      <c r="AY963" s="1" t="n"/>
      <c r="AZ963" s="1" t="n"/>
      <c r="BA963" s="1" t="n"/>
    </row>
    <row r="964" ht="16.5" customHeight="1" s="220">
      <c r="A964" s="1" t="n"/>
      <c r="B964" s="1" t="n"/>
      <c r="C964" s="2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Q964" s="1" t="n"/>
      <c r="AR964" s="1" t="n"/>
      <c r="AS964" s="1" t="n"/>
      <c r="AT964" s="1" t="n"/>
      <c r="AU964" s="1" t="n"/>
      <c r="AV964" s="1" t="n"/>
      <c r="AW964" s="1" t="n"/>
      <c r="AX964" s="1" t="n"/>
      <c r="AY964" s="1" t="n"/>
      <c r="AZ964" s="1" t="n"/>
      <c r="BA964" s="1" t="n"/>
    </row>
    <row r="965" ht="16.5" customHeight="1" s="220">
      <c r="A965" s="1" t="n"/>
      <c r="B965" s="1" t="n"/>
      <c r="C965" s="2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  <c r="AR965" s="1" t="n"/>
      <c r="AS965" s="1" t="n"/>
      <c r="AT965" s="1" t="n"/>
      <c r="AU965" s="1" t="n"/>
      <c r="AV965" s="1" t="n"/>
      <c r="AW965" s="1" t="n"/>
      <c r="AX965" s="1" t="n"/>
      <c r="AY965" s="1" t="n"/>
      <c r="AZ965" s="1" t="n"/>
      <c r="BA965" s="1" t="n"/>
    </row>
    <row r="966" ht="16.5" customHeight="1" s="220">
      <c r="A966" s="1" t="n"/>
      <c r="B966" s="1" t="n"/>
      <c r="C966" s="2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Q966" s="1" t="n"/>
      <c r="AR966" s="1" t="n"/>
      <c r="AS966" s="1" t="n"/>
      <c r="AT966" s="1" t="n"/>
      <c r="AU966" s="1" t="n"/>
      <c r="AV966" s="1" t="n"/>
      <c r="AW966" s="1" t="n"/>
      <c r="AX966" s="1" t="n"/>
      <c r="AY966" s="1" t="n"/>
      <c r="AZ966" s="1" t="n"/>
      <c r="BA966" s="1" t="n"/>
    </row>
    <row r="967" ht="16.5" customHeight="1" s="220">
      <c r="A967" s="1" t="n"/>
      <c r="B967" s="1" t="n"/>
      <c r="C967" s="2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  <c r="AR967" s="1" t="n"/>
      <c r="AS967" s="1" t="n"/>
      <c r="AT967" s="1" t="n"/>
      <c r="AU967" s="1" t="n"/>
      <c r="AV967" s="1" t="n"/>
      <c r="AW967" s="1" t="n"/>
      <c r="AX967" s="1" t="n"/>
      <c r="AY967" s="1" t="n"/>
      <c r="AZ967" s="1" t="n"/>
      <c r="BA967" s="1" t="n"/>
    </row>
    <row r="968" ht="16.5" customHeight="1" s="220">
      <c r="A968" s="1" t="n"/>
      <c r="B968" s="1" t="n"/>
      <c r="C968" s="2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Q968" s="1" t="n"/>
      <c r="AR968" s="1" t="n"/>
      <c r="AS968" s="1" t="n"/>
      <c r="AT968" s="1" t="n"/>
      <c r="AU968" s="1" t="n"/>
      <c r="AV968" s="1" t="n"/>
      <c r="AW968" s="1" t="n"/>
      <c r="AX968" s="1" t="n"/>
      <c r="AY968" s="1" t="n"/>
      <c r="AZ968" s="1" t="n"/>
      <c r="BA968" s="1" t="n"/>
    </row>
    <row r="969" ht="16.5" customHeight="1" s="220">
      <c r="A969" s="1" t="n"/>
      <c r="B969" s="1" t="n"/>
      <c r="C969" s="2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  <c r="AR969" s="1" t="n"/>
      <c r="AS969" s="1" t="n"/>
      <c r="AT969" s="1" t="n"/>
      <c r="AU969" s="1" t="n"/>
      <c r="AV969" s="1" t="n"/>
      <c r="AW969" s="1" t="n"/>
      <c r="AX969" s="1" t="n"/>
      <c r="AY969" s="1" t="n"/>
      <c r="AZ969" s="1" t="n"/>
      <c r="BA969" s="1" t="n"/>
    </row>
    <row r="970" ht="16.5" customHeight="1" s="220">
      <c r="A970" s="1" t="n"/>
      <c r="B970" s="1" t="n"/>
      <c r="C970" s="2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Q970" s="1" t="n"/>
      <c r="AR970" s="1" t="n"/>
      <c r="AS970" s="1" t="n"/>
      <c r="AT970" s="1" t="n"/>
      <c r="AU970" s="1" t="n"/>
      <c r="AV970" s="1" t="n"/>
      <c r="AW970" s="1" t="n"/>
      <c r="AX970" s="1" t="n"/>
      <c r="AY970" s="1" t="n"/>
      <c r="AZ970" s="1" t="n"/>
      <c r="BA970" s="1" t="n"/>
    </row>
    <row r="971" ht="16.5" customHeight="1" s="220">
      <c r="A971" s="1" t="n"/>
      <c r="B971" s="1" t="n"/>
      <c r="C971" s="2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  <c r="AR971" s="1" t="n"/>
      <c r="AS971" s="1" t="n"/>
      <c r="AT971" s="1" t="n"/>
      <c r="AU971" s="1" t="n"/>
      <c r="AV971" s="1" t="n"/>
      <c r="AW971" s="1" t="n"/>
      <c r="AX971" s="1" t="n"/>
      <c r="AY971" s="1" t="n"/>
      <c r="AZ971" s="1" t="n"/>
      <c r="BA971" s="1" t="n"/>
    </row>
    <row r="972" ht="16.5" customHeight="1" s="220">
      <c r="A972" s="1" t="n"/>
      <c r="B972" s="1" t="n"/>
      <c r="C972" s="2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Q972" s="1" t="n"/>
      <c r="AR972" s="1" t="n"/>
      <c r="AS972" s="1" t="n"/>
      <c r="AT972" s="1" t="n"/>
      <c r="AU972" s="1" t="n"/>
      <c r="AV972" s="1" t="n"/>
      <c r="AW972" s="1" t="n"/>
      <c r="AX972" s="1" t="n"/>
      <c r="AY972" s="1" t="n"/>
      <c r="AZ972" s="1" t="n"/>
      <c r="BA972" s="1" t="n"/>
    </row>
    <row r="973" ht="16.5" customHeight="1" s="220">
      <c r="A973" s="1" t="n"/>
      <c r="B973" s="1" t="n"/>
      <c r="C973" s="2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  <c r="AR973" s="1" t="n"/>
      <c r="AS973" s="1" t="n"/>
      <c r="AT973" s="1" t="n"/>
      <c r="AU973" s="1" t="n"/>
      <c r="AV973" s="1" t="n"/>
      <c r="AW973" s="1" t="n"/>
      <c r="AX973" s="1" t="n"/>
      <c r="AY973" s="1" t="n"/>
      <c r="AZ973" s="1" t="n"/>
      <c r="BA973" s="1" t="n"/>
    </row>
    <row r="974" ht="16.5" customHeight="1" s="220">
      <c r="A974" s="1" t="n"/>
      <c r="B974" s="1" t="n"/>
      <c r="C974" s="2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Q974" s="1" t="n"/>
      <c r="AR974" s="1" t="n"/>
      <c r="AS974" s="1" t="n"/>
      <c r="AT974" s="1" t="n"/>
      <c r="AU974" s="1" t="n"/>
      <c r="AV974" s="1" t="n"/>
      <c r="AW974" s="1" t="n"/>
      <c r="AX974" s="1" t="n"/>
      <c r="AY974" s="1" t="n"/>
      <c r="AZ974" s="1" t="n"/>
      <c r="BA974" s="1" t="n"/>
    </row>
    <row r="975" ht="16.5" customHeight="1" s="220">
      <c r="A975" s="1" t="n"/>
      <c r="B975" s="1" t="n"/>
      <c r="C975" s="2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  <c r="AR975" s="1" t="n"/>
      <c r="AS975" s="1" t="n"/>
      <c r="AT975" s="1" t="n"/>
      <c r="AU975" s="1" t="n"/>
      <c r="AV975" s="1" t="n"/>
      <c r="AW975" s="1" t="n"/>
      <c r="AX975" s="1" t="n"/>
      <c r="AY975" s="1" t="n"/>
      <c r="AZ975" s="1" t="n"/>
      <c r="BA975" s="1" t="n"/>
    </row>
    <row r="976" ht="16.5" customHeight="1" s="220">
      <c r="A976" s="1" t="n"/>
      <c r="B976" s="1" t="n"/>
      <c r="C976" s="2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Q976" s="1" t="n"/>
      <c r="AR976" s="1" t="n"/>
      <c r="AS976" s="1" t="n"/>
      <c r="AT976" s="1" t="n"/>
      <c r="AU976" s="1" t="n"/>
      <c r="AV976" s="1" t="n"/>
      <c r="AW976" s="1" t="n"/>
      <c r="AX976" s="1" t="n"/>
      <c r="AY976" s="1" t="n"/>
      <c r="AZ976" s="1" t="n"/>
      <c r="BA976" s="1" t="n"/>
    </row>
    <row r="977" ht="16.5" customHeight="1" s="220">
      <c r="A977" s="1" t="n"/>
      <c r="B977" s="1" t="n"/>
      <c r="C977" s="2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  <c r="AR977" s="1" t="n"/>
      <c r="AS977" s="1" t="n"/>
      <c r="AT977" s="1" t="n"/>
      <c r="AU977" s="1" t="n"/>
      <c r="AV977" s="1" t="n"/>
      <c r="AW977" s="1" t="n"/>
      <c r="AX977" s="1" t="n"/>
      <c r="AY977" s="1" t="n"/>
      <c r="AZ977" s="1" t="n"/>
      <c r="BA977" s="1" t="n"/>
    </row>
    <row r="978" ht="16.5" customHeight="1" s="220">
      <c r="A978" s="1" t="n"/>
      <c r="B978" s="1" t="n"/>
      <c r="C978" s="2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Q978" s="1" t="n"/>
      <c r="AR978" s="1" t="n"/>
      <c r="AS978" s="1" t="n"/>
      <c r="AT978" s="1" t="n"/>
      <c r="AU978" s="1" t="n"/>
      <c r="AV978" s="1" t="n"/>
      <c r="AW978" s="1" t="n"/>
      <c r="AX978" s="1" t="n"/>
      <c r="AY978" s="1" t="n"/>
      <c r="AZ978" s="1" t="n"/>
      <c r="BA978" s="1" t="n"/>
    </row>
    <row r="979" ht="16.5" customHeight="1" s="220">
      <c r="A979" s="1" t="n"/>
      <c r="B979" s="1" t="n"/>
      <c r="C979" s="2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  <c r="AR979" s="1" t="n"/>
      <c r="AS979" s="1" t="n"/>
      <c r="AT979" s="1" t="n"/>
      <c r="AU979" s="1" t="n"/>
      <c r="AV979" s="1" t="n"/>
      <c r="AW979" s="1" t="n"/>
      <c r="AX979" s="1" t="n"/>
      <c r="AY979" s="1" t="n"/>
      <c r="AZ979" s="1" t="n"/>
      <c r="BA979" s="1" t="n"/>
    </row>
    <row r="980" ht="16.5" customHeight="1" s="220">
      <c r="A980" s="1" t="n"/>
      <c r="B980" s="1" t="n"/>
      <c r="C980" s="2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Q980" s="1" t="n"/>
      <c r="AR980" s="1" t="n"/>
      <c r="AS980" s="1" t="n"/>
      <c r="AT980" s="1" t="n"/>
      <c r="AU980" s="1" t="n"/>
      <c r="AV980" s="1" t="n"/>
      <c r="AW980" s="1" t="n"/>
      <c r="AX980" s="1" t="n"/>
      <c r="AY980" s="1" t="n"/>
      <c r="AZ980" s="1" t="n"/>
      <c r="BA980" s="1" t="n"/>
    </row>
    <row r="981" ht="16.5" customHeight="1" s="220">
      <c r="A981" s="1" t="n"/>
      <c r="B981" s="1" t="n"/>
      <c r="C981" s="2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  <c r="AR981" s="1" t="n"/>
      <c r="AS981" s="1" t="n"/>
      <c r="AT981" s="1" t="n"/>
      <c r="AU981" s="1" t="n"/>
      <c r="AV981" s="1" t="n"/>
      <c r="AW981" s="1" t="n"/>
      <c r="AX981" s="1" t="n"/>
      <c r="AY981" s="1" t="n"/>
      <c r="AZ981" s="1" t="n"/>
      <c r="BA981" s="1" t="n"/>
    </row>
    <row r="982" ht="16.5" customHeight="1" s="220">
      <c r="A982" s="1" t="n"/>
      <c r="B982" s="1" t="n"/>
      <c r="C982" s="2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Q982" s="1" t="n"/>
      <c r="AR982" s="1" t="n"/>
      <c r="AS982" s="1" t="n"/>
      <c r="AT982" s="1" t="n"/>
      <c r="AU982" s="1" t="n"/>
      <c r="AV982" s="1" t="n"/>
      <c r="AW982" s="1" t="n"/>
      <c r="AX982" s="1" t="n"/>
      <c r="AY982" s="1" t="n"/>
      <c r="AZ982" s="1" t="n"/>
      <c r="BA982" s="1" t="n"/>
    </row>
    <row r="983" ht="16.5" customHeight="1" s="220">
      <c r="A983" s="1" t="n"/>
      <c r="B983" s="1" t="n"/>
      <c r="C983" s="2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  <c r="AR983" s="1" t="n"/>
      <c r="AS983" s="1" t="n"/>
      <c r="AT983" s="1" t="n"/>
      <c r="AU983" s="1" t="n"/>
      <c r="AV983" s="1" t="n"/>
      <c r="AW983" s="1" t="n"/>
      <c r="AX983" s="1" t="n"/>
      <c r="AY983" s="1" t="n"/>
      <c r="AZ983" s="1" t="n"/>
      <c r="BA983" s="1" t="n"/>
    </row>
    <row r="984" ht="16.5" customHeight="1" s="220">
      <c r="A984" s="1" t="n"/>
      <c r="B984" s="1" t="n"/>
      <c r="C984" s="2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Q984" s="1" t="n"/>
      <c r="AR984" s="1" t="n"/>
      <c r="AS984" s="1" t="n"/>
      <c r="AT984" s="1" t="n"/>
      <c r="AU984" s="1" t="n"/>
      <c r="AV984" s="1" t="n"/>
      <c r="AW984" s="1" t="n"/>
      <c r="AX984" s="1" t="n"/>
      <c r="AY984" s="1" t="n"/>
      <c r="AZ984" s="1" t="n"/>
      <c r="BA984" s="1" t="n"/>
    </row>
    <row r="985" ht="16.5" customHeight="1" s="220">
      <c r="A985" s="1" t="n"/>
      <c r="B985" s="1" t="n"/>
      <c r="C985" s="2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  <c r="AR985" s="1" t="n"/>
      <c r="AS985" s="1" t="n"/>
      <c r="AT985" s="1" t="n"/>
      <c r="AU985" s="1" t="n"/>
      <c r="AV985" s="1" t="n"/>
      <c r="AW985" s="1" t="n"/>
      <c r="AX985" s="1" t="n"/>
      <c r="AY985" s="1" t="n"/>
      <c r="AZ985" s="1" t="n"/>
      <c r="BA985" s="1" t="n"/>
    </row>
    <row r="986" ht="16.5" customHeight="1" s="220">
      <c r="A986" s="1" t="n"/>
      <c r="B986" s="1" t="n"/>
      <c r="C986" s="2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Q986" s="1" t="n"/>
      <c r="AR986" s="1" t="n"/>
      <c r="AS986" s="1" t="n"/>
      <c r="AT986" s="1" t="n"/>
      <c r="AU986" s="1" t="n"/>
      <c r="AV986" s="1" t="n"/>
      <c r="AW986" s="1" t="n"/>
      <c r="AX986" s="1" t="n"/>
      <c r="AY986" s="1" t="n"/>
      <c r="AZ986" s="1" t="n"/>
      <c r="BA986" s="1" t="n"/>
    </row>
    <row r="987" ht="16.5" customHeight="1" s="220">
      <c r="A987" s="1" t="n"/>
      <c r="B987" s="1" t="n"/>
      <c r="C987" s="2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  <c r="AR987" s="1" t="n"/>
      <c r="AS987" s="1" t="n"/>
      <c r="AT987" s="1" t="n"/>
      <c r="AU987" s="1" t="n"/>
      <c r="AV987" s="1" t="n"/>
      <c r="AW987" s="1" t="n"/>
      <c r="AX987" s="1" t="n"/>
      <c r="AY987" s="1" t="n"/>
      <c r="AZ987" s="1" t="n"/>
      <c r="BA987" s="1" t="n"/>
    </row>
    <row r="988" ht="16.5" customHeight="1" s="220">
      <c r="A988" s="1" t="n"/>
      <c r="B988" s="1" t="n"/>
      <c r="C988" s="2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Q988" s="1" t="n"/>
      <c r="AR988" s="1" t="n"/>
      <c r="AS988" s="1" t="n"/>
      <c r="AT988" s="1" t="n"/>
      <c r="AU988" s="1" t="n"/>
      <c r="AV988" s="1" t="n"/>
      <c r="AW988" s="1" t="n"/>
      <c r="AX988" s="1" t="n"/>
      <c r="AY988" s="1" t="n"/>
      <c r="AZ988" s="1" t="n"/>
      <c r="BA988" s="1" t="n"/>
    </row>
    <row r="989" ht="16.5" customHeight="1" s="220">
      <c r="A989" s="1" t="n"/>
      <c r="B989" s="1" t="n"/>
      <c r="C989" s="2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  <c r="AR989" s="1" t="n"/>
      <c r="AS989" s="1" t="n"/>
      <c r="AT989" s="1" t="n"/>
      <c r="AU989" s="1" t="n"/>
      <c r="AV989" s="1" t="n"/>
      <c r="AW989" s="1" t="n"/>
      <c r="AX989" s="1" t="n"/>
      <c r="AY989" s="1" t="n"/>
      <c r="AZ989" s="1" t="n"/>
      <c r="BA989" s="1" t="n"/>
    </row>
    <row r="990" ht="16.5" customHeight="1" s="220">
      <c r="A990" s="1" t="n"/>
      <c r="B990" s="1" t="n"/>
      <c r="C990" s="2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  <c r="AQ990" s="1" t="n"/>
      <c r="AR990" s="1" t="n"/>
      <c r="AS990" s="1" t="n"/>
      <c r="AT990" s="1" t="n"/>
      <c r="AU990" s="1" t="n"/>
      <c r="AV990" s="1" t="n"/>
      <c r="AW990" s="1" t="n"/>
      <c r="AX990" s="1" t="n"/>
      <c r="AY990" s="1" t="n"/>
      <c r="AZ990" s="1" t="n"/>
      <c r="BA990" s="1" t="n"/>
    </row>
    <row r="991" ht="16.5" customHeight="1" s="220">
      <c r="A991" s="1" t="n"/>
      <c r="B991" s="1" t="n"/>
      <c r="C991" s="2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  <c r="AR991" s="1" t="n"/>
      <c r="AS991" s="1" t="n"/>
      <c r="AT991" s="1" t="n"/>
      <c r="AU991" s="1" t="n"/>
      <c r="AV991" s="1" t="n"/>
      <c r="AW991" s="1" t="n"/>
      <c r="AX991" s="1" t="n"/>
      <c r="AY991" s="1" t="n"/>
      <c r="AZ991" s="1" t="n"/>
      <c r="BA991" s="1" t="n"/>
    </row>
    <row r="992" ht="16.5" customHeight="1" s="220">
      <c r="A992" s="1" t="n"/>
      <c r="B992" s="1" t="n"/>
      <c r="C992" s="2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  <c r="AQ992" s="1" t="n"/>
      <c r="AR992" s="1" t="n"/>
      <c r="AS992" s="1" t="n"/>
      <c r="AT992" s="1" t="n"/>
      <c r="AU992" s="1" t="n"/>
      <c r="AV992" s="1" t="n"/>
      <c r="AW992" s="1" t="n"/>
      <c r="AX992" s="1" t="n"/>
      <c r="AY992" s="1" t="n"/>
      <c r="AZ992" s="1" t="n"/>
      <c r="BA992" s="1" t="n"/>
    </row>
    <row r="993" ht="16.5" customHeight="1" s="220">
      <c r="A993" s="1" t="n"/>
      <c r="B993" s="1" t="n"/>
      <c r="C993" s="2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Q993" s="1" t="n"/>
      <c r="AR993" s="1" t="n"/>
      <c r="AS993" s="1" t="n"/>
      <c r="AT993" s="1" t="n"/>
      <c r="AU993" s="1" t="n"/>
      <c r="AV993" s="1" t="n"/>
      <c r="AW993" s="1" t="n"/>
      <c r="AX993" s="1" t="n"/>
      <c r="AY993" s="1" t="n"/>
      <c r="AZ993" s="1" t="n"/>
      <c r="BA993" s="1" t="n"/>
    </row>
    <row r="994" ht="16.5" customHeight="1" s="220">
      <c r="A994" s="1" t="n"/>
      <c r="B994" s="1" t="n"/>
      <c r="C994" s="2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Q994" s="1" t="n"/>
      <c r="AR994" s="1" t="n"/>
      <c r="AS994" s="1" t="n"/>
      <c r="AT994" s="1" t="n"/>
      <c r="AU994" s="1" t="n"/>
      <c r="AV994" s="1" t="n"/>
      <c r="AW994" s="1" t="n"/>
      <c r="AX994" s="1" t="n"/>
      <c r="AY994" s="1" t="n"/>
      <c r="AZ994" s="1" t="n"/>
      <c r="BA994" s="1" t="n"/>
    </row>
    <row r="995" ht="16.5" customHeight="1" s="220">
      <c r="A995" s="1" t="n"/>
      <c r="B995" s="1" t="n"/>
      <c r="C995" s="2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  <c r="AR995" s="1" t="n"/>
      <c r="AS995" s="1" t="n"/>
      <c r="AT995" s="1" t="n"/>
      <c r="AU995" s="1" t="n"/>
      <c r="AV995" s="1" t="n"/>
      <c r="AW995" s="1" t="n"/>
      <c r="AX995" s="1" t="n"/>
      <c r="AY995" s="1" t="n"/>
      <c r="AZ995" s="1" t="n"/>
      <c r="BA995" s="1" t="n"/>
    </row>
    <row r="996" ht="16.5" customHeight="1" s="220">
      <c r="A996" s="1" t="n"/>
      <c r="B996" s="1" t="n"/>
      <c r="C996" s="2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Q996" s="1" t="n"/>
      <c r="AR996" s="1" t="n"/>
      <c r="AS996" s="1" t="n"/>
      <c r="AT996" s="1" t="n"/>
      <c r="AU996" s="1" t="n"/>
      <c r="AV996" s="1" t="n"/>
      <c r="AW996" s="1" t="n"/>
      <c r="AX996" s="1" t="n"/>
      <c r="AY996" s="1" t="n"/>
      <c r="AZ996" s="1" t="n"/>
      <c r="BA996" s="1" t="n"/>
    </row>
    <row r="997" ht="16.5" customHeight="1" s="220">
      <c r="A997" s="1" t="n"/>
      <c r="B997" s="1" t="n"/>
      <c r="C997" s="2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  <c r="AR997" s="1" t="n"/>
      <c r="AS997" s="1" t="n"/>
      <c r="AT997" s="1" t="n"/>
      <c r="AU997" s="1" t="n"/>
      <c r="AV997" s="1" t="n"/>
      <c r="AW997" s="1" t="n"/>
      <c r="AX997" s="1" t="n"/>
      <c r="AY997" s="1" t="n"/>
      <c r="AZ997" s="1" t="n"/>
      <c r="BA997" s="1" t="n"/>
    </row>
    <row r="998" ht="16.5" customHeight="1" s="220">
      <c r="A998" s="1" t="n"/>
      <c r="B998" s="1" t="n"/>
      <c r="C998" s="2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  <c r="AQ998" s="1" t="n"/>
      <c r="AR998" s="1" t="n"/>
      <c r="AS998" s="1" t="n"/>
      <c r="AT998" s="1" t="n"/>
      <c r="AU998" s="1" t="n"/>
      <c r="AV998" s="1" t="n"/>
      <c r="AW998" s="1" t="n"/>
      <c r="AX998" s="1" t="n"/>
      <c r="AY998" s="1" t="n"/>
      <c r="AZ998" s="1" t="n"/>
      <c r="BA998" s="1" t="n"/>
    </row>
    <row r="999" ht="16.5" customHeight="1" s="220">
      <c r="A999" s="1" t="n"/>
      <c r="B999" s="1" t="n"/>
      <c r="C999" s="2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Q999" s="1" t="n"/>
      <c r="AR999" s="1" t="n"/>
      <c r="AS999" s="1" t="n"/>
      <c r="AT999" s="1" t="n"/>
      <c r="AU999" s="1" t="n"/>
      <c r="AV999" s="1" t="n"/>
      <c r="AW999" s="1" t="n"/>
      <c r="AX999" s="1" t="n"/>
      <c r="AY999" s="1" t="n"/>
      <c r="AZ999" s="1" t="n"/>
      <c r="BA999" s="1" t="n"/>
    </row>
    <row r="1000" ht="16.5" customHeight="1" s="220">
      <c r="A1000" s="1" t="n"/>
      <c r="B1000" s="1" t="n"/>
      <c r="C1000" s="2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  <c r="AQ1000" s="1" t="n"/>
      <c r="AR1000" s="1" t="n"/>
      <c r="AS1000" s="1" t="n"/>
      <c r="AT1000" s="1" t="n"/>
      <c r="AU1000" s="1" t="n"/>
      <c r="AV1000" s="1" t="n"/>
      <c r="AW1000" s="1" t="n"/>
      <c r="AX1000" s="1" t="n"/>
      <c r="AY1000" s="1" t="n"/>
      <c r="AZ1000" s="1" t="n"/>
      <c r="BA1000" s="1" t="n"/>
    </row>
  </sheetData>
  <mergeCells count="48">
    <mergeCell ref="F4:G4"/>
    <mergeCell ref="Y5:AA5"/>
    <mergeCell ref="Q5:S5"/>
    <mergeCell ref="AY3:AZ3"/>
    <mergeCell ref="B3:C3"/>
    <mergeCell ref="V33:W33"/>
    <mergeCell ref="N4:O4"/>
    <mergeCell ref="AY33:AZ33"/>
    <mergeCell ref="R4:S4"/>
    <mergeCell ref="F3:G3"/>
    <mergeCell ref="AT3:AU3"/>
    <mergeCell ref="V4:W4"/>
    <mergeCell ref="AE3:AF3"/>
    <mergeCell ref="N3:O3"/>
    <mergeCell ref="AY4:AZ4"/>
    <mergeCell ref="A5:C5"/>
    <mergeCell ref="AT33:AU33"/>
    <mergeCell ref="AO3:AP3"/>
    <mergeCell ref="I5:K5"/>
    <mergeCell ref="F33:G33"/>
    <mergeCell ref="AO33:AP33"/>
    <mergeCell ref="N33:O33"/>
    <mergeCell ref="AE33:AF33"/>
    <mergeCell ref="AT4:AU4"/>
    <mergeCell ref="Z3:AA3"/>
    <mergeCell ref="J4:K4"/>
    <mergeCell ref="AJ3:AK3"/>
    <mergeCell ref="U5:W5"/>
    <mergeCell ref="AX5:AZ5"/>
    <mergeCell ref="AI5:AK5"/>
    <mergeCell ref="AJ33:AK33"/>
    <mergeCell ref="Z33:AA33"/>
    <mergeCell ref="AS5:AU5"/>
    <mergeCell ref="R3:S3"/>
    <mergeCell ref="AO4:AP4"/>
    <mergeCell ref="J3:K3"/>
    <mergeCell ref="AJ4:AK4"/>
    <mergeCell ref="Z4:AA4"/>
    <mergeCell ref="AD5:AF5"/>
    <mergeCell ref="B33:C33"/>
    <mergeCell ref="E5:G5"/>
    <mergeCell ref="AN5:AP5"/>
    <mergeCell ref="M5:O5"/>
    <mergeCell ref="J33:K33"/>
    <mergeCell ref="R33:S33"/>
    <mergeCell ref="B4:C4"/>
    <mergeCell ref="V3:W3"/>
    <mergeCell ref="AE4:AF4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99CC"/>
    <outlinePr summaryBelow="1" summaryRight="1"/>
    <pageSetUpPr/>
  </sheetPr>
  <dimension ref="A1:BA1000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32.5" customWidth="1" style="220" min="1" max="1"/>
    <col width="76.13" customWidth="1" style="220" min="2" max="2"/>
    <col width="43.5" customWidth="1" style="220" min="3" max="3"/>
    <col width="27.75" customWidth="1" style="220" min="4" max="4"/>
    <col hidden="1" width="33" customWidth="1" style="220" min="5" max="5"/>
    <col hidden="1" width="56.75" customWidth="1" style="220" min="6" max="6"/>
    <col hidden="1" width="33.88" customWidth="1" style="220" min="7" max="7"/>
    <col hidden="1" width="28" customWidth="1" style="220" min="8" max="8"/>
    <col width="33" customWidth="1" style="220" min="9" max="9"/>
    <col width="56.75" customWidth="1" style="220" min="10" max="10"/>
    <col width="30.13" customWidth="1" style="220" min="11" max="11"/>
    <col width="28" customWidth="1" style="220" min="12" max="12"/>
    <col width="33.13" customWidth="1" style="220" min="13" max="13"/>
    <col width="56.75" customWidth="1" style="220" min="14" max="14"/>
    <col width="30.13" customWidth="1" style="220" min="15" max="15"/>
    <col width="41.75" customWidth="1" style="220" min="16" max="16"/>
    <col hidden="1" width="28.13" customWidth="1" style="220" min="17" max="17"/>
    <col hidden="1" width="56.75" customWidth="1" style="220" min="18" max="18"/>
    <col hidden="1" width="30.13" customWidth="1" style="220" min="19" max="19"/>
    <col hidden="1" width="27.38" customWidth="1" style="220" min="20" max="20"/>
    <col width="33.38" customWidth="1" style="220" min="21" max="21"/>
    <col width="56.75" customWidth="1" style="220" min="22" max="22"/>
    <col width="30.13" customWidth="1" style="220" min="23" max="23"/>
    <col width="47.63" customWidth="1" style="220" min="24" max="24"/>
    <col width="33.88" customWidth="1" style="220" min="25" max="25"/>
    <col width="56.75" customWidth="1" style="220" min="26" max="26"/>
    <col width="30.13" customWidth="1" style="220" min="27" max="27"/>
    <col width="22.88" customWidth="1" style="220" min="28" max="28"/>
    <col width="8.880000000000001" customWidth="1" style="220" min="29" max="29"/>
    <col width="32.75" customWidth="1" style="220" min="30" max="30"/>
    <col width="56.75" customWidth="1" style="220" min="31" max="31"/>
    <col width="30.13" customWidth="1" style="220" min="32" max="32"/>
    <col width="22.88" customWidth="1" style="220" min="33" max="33"/>
    <col width="8.880000000000001" customWidth="1" style="220" min="34" max="34"/>
    <col hidden="1" width="31.88" customWidth="1" style="220" min="35" max="35"/>
    <col hidden="1" width="52.63" customWidth="1" style="220" min="36" max="36"/>
    <col hidden="1" width="20" customWidth="1" style="220" min="37" max="37"/>
    <col hidden="1" width="19.25" customWidth="1" style="220" min="38" max="38"/>
    <col hidden="1" width="15.88" customWidth="1" style="220" min="39" max="39"/>
    <col width="31.88" customWidth="1" style="220" min="40" max="40"/>
    <col width="52.63" customWidth="1" style="220" min="41" max="41"/>
    <col width="24.5" customWidth="1" style="220" min="42" max="42"/>
    <col width="22.63" customWidth="1" style="220" min="43" max="43"/>
    <col width="8.880000000000001" customWidth="1" style="220" min="44" max="44"/>
    <col width="31.88" customWidth="1" style="220" min="45" max="45"/>
    <col width="52.63" customWidth="1" style="220" min="46" max="46"/>
    <col width="19.5" customWidth="1" style="220" min="47" max="47"/>
    <col width="20.38" customWidth="1" style="220" min="48" max="48"/>
    <col width="8.880000000000001" customWidth="1" style="220" min="49" max="49"/>
    <col hidden="1" width="31.88" customWidth="1" style="220" min="50" max="50"/>
    <col hidden="1" width="52.63" customWidth="1" style="220" min="51" max="51"/>
    <col hidden="1" width="19.5" customWidth="1" style="220" min="52" max="52"/>
    <col hidden="1" width="8" customWidth="1" style="220" min="53" max="53"/>
  </cols>
  <sheetData>
    <row r="1" ht="16.5" customHeight="1" s="220">
      <c r="A1" s="1" t="n"/>
      <c r="B1" s="1" t="n"/>
      <c r="C1" s="2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</row>
    <row r="2" ht="17.25" customHeight="1" s="220">
      <c r="A2" s="1" t="n"/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</row>
    <row r="3" ht="23.25" customHeight="1" s="220">
      <c r="A3" s="3" t="inlineStr">
        <is>
          <t>MONTH/YEAR:</t>
        </is>
      </c>
      <c r="B3" s="221" t="n">
        <v>46023</v>
      </c>
      <c r="C3" s="222" t="n"/>
      <c r="D3" s="1" t="n"/>
      <c r="E3" s="3" t="inlineStr">
        <is>
          <t>MONTH/YEAR:</t>
        </is>
      </c>
      <c r="F3" s="221">
        <f>B3</f>
        <v/>
      </c>
      <c r="G3" s="222" t="n"/>
      <c r="H3" s="1" t="n"/>
      <c r="I3" s="3" t="inlineStr">
        <is>
          <t>MONTH/YEAR:</t>
        </is>
      </c>
      <c r="J3" s="221">
        <f>B3</f>
        <v/>
      </c>
      <c r="K3" s="222" t="n"/>
      <c r="L3" s="1" t="n"/>
      <c r="M3" s="3" t="inlineStr">
        <is>
          <t>MONTH/YEAR:</t>
        </is>
      </c>
      <c r="N3" s="221">
        <f>B3</f>
        <v/>
      </c>
      <c r="O3" s="222" t="n"/>
      <c r="P3" s="1" t="n"/>
      <c r="Q3" s="3" t="inlineStr">
        <is>
          <t>MONTH/YEAR:</t>
        </is>
      </c>
      <c r="R3" s="221">
        <f>B3</f>
        <v/>
      </c>
      <c r="S3" s="222" t="n"/>
      <c r="T3" s="1" t="n"/>
      <c r="U3" s="3" t="inlineStr">
        <is>
          <t>MONTH/YEAR:</t>
        </is>
      </c>
      <c r="V3" s="221">
        <f>B3</f>
        <v/>
      </c>
      <c r="W3" s="222" t="n"/>
      <c r="X3" s="1" t="n"/>
      <c r="Y3" s="3" t="inlineStr">
        <is>
          <t>MONTH/YEAR:</t>
        </is>
      </c>
      <c r="Z3" s="221">
        <f>B3</f>
        <v/>
      </c>
      <c r="AA3" s="222" t="n"/>
      <c r="AB3" s="1" t="n"/>
      <c r="AC3" s="1" t="n"/>
      <c r="AD3" s="3" t="inlineStr">
        <is>
          <t>MONTH/YEAR:</t>
        </is>
      </c>
      <c r="AE3" s="221">
        <f>B3</f>
        <v/>
      </c>
      <c r="AF3" s="222" t="n"/>
      <c r="AG3" s="1" t="n"/>
      <c r="AH3" s="1" t="n"/>
      <c r="AI3" s="3" t="inlineStr">
        <is>
          <t>MONTH/YEAR:</t>
        </is>
      </c>
      <c r="AJ3" s="221">
        <f>AE3</f>
        <v/>
      </c>
      <c r="AK3" s="222" t="n"/>
      <c r="AL3" s="1" t="n"/>
      <c r="AM3" s="1" t="n"/>
      <c r="AN3" s="3" t="inlineStr">
        <is>
          <t>MONTH/YEAR:</t>
        </is>
      </c>
      <c r="AO3" s="221">
        <f>AE3</f>
        <v/>
      </c>
      <c r="AP3" s="222" t="n"/>
      <c r="AQ3" s="1" t="n"/>
      <c r="AR3" s="1" t="n"/>
      <c r="AS3" s="3" t="inlineStr">
        <is>
          <t>MONTH/YEAR:</t>
        </is>
      </c>
      <c r="AT3" s="221">
        <f>AO3</f>
        <v/>
      </c>
      <c r="AU3" s="222" t="n"/>
      <c r="AV3" s="1" t="n"/>
      <c r="AW3" s="1" t="n"/>
      <c r="AX3" s="3" t="inlineStr">
        <is>
          <t>MONTH/YEAR:</t>
        </is>
      </c>
      <c r="AY3" s="221">
        <f>V3</f>
        <v/>
      </c>
      <c r="AZ3" s="222" t="n"/>
      <c r="BA3" s="1" t="n"/>
    </row>
    <row r="4" ht="31.5" customHeight="1" s="220">
      <c r="A4" s="6" t="inlineStr">
        <is>
          <t>BRANCH:</t>
        </is>
      </c>
      <c r="B4" s="223" t="inlineStr">
        <is>
          <t xml:space="preserve">CASA DENTAL ADMIRALTY </t>
        </is>
      </c>
      <c r="C4" s="224" t="n"/>
      <c r="D4" s="1" t="n"/>
      <c r="E4" s="6" t="inlineStr">
        <is>
          <t>BRANCH:</t>
        </is>
      </c>
      <c r="F4" s="223">
        <f>B4</f>
        <v/>
      </c>
      <c r="G4" s="224" t="n"/>
      <c r="H4" s="1" t="n"/>
      <c r="I4" s="6" t="inlineStr">
        <is>
          <t>BRANCH:</t>
        </is>
      </c>
      <c r="J4" s="223">
        <f>B4</f>
        <v/>
      </c>
      <c r="K4" s="224" t="n"/>
      <c r="L4" s="1" t="n"/>
      <c r="M4" s="6" t="inlineStr">
        <is>
          <t>BRANCH:</t>
        </is>
      </c>
      <c r="N4" s="223">
        <f>B4</f>
        <v/>
      </c>
      <c r="O4" s="224" t="n"/>
      <c r="P4" s="1" t="n"/>
      <c r="Q4" s="6" t="inlineStr">
        <is>
          <t>BRANCH:</t>
        </is>
      </c>
      <c r="R4" s="223" t="inlineStr">
        <is>
          <t>CASA DENTAL AMK PTE LTD</t>
        </is>
      </c>
      <c r="S4" s="224" t="n"/>
      <c r="T4" s="1" t="n"/>
      <c r="U4" s="6" t="inlineStr">
        <is>
          <t>BRANCH:</t>
        </is>
      </c>
      <c r="V4" s="223">
        <f>B4</f>
        <v/>
      </c>
      <c r="W4" s="224" t="n"/>
      <c r="X4" s="1" t="n"/>
      <c r="Y4" s="6" t="inlineStr">
        <is>
          <t>BRANCH:</t>
        </is>
      </c>
      <c r="Z4" s="223">
        <f>B4</f>
        <v/>
      </c>
      <c r="AA4" s="224" t="n"/>
      <c r="AB4" s="1" t="n"/>
      <c r="AC4" s="1" t="n"/>
      <c r="AD4" s="6" t="inlineStr">
        <is>
          <t>BRANCH:</t>
        </is>
      </c>
      <c r="AE4" s="223">
        <f>B4</f>
        <v/>
      </c>
      <c r="AF4" s="224" t="n"/>
      <c r="AG4" s="1" t="n"/>
      <c r="AH4" s="1" t="n"/>
      <c r="AI4" s="6" t="inlineStr">
        <is>
          <t>BRANCH:</t>
        </is>
      </c>
      <c r="AJ4" s="223" t="inlineStr">
        <is>
          <t>CASA DENTAL AMK PTE LTD</t>
        </is>
      </c>
      <c r="AK4" s="224" t="n"/>
      <c r="AL4" s="1" t="n"/>
      <c r="AM4" s="1" t="n"/>
      <c r="AN4" s="6" t="inlineStr">
        <is>
          <t>BRANCH:</t>
        </is>
      </c>
      <c r="AO4" s="223">
        <f>AE4</f>
        <v/>
      </c>
      <c r="AP4" s="224" t="n"/>
      <c r="AQ4" s="1" t="n"/>
      <c r="AR4" s="1" t="n"/>
      <c r="AS4" s="6" t="inlineStr">
        <is>
          <t>BRANCH:</t>
        </is>
      </c>
      <c r="AT4" s="223">
        <f>AO4</f>
        <v/>
      </c>
      <c r="AU4" s="224" t="n"/>
      <c r="AV4" s="1" t="n"/>
      <c r="AW4" s="1" t="n"/>
      <c r="AX4" s="6" t="inlineStr">
        <is>
          <t>BRANCH:</t>
        </is>
      </c>
      <c r="AY4" s="223">
        <f>V4</f>
        <v/>
      </c>
      <c r="AZ4" s="224" t="n"/>
      <c r="BA4" s="1" t="n"/>
    </row>
    <row r="5" ht="34.5" customHeight="1" s="220">
      <c r="A5" s="225" t="inlineStr">
        <is>
          <t>ALL PROVIDERS SETTLEMENT</t>
        </is>
      </c>
      <c r="C5" s="226" t="n"/>
      <c r="D5" s="1" t="n"/>
      <c r="E5" s="227" t="inlineStr">
        <is>
          <t>DR CHAN KC</t>
        </is>
      </c>
      <c r="F5" s="228" t="n"/>
      <c r="G5" s="229" t="n"/>
      <c r="H5" s="1" t="n"/>
      <c r="I5" s="227" t="inlineStr">
        <is>
          <t>DR CHAN CHIEN CHI</t>
        </is>
      </c>
      <c r="J5" s="228" t="n"/>
      <c r="K5" s="229" t="n"/>
      <c r="L5" s="1" t="n"/>
      <c r="M5" s="227" t="inlineStr">
        <is>
          <t>DR CELINE TEO</t>
        </is>
      </c>
      <c r="N5" s="228" t="n"/>
      <c r="O5" s="229" t="n"/>
      <c r="P5" s="1" t="n"/>
      <c r="Q5" s="227" t="inlineStr">
        <is>
          <t xml:space="preserve">DR KALIE </t>
        </is>
      </c>
      <c r="R5" s="228" t="n"/>
      <c r="S5" s="229" t="n"/>
      <c r="T5" s="1" t="n"/>
      <c r="U5" s="233" t="inlineStr">
        <is>
          <t>DR KEEFE SIM</t>
        </is>
      </c>
      <c r="V5" s="228" t="n"/>
      <c r="W5" s="229" t="n"/>
      <c r="X5" s="1" t="n"/>
      <c r="Y5" s="227" t="inlineStr">
        <is>
          <t>DR JENNIFER HOANG</t>
        </is>
      </c>
      <c r="Z5" s="228" t="n"/>
      <c r="AA5" s="229" t="n"/>
      <c r="AB5" s="1" t="n"/>
      <c r="AC5" s="1" t="n"/>
      <c r="AD5" s="227" t="inlineStr">
        <is>
          <t>DR HUANG JIAWEN</t>
        </is>
      </c>
      <c r="AE5" s="228" t="n"/>
      <c r="AF5" s="229" t="n"/>
      <c r="AG5" s="1" t="n"/>
      <c r="AH5" s="1" t="n"/>
      <c r="AI5" s="227" t="inlineStr">
        <is>
          <t>DR ANDREW YIN</t>
        </is>
      </c>
      <c r="AJ5" s="228" t="n"/>
      <c r="AK5" s="229" t="n"/>
      <c r="AL5" s="1" t="n"/>
      <c r="AM5" s="1" t="n"/>
      <c r="AN5" s="233" t="inlineStr">
        <is>
          <t>DR YVETTE CHOW</t>
        </is>
      </c>
      <c r="AO5" s="228" t="n"/>
      <c r="AP5" s="229" t="n"/>
      <c r="AQ5" s="1" t="n"/>
      <c r="AR5" s="1" t="n"/>
      <c r="AS5" s="234" t="inlineStr">
        <is>
          <t>DR PETER KEITH</t>
        </is>
      </c>
      <c r="AT5" s="228" t="n"/>
      <c r="AU5" s="229" t="n"/>
      <c r="AV5" s="1" t="n"/>
      <c r="AW5" s="1" t="n"/>
      <c r="AX5" s="227" t="inlineStr">
        <is>
          <t>DR ROLAND FOO</t>
        </is>
      </c>
      <c r="AY5" s="228" t="n"/>
      <c r="AZ5" s="229" t="n"/>
      <c r="BA5" s="1" t="n"/>
    </row>
    <row r="6" ht="18.75" customHeight="1" s="220">
      <c r="A6" s="14" t="n"/>
      <c r="B6" s="15" t="n"/>
      <c r="C6" s="16" t="inlineStr">
        <is>
          <t>ADMIN CHARGES</t>
        </is>
      </c>
      <c r="D6" s="17" t="n"/>
      <c r="E6" s="18" t="n"/>
      <c r="F6" s="15" t="n"/>
      <c r="G6" s="16" t="inlineStr">
        <is>
          <t>ADMIN CHARGES</t>
        </is>
      </c>
      <c r="H6" s="17" t="n"/>
      <c r="I6" s="19" t="n"/>
      <c r="J6" s="15" t="n"/>
      <c r="K6" s="20" t="inlineStr">
        <is>
          <t>ADMIN CHARGES</t>
        </is>
      </c>
      <c r="L6" s="17" t="n"/>
      <c r="M6" s="21" t="n"/>
      <c r="N6" s="22" t="n"/>
      <c r="O6" s="16" t="inlineStr">
        <is>
          <t>ADMIN CHARGES</t>
        </is>
      </c>
      <c r="P6" s="1" t="n"/>
      <c r="Q6" s="23" t="n"/>
      <c r="R6" s="24" t="n"/>
      <c r="S6" s="25" t="inlineStr">
        <is>
          <t>ADMIN CHARGES</t>
        </is>
      </c>
      <c r="T6" s="1" t="n"/>
      <c r="U6" s="26" t="n"/>
      <c r="V6" s="164" t="n"/>
      <c r="W6" s="27" t="inlineStr">
        <is>
          <t>ADMIN CHARGES</t>
        </is>
      </c>
      <c r="X6" s="28" t="n"/>
      <c r="Y6" s="14" t="n"/>
      <c r="Z6" s="29" t="n"/>
      <c r="AA6" s="22" t="inlineStr">
        <is>
          <t>ADMIN CHARGES</t>
        </is>
      </c>
      <c r="AB6" s="1" t="n"/>
      <c r="AC6" s="1" t="n"/>
      <c r="AD6" s="26" t="n"/>
      <c r="AE6" s="27" t="n"/>
      <c r="AF6" s="27" t="inlineStr">
        <is>
          <t>ADMIN CHARGES</t>
        </is>
      </c>
      <c r="AG6" s="30" t="n"/>
      <c r="AH6" s="1" t="n"/>
      <c r="AI6" s="23" t="n"/>
      <c r="AJ6" s="25" t="n"/>
      <c r="AK6" s="25" t="inlineStr">
        <is>
          <t>ADMIN CHARGES</t>
        </is>
      </c>
      <c r="AL6" s="1" t="n"/>
      <c r="AM6" s="1" t="n"/>
      <c r="AN6" s="26" t="n"/>
      <c r="AO6" s="27" t="n"/>
      <c r="AP6" s="27" t="inlineStr">
        <is>
          <t>ADMIN CHARGES</t>
        </is>
      </c>
      <c r="AQ6" s="30" t="n"/>
      <c r="AR6" s="1" t="n"/>
      <c r="AS6" s="26" t="n"/>
      <c r="AT6" s="27" t="n"/>
      <c r="AU6" s="27" t="inlineStr">
        <is>
          <t>ADMIN CHARGES</t>
        </is>
      </c>
      <c r="AV6" s="30" t="n"/>
      <c r="AW6" s="1" t="n"/>
      <c r="AX6" s="26" t="n"/>
      <c r="AY6" s="27" t="n"/>
      <c r="AZ6" s="27" t="inlineStr">
        <is>
          <t>ADMIN CHARGES</t>
        </is>
      </c>
      <c r="BA6" s="30" t="n"/>
    </row>
    <row r="7" ht="27.75" customHeight="1" s="220">
      <c r="A7" s="31" t="inlineStr">
        <is>
          <t>AIA</t>
        </is>
      </c>
      <c r="B7" s="174" t="n"/>
      <c r="C7" s="33">
        <f>B7*0.05*1.09</f>
        <v/>
      </c>
      <c r="D7" s="34" t="n"/>
      <c r="E7" s="35" t="inlineStr">
        <is>
          <t>AIA</t>
        </is>
      </c>
      <c r="F7" s="36" t="n"/>
      <c r="G7" s="33">
        <f>F7*0.05*1.09</f>
        <v/>
      </c>
      <c r="H7" s="37" t="n"/>
      <c r="I7" s="35" t="inlineStr">
        <is>
          <t>AIA</t>
        </is>
      </c>
      <c r="J7" s="174" t="n"/>
      <c r="K7" s="33">
        <f>J7*0.05*1.09</f>
        <v/>
      </c>
      <c r="L7" s="37" t="n"/>
      <c r="M7" s="35" t="inlineStr">
        <is>
          <t>AIA</t>
        </is>
      </c>
      <c r="N7" s="174" t="n"/>
      <c r="O7" s="33">
        <f>N7*0.05*1.09</f>
        <v/>
      </c>
      <c r="P7" s="38" t="n"/>
      <c r="Q7" s="31" t="inlineStr">
        <is>
          <t>AIA</t>
        </is>
      </c>
      <c r="R7" s="39" t="n"/>
      <c r="S7" s="40">
        <f>R7*0.05*1.09</f>
        <v/>
      </c>
      <c r="T7" s="38" t="n"/>
      <c r="U7" s="41" t="inlineStr">
        <is>
          <t>AIA</t>
        </is>
      </c>
      <c r="V7" s="173" t="n"/>
      <c r="W7" s="43">
        <f>V7*0.05*1.09</f>
        <v/>
      </c>
      <c r="X7" s="193" t="n"/>
      <c r="Y7" s="35" t="inlineStr">
        <is>
          <t>AIA</t>
        </is>
      </c>
      <c r="Z7" s="174" t="n"/>
      <c r="AA7" s="45">
        <f>Z7*0.05*1.09</f>
        <v/>
      </c>
      <c r="AB7" s="46" t="n"/>
      <c r="AC7" s="46" t="n"/>
      <c r="AD7" s="41" t="inlineStr">
        <is>
          <t>AIA</t>
        </is>
      </c>
      <c r="AE7" s="173" t="n"/>
      <c r="AF7" s="43">
        <f>AE7*0.05*1.09</f>
        <v/>
      </c>
      <c r="AG7" s="48" t="n"/>
      <c r="AH7" s="46" t="n"/>
      <c r="AI7" s="31" t="inlineStr">
        <is>
          <t>AIA</t>
        </is>
      </c>
      <c r="AJ7" s="39" t="n"/>
      <c r="AK7" s="40">
        <f>AJ7*0.05*1.09</f>
        <v/>
      </c>
      <c r="AL7" s="46" t="n"/>
      <c r="AM7" s="46" t="n"/>
      <c r="AN7" s="41" t="inlineStr">
        <is>
          <t>AIA</t>
        </is>
      </c>
      <c r="AO7" s="173" t="n"/>
      <c r="AP7" s="43">
        <f>AO7*0.05*1.09</f>
        <v/>
      </c>
      <c r="AQ7" s="48" t="n"/>
      <c r="AR7" s="46" t="n"/>
      <c r="AS7" s="41" t="inlineStr">
        <is>
          <t>AIA</t>
        </is>
      </c>
      <c r="AT7" s="173" t="n"/>
      <c r="AU7" s="43">
        <f>AT7*0.05*1.09</f>
        <v/>
      </c>
      <c r="AV7" s="48" t="n"/>
      <c r="AW7" s="46" t="n"/>
      <c r="AX7" s="41" t="inlineStr">
        <is>
          <t>AIA</t>
        </is>
      </c>
      <c r="AY7" s="173" t="n"/>
      <c r="AZ7" s="43">
        <f>AY7*0.05*1.09</f>
        <v/>
      </c>
      <c r="BA7" s="48" t="n"/>
    </row>
    <row r="8" ht="27.75" customHeight="1" s="220">
      <c r="A8" s="31" t="inlineStr">
        <is>
          <t>ALLIANCE</t>
        </is>
      </c>
      <c r="B8" s="174" t="n"/>
      <c r="C8" s="33">
        <f>B8*0.05*1.09</f>
        <v/>
      </c>
      <c r="D8" s="34" t="n"/>
      <c r="E8" s="35" t="inlineStr">
        <is>
          <t>ALLIANCE</t>
        </is>
      </c>
      <c r="F8" s="36" t="n"/>
      <c r="G8" s="33">
        <f>F8*0.05*1.09</f>
        <v/>
      </c>
      <c r="H8" s="37" t="n"/>
      <c r="I8" s="35" t="inlineStr">
        <is>
          <t>ALLIANCE</t>
        </is>
      </c>
      <c r="J8" s="36" t="n"/>
      <c r="K8" s="33">
        <f>J8*0.05*1.09</f>
        <v/>
      </c>
      <c r="L8" s="37" t="n"/>
      <c r="M8" s="35" t="inlineStr">
        <is>
          <t>ALLIANCE</t>
        </is>
      </c>
      <c r="N8" s="174" t="n"/>
      <c r="O8" s="33">
        <f>N8*0.05*1.09</f>
        <v/>
      </c>
      <c r="P8" s="38" t="n"/>
      <c r="Q8" s="31" t="n"/>
      <c r="R8" s="39" t="n"/>
      <c r="S8" s="40" t="n"/>
      <c r="T8" s="38" t="n"/>
      <c r="U8" s="41" t="inlineStr">
        <is>
          <t>ALLIANCE</t>
        </is>
      </c>
      <c r="V8" s="173" t="n"/>
      <c r="W8" s="43">
        <f>V8*0.05*1.09</f>
        <v/>
      </c>
      <c r="X8" s="193" t="n"/>
      <c r="Y8" s="35" t="inlineStr">
        <is>
          <t>ALLIANCE</t>
        </is>
      </c>
      <c r="Z8" s="174" t="n"/>
      <c r="AA8" s="45">
        <f>Z8*0.05*1.09</f>
        <v/>
      </c>
      <c r="AB8" s="46" t="n"/>
      <c r="AC8" s="46" t="n"/>
      <c r="AD8" s="41" t="inlineStr">
        <is>
          <t>ALLIANCE</t>
        </is>
      </c>
      <c r="AE8" s="173" t="n"/>
      <c r="AF8" s="43">
        <f>AE8*0.05*1.09</f>
        <v/>
      </c>
      <c r="AG8" s="48" t="n"/>
      <c r="AH8" s="46" t="n"/>
      <c r="AI8" s="31" t="n"/>
      <c r="AJ8" s="39" t="n"/>
      <c r="AK8" s="40" t="n"/>
      <c r="AL8" s="46" t="n"/>
      <c r="AM8" s="46" t="n"/>
      <c r="AN8" s="41" t="inlineStr">
        <is>
          <t>ALLIANCE</t>
        </is>
      </c>
      <c r="AO8" s="173" t="n"/>
      <c r="AP8" s="43">
        <f>AO8*0.05*1.09</f>
        <v/>
      </c>
      <c r="AQ8" s="48" t="n"/>
      <c r="AR8" s="46" t="n"/>
      <c r="AS8" s="41" t="inlineStr">
        <is>
          <t>ALLIANCE</t>
        </is>
      </c>
      <c r="AT8" s="173" t="n"/>
      <c r="AU8" s="43">
        <f>AT8*0.05*1.09</f>
        <v/>
      </c>
      <c r="AV8" s="48" t="n"/>
      <c r="AW8" s="46" t="n"/>
      <c r="AX8" s="41" t="inlineStr">
        <is>
          <t>ALLIANCE</t>
        </is>
      </c>
      <c r="AY8" s="173" t="n"/>
      <c r="AZ8" s="43">
        <f>AY8*0.05*1.09</f>
        <v/>
      </c>
      <c r="BA8" s="48" t="n"/>
    </row>
    <row r="9" ht="27.75" customHeight="1" s="220">
      <c r="A9" s="31" t="inlineStr">
        <is>
          <t>AMEX</t>
        </is>
      </c>
      <c r="B9" s="174" t="n"/>
      <c r="C9" s="33">
        <f>B9*0.0195</f>
        <v/>
      </c>
      <c r="D9" s="34" t="n"/>
      <c r="E9" s="35" t="inlineStr">
        <is>
          <t>AMEX</t>
        </is>
      </c>
      <c r="F9" s="36" t="n"/>
      <c r="G9" s="33">
        <f>F9*0.0195</f>
        <v/>
      </c>
      <c r="H9" s="34" t="n"/>
      <c r="I9" s="35" t="inlineStr">
        <is>
          <t>AMEX</t>
        </is>
      </c>
      <c r="J9" s="174" t="n"/>
      <c r="K9" s="33">
        <f>J9*0.0195</f>
        <v/>
      </c>
      <c r="L9" s="34" t="n"/>
      <c r="M9" s="35" t="inlineStr">
        <is>
          <t>AMEX</t>
        </is>
      </c>
      <c r="N9" s="174" t="n"/>
      <c r="O9" s="33">
        <f>N9*0.0195</f>
        <v/>
      </c>
      <c r="P9" s="46" t="n"/>
      <c r="Q9" s="31" t="inlineStr">
        <is>
          <t>AMEX</t>
        </is>
      </c>
      <c r="R9" s="39" t="n"/>
      <c r="S9" s="40">
        <f>R9*0.0195</f>
        <v/>
      </c>
      <c r="T9" s="46" t="n"/>
      <c r="U9" s="41" t="inlineStr">
        <is>
          <t>AMEX</t>
        </is>
      </c>
      <c r="V9" s="173" t="n"/>
      <c r="W9" s="43">
        <f>V9*0.0195</f>
        <v/>
      </c>
      <c r="X9" s="48" t="n"/>
      <c r="Y9" s="35" t="inlineStr">
        <is>
          <t>AMEX</t>
        </is>
      </c>
      <c r="Z9" s="174" t="n"/>
      <c r="AA9" s="45">
        <f>Z9*0.0195</f>
        <v/>
      </c>
      <c r="AB9" s="46" t="n"/>
      <c r="AC9" s="46" t="n"/>
      <c r="AD9" s="41" t="inlineStr">
        <is>
          <t>AMEX</t>
        </is>
      </c>
      <c r="AE9" s="173" t="n"/>
      <c r="AF9" s="43">
        <f>AE9*0.0195</f>
        <v/>
      </c>
      <c r="AG9" s="48" t="n"/>
      <c r="AH9" s="46" t="n"/>
      <c r="AI9" s="31" t="inlineStr">
        <is>
          <t>AMEX</t>
        </is>
      </c>
      <c r="AJ9" s="39" t="n"/>
      <c r="AK9" s="40">
        <f>AJ9*0.0195</f>
        <v/>
      </c>
      <c r="AL9" s="46" t="n"/>
      <c r="AM9" s="46" t="n"/>
      <c r="AN9" s="41" t="inlineStr">
        <is>
          <t>AMEX</t>
        </is>
      </c>
      <c r="AO9" s="173" t="n"/>
      <c r="AP9" s="43">
        <f>AO9*0.0195</f>
        <v/>
      </c>
      <c r="AQ9" s="48" t="n"/>
      <c r="AR9" s="46" t="n"/>
      <c r="AS9" s="41" t="inlineStr">
        <is>
          <t>AMEX</t>
        </is>
      </c>
      <c r="AT9" s="173" t="n"/>
      <c r="AU9" s="43">
        <f>AT9*0.0195</f>
        <v/>
      </c>
      <c r="AV9" s="48" t="n"/>
      <c r="AW9" s="46" t="n"/>
      <c r="AX9" s="41" t="inlineStr">
        <is>
          <t>AMEX</t>
        </is>
      </c>
      <c r="AY9" s="173" t="n"/>
      <c r="AZ9" s="43">
        <f>AY9*0.0195</f>
        <v/>
      </c>
      <c r="BA9" s="48" t="n"/>
    </row>
    <row r="10" ht="27.75" customHeight="1" s="220">
      <c r="A10" s="31" t="inlineStr">
        <is>
          <t>BABYBONUS</t>
        </is>
      </c>
      <c r="B10" s="172" t="n"/>
      <c r="C10" s="33">
        <f>B10*0.008</f>
        <v/>
      </c>
      <c r="D10" s="34" t="n"/>
      <c r="E10" s="35" t="inlineStr">
        <is>
          <t>BABYBONUS</t>
        </is>
      </c>
      <c r="F10" s="50" t="n"/>
      <c r="G10" s="33">
        <f>F10*0.008</f>
        <v/>
      </c>
      <c r="H10" s="34" t="n"/>
      <c r="I10" s="35" t="inlineStr">
        <is>
          <t>BABYBONUS</t>
        </is>
      </c>
      <c r="J10" s="50" t="n"/>
      <c r="K10" s="33">
        <f>J10*0.008</f>
        <v/>
      </c>
      <c r="L10" s="34" t="n"/>
      <c r="M10" s="35" t="inlineStr">
        <is>
          <t>BABYBONUS</t>
        </is>
      </c>
      <c r="N10" s="36" t="n"/>
      <c r="O10" s="33">
        <f>N10*0.008</f>
        <v/>
      </c>
      <c r="P10" s="46" t="n"/>
      <c r="Q10" s="31" t="n"/>
      <c r="R10" s="39" t="n"/>
      <c r="S10" s="40" t="n"/>
      <c r="T10" s="46" t="n"/>
      <c r="U10" s="41" t="inlineStr">
        <is>
          <t>BABYBONUS</t>
        </is>
      </c>
      <c r="V10" s="51" t="n"/>
      <c r="W10" s="33">
        <f>V10*0.008</f>
        <v/>
      </c>
      <c r="X10" s="48" t="n"/>
      <c r="Y10" s="35" t="inlineStr">
        <is>
          <t>BABYBONUS</t>
        </is>
      </c>
      <c r="Z10" s="36" t="n"/>
      <c r="AA10" s="45">
        <f>Z10*0.008</f>
        <v/>
      </c>
      <c r="AB10" s="46" t="n"/>
      <c r="AC10" s="46" t="n"/>
      <c r="AD10" s="41" t="inlineStr">
        <is>
          <t>BABYBONUS</t>
        </is>
      </c>
      <c r="AE10" s="36" t="n"/>
      <c r="AF10" s="43">
        <f>AE10*0.008</f>
        <v/>
      </c>
      <c r="AG10" s="48" t="n"/>
      <c r="AH10" s="46" t="n"/>
      <c r="AI10" s="31" t="n"/>
      <c r="AJ10" s="39" t="n"/>
      <c r="AK10" s="40" t="n"/>
      <c r="AL10" s="46" t="n"/>
      <c r="AM10" s="46" t="n"/>
      <c r="AN10" s="41" t="inlineStr">
        <is>
          <t>BABYBONUS</t>
        </is>
      </c>
      <c r="AO10" s="36" t="n"/>
      <c r="AP10" s="43">
        <f>AO10*0.008</f>
        <v/>
      </c>
      <c r="AQ10" s="48" t="n"/>
      <c r="AR10" s="46" t="n"/>
      <c r="AS10" s="41" t="inlineStr">
        <is>
          <t>BABYBONUS</t>
        </is>
      </c>
      <c r="AT10" s="36" t="n"/>
      <c r="AU10" s="43">
        <f>AT10*0.008</f>
        <v/>
      </c>
      <c r="AV10" s="48" t="n"/>
      <c r="AW10" s="46" t="n"/>
      <c r="AX10" s="41" t="inlineStr">
        <is>
          <t>BABYBONUS</t>
        </is>
      </c>
      <c r="AY10" s="36" t="n"/>
      <c r="AZ10" s="43">
        <f>AY10*0.008</f>
        <v/>
      </c>
      <c r="BA10" s="48" t="n"/>
    </row>
    <row r="11" ht="27.75" customHeight="1" s="220">
      <c r="A11" s="31" t="inlineStr">
        <is>
          <t>CASH</t>
        </is>
      </c>
      <c r="B11" s="174" t="n"/>
      <c r="C11" s="33" t="n"/>
      <c r="D11" s="34" t="n"/>
      <c r="E11" s="35" t="inlineStr">
        <is>
          <t>CASH</t>
        </is>
      </c>
      <c r="F11" s="36" t="n"/>
      <c r="G11" s="33" t="n"/>
      <c r="H11" s="34" t="n"/>
      <c r="I11" s="35" t="inlineStr">
        <is>
          <t>CASH</t>
        </is>
      </c>
      <c r="J11" s="174" t="n"/>
      <c r="K11" s="33" t="n"/>
      <c r="L11" s="34" t="n"/>
      <c r="M11" s="35" t="inlineStr">
        <is>
          <t>CASH</t>
        </is>
      </c>
      <c r="N11" s="186" t="n"/>
      <c r="O11" s="33" t="n"/>
      <c r="P11" s="46" t="n"/>
      <c r="Q11" s="31" t="inlineStr">
        <is>
          <t>ALLIANCE</t>
        </is>
      </c>
      <c r="R11" s="39" t="n"/>
      <c r="S11" s="40">
        <f>R11*0.05*1.09</f>
        <v/>
      </c>
      <c r="T11" s="46" t="n"/>
      <c r="U11" s="41" t="inlineStr">
        <is>
          <t>CASH</t>
        </is>
      </c>
      <c r="V11" s="173" t="n"/>
      <c r="W11" s="33" t="n"/>
      <c r="X11" s="48" t="n"/>
      <c r="Y11" s="35" t="inlineStr">
        <is>
          <t>CASH</t>
        </is>
      </c>
      <c r="Z11" s="174" t="n"/>
      <c r="AA11" s="45" t="n"/>
      <c r="AB11" s="46" t="n"/>
      <c r="AC11" s="46" t="n"/>
      <c r="AD11" s="41" t="inlineStr">
        <is>
          <t>CASH</t>
        </is>
      </c>
      <c r="AE11" s="173" t="n"/>
      <c r="AF11" s="43" t="n"/>
      <c r="AG11" s="48" t="n"/>
      <c r="AH11" s="46" t="n"/>
      <c r="AI11" s="31" t="inlineStr">
        <is>
          <t>ALLIANCE</t>
        </is>
      </c>
      <c r="AJ11" s="39" t="n"/>
      <c r="AK11" s="40">
        <f>AJ11*0.05*1.09</f>
        <v/>
      </c>
      <c r="AL11" s="46" t="n"/>
      <c r="AM11" s="46" t="n"/>
      <c r="AN11" s="41" t="inlineStr">
        <is>
          <t>CASH</t>
        </is>
      </c>
      <c r="AO11" s="173" t="n"/>
      <c r="AP11" s="43" t="n"/>
      <c r="AQ11" s="48" t="n"/>
      <c r="AR11" s="46" t="n"/>
      <c r="AS11" s="41" t="inlineStr">
        <is>
          <t>CASH</t>
        </is>
      </c>
      <c r="AT11" s="173" t="n"/>
      <c r="AU11" s="43" t="n"/>
      <c r="AV11" s="48" t="n"/>
      <c r="AW11" s="46" t="n"/>
      <c r="AX11" s="41" t="inlineStr">
        <is>
          <t>CASH</t>
        </is>
      </c>
      <c r="AY11" s="173" t="n"/>
      <c r="AZ11" s="43" t="n"/>
      <c r="BA11" s="48" t="n"/>
    </row>
    <row r="12" ht="27.75" customHeight="1" s="220">
      <c r="A12" s="31" t="inlineStr">
        <is>
          <t>CASA VOUCHER</t>
        </is>
      </c>
      <c r="B12" s="32" t="n"/>
      <c r="C12" s="33" t="n"/>
      <c r="D12" s="34" t="n"/>
      <c r="E12" s="35" t="inlineStr">
        <is>
          <t>CASA VOUCHER</t>
        </is>
      </c>
      <c r="F12" s="36" t="n"/>
      <c r="G12" s="33" t="n"/>
      <c r="H12" s="34" t="n"/>
      <c r="I12" s="35" t="inlineStr">
        <is>
          <t>CASA VOUCHER</t>
        </is>
      </c>
      <c r="J12" s="36" t="n"/>
      <c r="K12" s="33" t="n"/>
      <c r="L12" s="34" t="n"/>
      <c r="M12" s="41" t="inlineStr">
        <is>
          <t>CASA VOUCHER</t>
        </is>
      </c>
      <c r="N12" s="36" t="n"/>
      <c r="O12" s="33" t="n"/>
      <c r="P12" s="46" t="n"/>
      <c r="Q12" s="31" t="inlineStr">
        <is>
          <t>CASH</t>
        </is>
      </c>
      <c r="R12" s="39" t="n"/>
      <c r="S12" s="40" t="n"/>
      <c r="T12" s="46" t="n"/>
      <c r="U12" s="41" t="inlineStr">
        <is>
          <t>CASA VOUCHER</t>
        </is>
      </c>
      <c r="V12" s="51" t="n"/>
      <c r="W12" s="33" t="n"/>
      <c r="X12" s="48" t="n"/>
      <c r="Y12" s="35" t="inlineStr">
        <is>
          <t>CASA VOUCHER</t>
        </is>
      </c>
      <c r="Z12" s="36" t="n"/>
      <c r="AA12" s="45" t="n"/>
      <c r="AB12" s="46" t="n"/>
      <c r="AC12" s="46" t="n"/>
      <c r="AD12" s="41" t="inlineStr">
        <is>
          <t>CASA VOUCHER</t>
        </is>
      </c>
      <c r="AE12" s="36" t="n"/>
      <c r="AF12" s="43" t="n"/>
      <c r="AG12" s="48" t="n"/>
      <c r="AH12" s="46" t="n"/>
      <c r="AI12" s="31" t="inlineStr">
        <is>
          <t>CASH</t>
        </is>
      </c>
      <c r="AJ12" s="39" t="n"/>
      <c r="AK12" s="40" t="n"/>
      <c r="AL12" s="46" t="n"/>
      <c r="AM12" s="46" t="n"/>
      <c r="AN12" s="41" t="inlineStr">
        <is>
          <t>CASA VOUCHER</t>
        </is>
      </c>
      <c r="AO12" s="36" t="n"/>
      <c r="AP12" s="43" t="n"/>
      <c r="AQ12" s="48" t="n"/>
      <c r="AR12" s="46" t="n"/>
      <c r="AS12" s="41" t="inlineStr">
        <is>
          <t>CASA VOUCHER</t>
        </is>
      </c>
      <c r="AT12" s="36" t="n"/>
      <c r="AU12" s="43" t="n"/>
      <c r="AV12" s="48" t="n"/>
      <c r="AW12" s="46" t="n"/>
      <c r="AX12" s="41" t="inlineStr">
        <is>
          <t>CASA VOUCHER</t>
        </is>
      </c>
      <c r="AY12" s="36" t="n"/>
      <c r="AZ12" s="43" t="n"/>
      <c r="BA12" s="48" t="n"/>
    </row>
    <row r="13" ht="27.75" customHeight="1" s="220">
      <c r="A13" s="52" t="inlineStr">
        <is>
          <t>CDC VOUCHER</t>
        </is>
      </c>
      <c r="B13" s="174" t="n"/>
      <c r="C13" s="54" t="n"/>
      <c r="D13" s="34" t="n"/>
      <c r="E13" s="35" t="inlineStr">
        <is>
          <t>CDC VOUCHER</t>
        </is>
      </c>
      <c r="F13" s="36" t="n"/>
      <c r="G13" s="33" t="n"/>
      <c r="H13" s="34" t="n"/>
      <c r="I13" s="35" t="inlineStr">
        <is>
          <t>CDC VOUCHER</t>
        </is>
      </c>
      <c r="J13" s="174" t="n"/>
      <c r="K13" s="33" t="n"/>
      <c r="L13" s="34" t="n"/>
      <c r="M13" s="41" t="inlineStr">
        <is>
          <t>CDC VOUCHER</t>
        </is>
      </c>
      <c r="N13" s="173" t="n"/>
      <c r="O13" s="33" t="n"/>
      <c r="P13" s="46" t="n"/>
      <c r="Q13" s="31" t="inlineStr">
        <is>
          <t>CASA VOUCHER</t>
        </is>
      </c>
      <c r="R13" s="39" t="n"/>
      <c r="S13" s="40" t="n"/>
      <c r="T13" s="46" t="n"/>
      <c r="U13" s="41" t="inlineStr">
        <is>
          <t>CDC VOUCHER</t>
        </is>
      </c>
      <c r="V13" s="173" t="n"/>
      <c r="W13" s="33" t="n"/>
      <c r="X13" s="48" t="n"/>
      <c r="Y13" s="35" t="inlineStr">
        <is>
          <t>CDC VOUCHER</t>
        </is>
      </c>
      <c r="Z13" s="174" t="n"/>
      <c r="AA13" s="56" t="n"/>
      <c r="AB13" s="46" t="n"/>
      <c r="AC13" s="46" t="n"/>
      <c r="AD13" s="187" t="inlineStr">
        <is>
          <t>CDC VOUCHER</t>
        </is>
      </c>
      <c r="AE13" s="173" t="n"/>
      <c r="AF13" s="59" t="n"/>
      <c r="AG13" s="48" t="n"/>
      <c r="AH13" s="46" t="n"/>
      <c r="AI13" s="31" t="inlineStr">
        <is>
          <t>CASA VOUCHER</t>
        </is>
      </c>
      <c r="AJ13" s="39" t="n"/>
      <c r="AK13" s="40" t="n"/>
      <c r="AL13" s="46" t="n"/>
      <c r="AM13" s="46" t="n"/>
      <c r="AN13" s="187" t="inlineStr">
        <is>
          <t>CDC VOUCHER</t>
        </is>
      </c>
      <c r="AO13" s="173" t="n"/>
      <c r="AP13" s="59" t="n"/>
      <c r="AQ13" s="48" t="n"/>
      <c r="AR13" s="46" t="n"/>
      <c r="AS13" s="57" t="inlineStr">
        <is>
          <t>CDC VOUCHER</t>
        </is>
      </c>
      <c r="AT13" s="174" t="n"/>
      <c r="AU13" s="59" t="n"/>
      <c r="AV13" s="48" t="n"/>
      <c r="AW13" s="46" t="n"/>
      <c r="AX13" s="187" t="inlineStr">
        <is>
          <t>CDC VOUCHER</t>
        </is>
      </c>
      <c r="AY13" s="173" t="n"/>
      <c r="AZ13" s="59" t="n"/>
      <c r="BA13" s="48" t="n"/>
    </row>
    <row r="14" ht="27.75" customHeight="1" s="220">
      <c r="A14" s="31" t="inlineStr">
        <is>
          <t>CHAS</t>
        </is>
      </c>
      <c r="B14" s="174" t="n"/>
      <c r="C14" s="33" t="n"/>
      <c r="D14" s="34" t="n"/>
      <c r="E14" s="35" t="inlineStr">
        <is>
          <t>CHAS</t>
        </is>
      </c>
      <c r="F14" s="36" t="n"/>
      <c r="G14" s="33" t="n"/>
      <c r="H14" s="34" t="n"/>
      <c r="I14" s="35" t="inlineStr">
        <is>
          <t>CHAS</t>
        </is>
      </c>
      <c r="J14" s="174" t="n"/>
      <c r="K14" s="33" t="n"/>
      <c r="L14" s="34" t="n"/>
      <c r="M14" s="41" t="inlineStr">
        <is>
          <t>CHAS</t>
        </is>
      </c>
      <c r="N14" s="173" t="n"/>
      <c r="O14" s="33" t="n"/>
      <c r="P14" s="46" t="n"/>
      <c r="Q14" s="31" t="n"/>
      <c r="R14" s="39" t="n"/>
      <c r="S14" s="40" t="n"/>
      <c r="T14" s="46" t="n"/>
      <c r="U14" s="41" t="inlineStr">
        <is>
          <t>CHAS</t>
        </is>
      </c>
      <c r="V14" s="173" t="n"/>
      <c r="W14" s="33" t="n"/>
      <c r="X14" s="48" t="n"/>
      <c r="Y14" s="35" t="inlineStr">
        <is>
          <t>CHAS</t>
        </is>
      </c>
      <c r="Z14" s="174" t="n"/>
      <c r="AA14" s="45" t="n"/>
      <c r="AB14" s="46" t="n"/>
      <c r="AC14" s="46" t="n"/>
      <c r="AD14" s="41" t="inlineStr">
        <is>
          <t>CHAS</t>
        </is>
      </c>
      <c r="AE14" s="173" t="n"/>
      <c r="AF14" s="43" t="n"/>
      <c r="AG14" s="48" t="n"/>
      <c r="AH14" s="46" t="n"/>
      <c r="AI14" s="31" t="n"/>
      <c r="AJ14" s="39" t="n"/>
      <c r="AK14" s="40" t="n"/>
      <c r="AL14" s="46" t="n"/>
      <c r="AM14" s="46" t="n"/>
      <c r="AN14" s="41" t="inlineStr">
        <is>
          <t>CHAS</t>
        </is>
      </c>
      <c r="AO14" s="173" t="n"/>
      <c r="AP14" s="43" t="n"/>
      <c r="AQ14" s="48" t="n"/>
      <c r="AR14" s="46" t="n"/>
      <c r="AS14" s="35" t="inlineStr">
        <is>
          <t>CHAS</t>
        </is>
      </c>
      <c r="AT14" s="174" t="n"/>
      <c r="AU14" s="43" t="n"/>
      <c r="AV14" s="48" t="n"/>
      <c r="AW14" s="46" t="n"/>
      <c r="AX14" s="41" t="inlineStr">
        <is>
          <t>CHAS</t>
        </is>
      </c>
      <c r="AY14" s="173" t="n"/>
      <c r="AZ14" s="43" t="n"/>
      <c r="BA14" s="48" t="n"/>
    </row>
    <row r="15" ht="27.75" customHeight="1" s="220">
      <c r="A15" s="31" t="inlineStr">
        <is>
          <t>CYNERGY</t>
        </is>
      </c>
      <c r="B15" s="174" t="n"/>
      <c r="C15" s="33" t="n"/>
      <c r="D15" s="34" t="n"/>
      <c r="E15" s="35" t="inlineStr">
        <is>
          <t>CYNERGY</t>
        </is>
      </c>
      <c r="F15" s="36" t="n"/>
      <c r="G15" s="33" t="n"/>
      <c r="H15" s="34" t="n"/>
      <c r="I15" s="35" t="inlineStr">
        <is>
          <t>CYNERGY</t>
        </is>
      </c>
      <c r="J15" s="36" t="n"/>
      <c r="K15" s="33" t="n"/>
      <c r="L15" s="34" t="n"/>
      <c r="M15" s="41" t="inlineStr">
        <is>
          <t>CYNERGY</t>
        </is>
      </c>
      <c r="N15" s="173" t="n"/>
      <c r="O15" s="33" t="n"/>
      <c r="P15" s="46" t="n"/>
      <c r="Q15" s="31" t="n"/>
      <c r="R15" s="39" t="n"/>
      <c r="S15" s="40" t="n"/>
      <c r="T15" s="46" t="n"/>
      <c r="U15" s="35" t="inlineStr">
        <is>
          <t>CYNERGY</t>
        </is>
      </c>
      <c r="V15" s="175" t="n"/>
      <c r="W15" s="33" t="n"/>
      <c r="X15" s="48" t="n"/>
      <c r="Y15" s="35" t="inlineStr">
        <is>
          <t>CYNERGY</t>
        </is>
      </c>
      <c r="Z15" s="36" t="n"/>
      <c r="AA15" s="45" t="n"/>
      <c r="AB15" s="46" t="n"/>
      <c r="AC15" s="46" t="n"/>
      <c r="AD15" s="41" t="inlineStr">
        <is>
          <t>CYNERGY</t>
        </is>
      </c>
      <c r="AE15" s="173" t="n"/>
      <c r="AF15" s="43" t="n"/>
      <c r="AG15" s="48" t="n"/>
      <c r="AH15" s="46" t="n"/>
      <c r="AI15" s="31" t="n"/>
      <c r="AJ15" s="39" t="n"/>
      <c r="AK15" s="40" t="n"/>
      <c r="AL15" s="46" t="n"/>
      <c r="AM15" s="46" t="n"/>
      <c r="AN15" s="41" t="inlineStr">
        <is>
          <t>CYNERGY</t>
        </is>
      </c>
      <c r="AO15" s="173" t="n"/>
      <c r="AP15" s="43" t="n"/>
      <c r="AQ15" s="48" t="n"/>
      <c r="AR15" s="46" t="n"/>
      <c r="AS15" s="35" t="inlineStr">
        <is>
          <t>CYNERGY</t>
        </is>
      </c>
      <c r="AT15" s="173" t="n"/>
      <c r="AU15" s="43" t="n"/>
      <c r="AV15" s="48" t="n"/>
      <c r="AW15" s="46" t="n"/>
      <c r="AX15" s="41" t="inlineStr">
        <is>
          <t>CYNERGY</t>
        </is>
      </c>
      <c r="AY15" s="173" t="n"/>
      <c r="AZ15" s="43" t="n"/>
      <c r="BA15" s="48" t="n"/>
    </row>
    <row r="16" ht="27.75" customHeight="1" s="220">
      <c r="A16" s="35" t="inlineStr">
        <is>
          <t>DA ADEPT HEALTH</t>
        </is>
      </c>
      <c r="B16" s="50" t="n"/>
      <c r="C16" s="33">
        <f>B16*8%</f>
        <v/>
      </c>
      <c r="D16" s="34" t="n"/>
      <c r="E16" s="35" t="inlineStr">
        <is>
          <t>DA ADEPT HEALTH</t>
        </is>
      </c>
      <c r="F16" s="36" t="n"/>
      <c r="G16" s="33">
        <f>F16*8%</f>
        <v/>
      </c>
      <c r="H16" s="34" t="n"/>
      <c r="I16" s="35" t="inlineStr">
        <is>
          <t>DA ADEPT HEALTH</t>
        </is>
      </c>
      <c r="J16" s="36" t="n"/>
      <c r="K16" s="33">
        <f>J16*8%</f>
        <v/>
      </c>
      <c r="L16" s="34" t="n"/>
      <c r="M16" s="41" t="inlineStr">
        <is>
          <t>DA ADEPT HEALTH</t>
        </is>
      </c>
      <c r="N16" s="36" t="n"/>
      <c r="O16" s="33">
        <f>N16*8%</f>
        <v/>
      </c>
      <c r="P16" s="46" t="n"/>
      <c r="Q16" s="31" t="n"/>
      <c r="R16" s="39" t="n"/>
      <c r="S16" s="40" t="n"/>
      <c r="T16" s="46" t="n"/>
      <c r="U16" s="35" t="inlineStr">
        <is>
          <t>DA ADEPT HEALTH</t>
        </is>
      </c>
      <c r="V16" s="51" t="n"/>
      <c r="W16" s="33">
        <f>V16*8%</f>
        <v/>
      </c>
      <c r="X16" s="48" t="n"/>
      <c r="Y16" s="35" t="inlineStr">
        <is>
          <t>DA ADEPT HEALTH</t>
        </is>
      </c>
      <c r="Z16" s="55" t="n"/>
      <c r="AA16" s="56">
        <f>Z16*8%</f>
        <v/>
      </c>
      <c r="AB16" s="46" t="n"/>
      <c r="AC16" s="46" t="n"/>
      <c r="AD16" s="57" t="inlineStr">
        <is>
          <t>DA ADEPT HEALTH</t>
        </is>
      </c>
      <c r="AE16" s="58" t="n"/>
      <c r="AF16" s="59">
        <f>AE16*8%</f>
        <v/>
      </c>
      <c r="AG16" s="48" t="n"/>
      <c r="AH16" s="46" t="n"/>
      <c r="AI16" s="31" t="n"/>
      <c r="AJ16" s="39" t="n"/>
      <c r="AK16" s="40" t="n"/>
      <c r="AL16" s="46" t="n"/>
      <c r="AM16" s="46" t="n"/>
      <c r="AN16" s="187" t="inlineStr">
        <is>
          <t>DA ADEPT HEALTH</t>
        </is>
      </c>
      <c r="AO16" s="36" t="n"/>
      <c r="AP16" s="59">
        <f>AO16*8%</f>
        <v/>
      </c>
      <c r="AQ16" s="48" t="n"/>
      <c r="AR16" s="46" t="n"/>
      <c r="AS16" s="57" t="inlineStr">
        <is>
          <t>DA ADEPT HEALTH</t>
        </is>
      </c>
      <c r="AT16" s="58" t="n"/>
      <c r="AU16" s="59">
        <f>AT16*8%</f>
        <v/>
      </c>
      <c r="AV16" s="48" t="n"/>
      <c r="AW16" s="46" t="n"/>
      <c r="AX16" s="57" t="inlineStr">
        <is>
          <t>DA ADEPT HEALTH</t>
        </is>
      </c>
      <c r="AY16" s="58" t="n"/>
      <c r="AZ16" s="59">
        <f>AY16*8%</f>
        <v/>
      </c>
      <c r="BA16" s="48" t="n"/>
    </row>
    <row r="17" ht="27.75" customHeight="1" s="220">
      <c r="A17" s="60" t="inlineStr">
        <is>
          <t>DEPOSIT</t>
        </is>
      </c>
      <c r="B17" s="174" t="n"/>
      <c r="C17" s="33">
        <f>G17+K17+O17+O17+S17+W17+AA17+AF17+AP17+AU17+AZ17</f>
        <v/>
      </c>
      <c r="D17" s="34" t="n"/>
      <c r="E17" s="61" t="inlineStr">
        <is>
          <t>DEPOSIT</t>
        </is>
      </c>
      <c r="F17" s="36" t="n"/>
      <c r="G17" s="33" t="n"/>
      <c r="H17" s="34" t="n"/>
      <c r="I17" s="61" t="inlineStr">
        <is>
          <t>DEPOSIT</t>
        </is>
      </c>
      <c r="J17" s="36" t="n"/>
      <c r="K17" s="33" t="n"/>
      <c r="L17" s="34" t="n"/>
      <c r="M17" s="176" t="inlineStr">
        <is>
          <t>DEPOSIT</t>
        </is>
      </c>
      <c r="N17" s="173" t="n"/>
      <c r="O17" s="33" t="n"/>
      <c r="P17" s="46" t="n"/>
      <c r="Q17" s="31" t="inlineStr">
        <is>
          <t>DEPOSIT</t>
        </is>
      </c>
      <c r="R17" s="39" t="n"/>
      <c r="S17" s="40" t="n">
        <v>0</v>
      </c>
      <c r="T17" s="46" t="n"/>
      <c r="U17" s="61" t="inlineStr">
        <is>
          <t>DEPOSIT</t>
        </is>
      </c>
      <c r="V17" s="51" t="n"/>
      <c r="W17" s="33" t="n"/>
      <c r="X17" s="48" t="n"/>
      <c r="Y17" s="61" t="inlineStr">
        <is>
          <t>DEPOSIT</t>
        </is>
      </c>
      <c r="Z17" s="36" t="n"/>
      <c r="AA17" s="45" t="n"/>
      <c r="AB17" s="46" t="n"/>
      <c r="AC17" s="46" t="n"/>
      <c r="AD17" s="61" t="inlineStr">
        <is>
          <t>DEPOSIT</t>
        </is>
      </c>
      <c r="AE17" s="174" t="n"/>
      <c r="AF17" s="43" t="n"/>
      <c r="AG17" s="48" t="n"/>
      <c r="AH17" s="46" t="n"/>
      <c r="AI17" s="60" t="inlineStr">
        <is>
          <t>DEPOSIT</t>
        </is>
      </c>
      <c r="AJ17" s="39" t="n"/>
      <c r="AK17" s="40" t="n"/>
      <c r="AL17" s="46" t="n"/>
      <c r="AM17" s="46" t="n"/>
      <c r="AN17" s="61" t="inlineStr">
        <is>
          <t>DEPOSIT</t>
        </is>
      </c>
      <c r="AO17" s="175" t="n"/>
      <c r="AP17" s="43" t="n"/>
      <c r="AQ17" s="48" t="n"/>
      <c r="AR17" s="46" t="n"/>
      <c r="AS17" s="61" t="inlineStr">
        <is>
          <t>DEPOSIT</t>
        </is>
      </c>
      <c r="AT17" s="174" t="n"/>
      <c r="AU17" s="43" t="n"/>
      <c r="AV17" s="48" t="n"/>
      <c r="AW17" s="46" t="n"/>
      <c r="AX17" s="61" t="inlineStr">
        <is>
          <t>DEPOSIT</t>
        </is>
      </c>
      <c r="AY17" s="47" t="n"/>
      <c r="AZ17" s="43" t="n"/>
      <c r="BA17" s="48" t="n"/>
    </row>
    <row r="18" ht="27.75" customHeight="1" s="220">
      <c r="A18" s="31" t="inlineStr">
        <is>
          <t>IHP</t>
        </is>
      </c>
      <c r="B18" s="174" t="n"/>
      <c r="C18" s="33">
        <f>B18*0.051*1.09</f>
        <v/>
      </c>
      <c r="D18" s="34" t="n"/>
      <c r="E18" s="35" t="inlineStr">
        <is>
          <t>IHP</t>
        </is>
      </c>
      <c r="F18" s="36" t="n"/>
      <c r="G18" s="33">
        <f>F18*0.051*1.09</f>
        <v/>
      </c>
      <c r="H18" s="34" t="n"/>
      <c r="I18" s="35" t="inlineStr">
        <is>
          <t>IHP</t>
        </is>
      </c>
      <c r="J18" s="174" t="n"/>
      <c r="K18" s="33">
        <f>J18*0.051*1.09</f>
        <v/>
      </c>
      <c r="L18" s="34" t="n"/>
      <c r="M18" s="41" t="inlineStr">
        <is>
          <t>IHP</t>
        </is>
      </c>
      <c r="N18" s="173" t="n"/>
      <c r="O18" s="33">
        <f>N18*0.051*1.09</f>
        <v/>
      </c>
      <c r="P18" s="46" t="n"/>
      <c r="Q18" s="31" t="n"/>
      <c r="R18" s="39" t="n"/>
      <c r="S18" s="40" t="n"/>
      <c r="T18" s="46" t="n"/>
      <c r="U18" s="35" t="inlineStr">
        <is>
          <t>IHP</t>
        </is>
      </c>
      <c r="V18" s="174" t="n"/>
      <c r="W18" s="33">
        <f>V18*0.051*1.09</f>
        <v/>
      </c>
      <c r="X18" s="48" t="n"/>
      <c r="Y18" s="35" t="inlineStr">
        <is>
          <t>IHP</t>
        </is>
      </c>
      <c r="Z18" s="174" t="n"/>
      <c r="AA18" s="45">
        <f>Z18*0.051*1.09</f>
        <v/>
      </c>
      <c r="AB18" s="46" t="n"/>
      <c r="AC18" s="46" t="n"/>
      <c r="AD18" s="35" t="inlineStr">
        <is>
          <t>IHP</t>
        </is>
      </c>
      <c r="AE18" s="174" t="n"/>
      <c r="AF18" s="43">
        <f>AE18*0.051*1.09</f>
        <v/>
      </c>
      <c r="AG18" s="48" t="n"/>
      <c r="AH18" s="46" t="n"/>
      <c r="AI18" s="60" t="n"/>
      <c r="AJ18" s="39" t="n"/>
      <c r="AK18" s="40" t="n"/>
      <c r="AL18" s="46" t="n"/>
      <c r="AM18" s="46" t="n"/>
      <c r="AN18" s="35" t="inlineStr">
        <is>
          <t>IHP</t>
        </is>
      </c>
      <c r="AO18" s="174" t="n"/>
      <c r="AP18" s="43">
        <f>AO18*0.051*1.09</f>
        <v/>
      </c>
      <c r="AQ18" s="48" t="n"/>
      <c r="AR18" s="46" t="n"/>
      <c r="AS18" s="35" t="inlineStr">
        <is>
          <t>IHP</t>
        </is>
      </c>
      <c r="AT18" s="174" t="n"/>
      <c r="AU18" s="43">
        <f>AT18*0.051*1.09</f>
        <v/>
      </c>
      <c r="AV18" s="48" t="n"/>
      <c r="AW18" s="46" t="n"/>
      <c r="AX18" s="35" t="inlineStr">
        <is>
          <t>IHP</t>
        </is>
      </c>
      <c r="AY18" s="174" t="n"/>
      <c r="AZ18" s="43">
        <f>AY18*0.051*1.09</f>
        <v/>
      </c>
      <c r="BA18" s="48" t="n"/>
    </row>
    <row r="19" ht="27.75" customHeight="1" s="220">
      <c r="A19" s="31" t="inlineStr">
        <is>
          <t>JCB</t>
        </is>
      </c>
      <c r="B19" s="32" t="n"/>
      <c r="C19" s="33">
        <f>B19*0.15*1.09</f>
        <v/>
      </c>
      <c r="D19" s="34" t="n"/>
      <c r="E19" s="35" t="inlineStr">
        <is>
          <t>JCB</t>
        </is>
      </c>
      <c r="F19" s="50" t="n"/>
      <c r="G19" s="33">
        <f>F19*0.15*1.09</f>
        <v/>
      </c>
      <c r="H19" s="34" t="n"/>
      <c r="I19" s="35" t="inlineStr">
        <is>
          <t>JCB</t>
        </is>
      </c>
      <c r="J19" s="50" t="n"/>
      <c r="K19" s="33">
        <f>J19*0.15*1.09</f>
        <v/>
      </c>
      <c r="L19" s="34" t="n"/>
      <c r="M19" s="41" t="inlineStr">
        <is>
          <t>JCB</t>
        </is>
      </c>
      <c r="N19" s="50" t="n"/>
      <c r="O19" s="33">
        <f>N19*0.15*1.09</f>
        <v/>
      </c>
      <c r="P19" s="46" t="n"/>
      <c r="Q19" s="31" t="n"/>
      <c r="R19" s="39" t="n"/>
      <c r="S19" s="40" t="n"/>
      <c r="T19" s="46" t="n"/>
      <c r="U19" s="35" t="inlineStr">
        <is>
          <t>JCB</t>
        </is>
      </c>
      <c r="V19" s="50" t="n"/>
      <c r="W19" s="33">
        <f>V19*0.15*1.09</f>
        <v/>
      </c>
      <c r="X19" s="48" t="n"/>
      <c r="Y19" s="35" t="inlineStr">
        <is>
          <t>JCB</t>
        </is>
      </c>
      <c r="Z19" s="50" t="n"/>
      <c r="AA19" s="45">
        <f>Z19*0.15*1.09</f>
        <v/>
      </c>
      <c r="AB19" s="46" t="n"/>
      <c r="AC19" s="46" t="n"/>
      <c r="AD19" s="35" t="inlineStr">
        <is>
          <t>JCB</t>
        </is>
      </c>
      <c r="AE19" s="62" t="n"/>
      <c r="AF19" s="43">
        <f>AE19*0.15*1.09</f>
        <v/>
      </c>
      <c r="AG19" s="48" t="n"/>
      <c r="AH19" s="46" t="n"/>
      <c r="AI19" s="60" t="n"/>
      <c r="AJ19" s="39" t="n"/>
      <c r="AK19" s="40" t="n"/>
      <c r="AL19" s="46" t="n"/>
      <c r="AM19" s="46" t="n"/>
      <c r="AN19" s="35" t="inlineStr">
        <is>
          <t>JCB</t>
        </is>
      </c>
      <c r="AO19" s="62" t="n"/>
      <c r="AP19" s="43">
        <f>AO19*0.15*1.09</f>
        <v/>
      </c>
      <c r="AQ19" s="48" t="n"/>
      <c r="AR19" s="46" t="n"/>
      <c r="AS19" s="35" t="inlineStr">
        <is>
          <t>JCB</t>
        </is>
      </c>
      <c r="AT19" s="62" t="n"/>
      <c r="AU19" s="43">
        <f>AT19*0.15*1.09</f>
        <v/>
      </c>
      <c r="AV19" s="48" t="n"/>
      <c r="AW19" s="46" t="n"/>
      <c r="AX19" s="35" t="inlineStr">
        <is>
          <t>JCB</t>
        </is>
      </c>
      <c r="AY19" s="62" t="n"/>
      <c r="AZ19" s="43">
        <f>AY19*0.15*1.09</f>
        <v/>
      </c>
      <c r="BA19" s="48" t="n"/>
    </row>
    <row r="20" ht="27.75" customHeight="1" s="220">
      <c r="A20" s="31" t="inlineStr">
        <is>
          <t>MASTER</t>
        </is>
      </c>
      <c r="B20" s="174" t="n"/>
      <c r="C20" s="33">
        <f>B20*0.021</f>
        <v/>
      </c>
      <c r="D20" s="34" t="n"/>
      <c r="E20" s="35" t="inlineStr">
        <is>
          <t>MASTER</t>
        </is>
      </c>
      <c r="F20" s="36" t="n"/>
      <c r="G20" s="33">
        <f>F20*0.021</f>
        <v/>
      </c>
      <c r="H20" s="34" t="n"/>
      <c r="I20" s="35" t="inlineStr">
        <is>
          <t>MASTER</t>
        </is>
      </c>
      <c r="J20" s="174" t="n"/>
      <c r="K20" s="33">
        <f>J20*0.021</f>
        <v/>
      </c>
      <c r="L20" s="34" t="n"/>
      <c r="M20" s="41" t="inlineStr">
        <is>
          <t>MASTER</t>
        </is>
      </c>
      <c r="N20" s="173" t="n"/>
      <c r="O20" s="33">
        <f>N20*0.021</f>
        <v/>
      </c>
      <c r="P20" s="46" t="n"/>
      <c r="Q20" s="31" t="n"/>
      <c r="R20" s="39" t="n"/>
      <c r="S20" s="40" t="n"/>
      <c r="T20" s="46" t="n"/>
      <c r="U20" s="35" t="inlineStr">
        <is>
          <t>MASTER</t>
        </is>
      </c>
      <c r="V20" s="174" t="n"/>
      <c r="W20" s="33">
        <f>V20*0.021</f>
        <v/>
      </c>
      <c r="X20" s="48" t="n"/>
      <c r="Y20" s="35" t="inlineStr">
        <is>
          <t>MASTER</t>
        </is>
      </c>
      <c r="Z20" s="174" t="n"/>
      <c r="AA20" s="45">
        <f>Z20*0.021</f>
        <v/>
      </c>
      <c r="AB20" s="46" t="n"/>
      <c r="AC20" s="46" t="n"/>
      <c r="AD20" s="35" t="inlineStr">
        <is>
          <t>MASTER</t>
        </is>
      </c>
      <c r="AE20" s="174" t="n"/>
      <c r="AF20" s="43">
        <f>AE20*0.021</f>
        <v/>
      </c>
      <c r="AG20" s="48" t="n"/>
      <c r="AH20" s="46" t="n"/>
      <c r="AI20" s="60" t="n"/>
      <c r="AJ20" s="39" t="n"/>
      <c r="AK20" s="40" t="n"/>
      <c r="AL20" s="46" t="n"/>
      <c r="AM20" s="46" t="n"/>
      <c r="AN20" s="35" t="inlineStr">
        <is>
          <t>MASTER</t>
        </is>
      </c>
      <c r="AO20" s="174" t="n"/>
      <c r="AP20" s="43">
        <f>AO20*0.021</f>
        <v/>
      </c>
      <c r="AQ20" s="48" t="n"/>
      <c r="AR20" s="46" t="n"/>
      <c r="AS20" s="35" t="inlineStr">
        <is>
          <t>MASTER</t>
        </is>
      </c>
      <c r="AT20" s="174" t="n"/>
      <c r="AU20" s="43">
        <f>AT20*0.021</f>
        <v/>
      </c>
      <c r="AV20" s="48" t="n"/>
      <c r="AW20" s="46" t="n"/>
      <c r="AX20" s="35" t="inlineStr">
        <is>
          <t>MASTER</t>
        </is>
      </c>
      <c r="AY20" s="174" t="n"/>
      <c r="AZ20" s="43">
        <f>AY20*0.021</f>
        <v/>
      </c>
      <c r="BA20" s="48" t="n"/>
    </row>
    <row r="21" ht="27.75" customHeight="1" s="220">
      <c r="A21" s="31" t="inlineStr">
        <is>
          <t>MEDISAVE</t>
        </is>
      </c>
      <c r="B21" s="174" t="n"/>
      <c r="C21" s="33" t="n"/>
      <c r="D21" s="34" t="n"/>
      <c r="E21" s="35" t="inlineStr">
        <is>
          <t>MEDISAVE</t>
        </is>
      </c>
      <c r="F21" s="36" t="n"/>
      <c r="G21" s="33" t="n"/>
      <c r="H21" s="34" t="n"/>
      <c r="I21" s="35" t="inlineStr">
        <is>
          <t>MEDISAVE</t>
        </is>
      </c>
      <c r="J21" s="174" t="n"/>
      <c r="K21" s="33" t="n"/>
      <c r="L21" s="34" t="n"/>
      <c r="M21" s="41" t="inlineStr">
        <is>
          <t>MEDISAVE</t>
        </is>
      </c>
      <c r="N21" s="173" t="n"/>
      <c r="O21" s="33" t="n"/>
      <c r="P21" s="46" t="n"/>
      <c r="Q21" s="31" t="n"/>
      <c r="R21" s="39" t="n"/>
      <c r="S21" s="40" t="n"/>
      <c r="T21" s="46" t="n"/>
      <c r="U21" s="35" t="inlineStr">
        <is>
          <t>MEDISAVE</t>
        </is>
      </c>
      <c r="V21" s="174" t="n"/>
      <c r="W21" s="33" t="n"/>
      <c r="X21" s="48" t="n"/>
      <c r="Y21" s="35" t="inlineStr">
        <is>
          <t>MEDISAVE</t>
        </is>
      </c>
      <c r="Z21" s="174" t="n"/>
      <c r="AA21" s="45" t="n"/>
      <c r="AB21" s="46" t="n"/>
      <c r="AC21" s="46" t="n"/>
      <c r="AD21" s="35" t="inlineStr">
        <is>
          <t>MEDISAVE</t>
        </is>
      </c>
      <c r="AE21" s="174" t="n"/>
      <c r="AF21" s="43" t="n"/>
      <c r="AG21" s="48" t="n"/>
      <c r="AH21" s="46" t="n"/>
      <c r="AI21" s="60" t="n"/>
      <c r="AJ21" s="39" t="n"/>
      <c r="AK21" s="40" t="n"/>
      <c r="AL21" s="46" t="n"/>
      <c r="AM21" s="46" t="n"/>
      <c r="AN21" s="35" t="inlineStr">
        <is>
          <t>MEDISAVE</t>
        </is>
      </c>
      <c r="AO21" s="174" t="n"/>
      <c r="AP21" s="43" t="n"/>
      <c r="AQ21" s="48" t="n"/>
      <c r="AR21" s="46" t="n"/>
      <c r="AS21" s="35" t="inlineStr">
        <is>
          <t>MEDISAVE</t>
        </is>
      </c>
      <c r="AT21" s="174" t="n"/>
      <c r="AU21" s="43" t="n"/>
      <c r="AV21" s="48" t="n"/>
      <c r="AW21" s="46" t="n"/>
      <c r="AX21" s="35" t="inlineStr">
        <is>
          <t>MEDISAVE</t>
        </is>
      </c>
      <c r="AY21" s="174" t="n"/>
      <c r="AZ21" s="43" t="n"/>
      <c r="BA21" s="48" t="n"/>
    </row>
    <row r="22" ht="27.75" customHeight="1" s="220">
      <c r="A22" s="52" t="inlineStr">
        <is>
          <t>mednefits</t>
        </is>
      </c>
      <c r="B22" s="53" t="n"/>
      <c r="C22" s="54">
        <f>B22*20%</f>
        <v/>
      </c>
      <c r="D22" s="34" t="n"/>
      <c r="E22" s="35" t="inlineStr">
        <is>
          <t>mednefits</t>
        </is>
      </c>
      <c r="F22" s="50" t="n"/>
      <c r="G22" s="33">
        <f>F22*20%</f>
        <v/>
      </c>
      <c r="H22" s="34" t="n"/>
      <c r="I22" s="35" t="inlineStr">
        <is>
          <t>mednefits</t>
        </is>
      </c>
      <c r="J22" s="50" t="n"/>
      <c r="K22" s="33">
        <f>J22*20%</f>
        <v/>
      </c>
      <c r="L22" s="34" t="n"/>
      <c r="M22" s="41" t="inlineStr">
        <is>
          <t>mednefits</t>
        </is>
      </c>
      <c r="N22" s="36" t="n"/>
      <c r="O22" s="33">
        <f>N22*20%</f>
        <v/>
      </c>
      <c r="P22" s="46" t="n"/>
      <c r="Q22" s="31" t="n"/>
      <c r="R22" s="39" t="n"/>
      <c r="S22" s="40" t="n"/>
      <c r="T22" s="46" t="n"/>
      <c r="U22" s="35" t="inlineStr">
        <is>
          <t>mednefits</t>
        </is>
      </c>
      <c r="V22" s="51" t="n"/>
      <c r="W22" s="33">
        <f>V22*20%</f>
        <v/>
      </c>
      <c r="X22" s="48" t="n"/>
      <c r="Y22" s="35" t="inlineStr">
        <is>
          <t>mednefits</t>
        </is>
      </c>
      <c r="Z22" s="55" t="n"/>
      <c r="AA22" s="56">
        <f>Z22*20%</f>
        <v/>
      </c>
      <c r="AB22" s="46" t="n"/>
      <c r="AC22" s="46" t="n"/>
      <c r="AD22" s="57" t="inlineStr">
        <is>
          <t>mednefits</t>
        </is>
      </c>
      <c r="AE22" s="58" t="n"/>
      <c r="AF22" s="59">
        <f>AE22*20%</f>
        <v/>
      </c>
      <c r="AG22" s="48" t="n"/>
      <c r="AH22" s="46" t="n"/>
      <c r="AI22" s="60" t="n"/>
      <c r="AJ22" s="39" t="n"/>
      <c r="AK22" s="40" t="n"/>
      <c r="AL22" s="46" t="n"/>
      <c r="AM22" s="46" t="n"/>
      <c r="AN22" s="57" t="inlineStr">
        <is>
          <t>mednefits</t>
        </is>
      </c>
      <c r="AO22" s="58" t="n"/>
      <c r="AP22" s="59">
        <f>AO22*20%</f>
        <v/>
      </c>
      <c r="AQ22" s="48" t="n"/>
      <c r="AR22" s="46" t="n"/>
      <c r="AS22" s="57" t="inlineStr">
        <is>
          <t>mednefits</t>
        </is>
      </c>
      <c r="AT22" s="58" t="n"/>
      <c r="AU22" s="59">
        <f>AT22*20%</f>
        <v/>
      </c>
      <c r="AV22" s="48" t="n"/>
      <c r="AW22" s="46" t="n"/>
      <c r="AX22" s="57" t="inlineStr">
        <is>
          <t>mednefits</t>
        </is>
      </c>
      <c r="AY22" s="58" t="n"/>
      <c r="AZ22" s="59">
        <f>AY22*20%</f>
        <v/>
      </c>
      <c r="BA22" s="48" t="n"/>
    </row>
    <row r="23" ht="27.75" customHeight="1" s="220">
      <c r="A23" s="35" t="inlineStr">
        <is>
          <t>MHC</t>
        </is>
      </c>
      <c r="B23" s="174" t="n"/>
      <c r="C23" s="33">
        <f>B23*0.15*1.09</f>
        <v/>
      </c>
      <c r="D23" s="34" t="n"/>
      <c r="E23" s="35" t="inlineStr">
        <is>
          <t>MHC</t>
        </is>
      </c>
      <c r="F23" s="36" t="n"/>
      <c r="G23" s="33">
        <f>F23*0.15*1.09</f>
        <v/>
      </c>
      <c r="H23" s="34" t="n"/>
      <c r="I23" s="35" t="inlineStr">
        <is>
          <t>MHC</t>
        </is>
      </c>
      <c r="J23" s="36" t="n"/>
      <c r="K23" s="33">
        <f>J23*0.15*1.09</f>
        <v/>
      </c>
      <c r="L23" s="34" t="n"/>
      <c r="M23" s="41" t="inlineStr">
        <is>
          <t>MHC</t>
        </is>
      </c>
      <c r="N23" s="173" t="n"/>
      <c r="O23" s="33">
        <f>N23*0.15*1.09</f>
        <v/>
      </c>
      <c r="P23" s="46" t="n"/>
      <c r="Q23" s="31" t="n"/>
      <c r="R23" s="39" t="n"/>
      <c r="S23" s="40" t="n"/>
      <c r="T23" s="46" t="n"/>
      <c r="U23" s="35" t="inlineStr">
        <is>
          <t>MHC</t>
        </is>
      </c>
      <c r="V23" s="174" t="n"/>
      <c r="W23" s="33">
        <f>V23*0.15*1.09</f>
        <v/>
      </c>
      <c r="X23" s="48" t="n"/>
      <c r="Y23" s="35" t="inlineStr">
        <is>
          <t>MHC</t>
        </is>
      </c>
      <c r="Z23" s="174" t="n"/>
      <c r="AA23" s="33">
        <f>Z23*0.15*1.09</f>
        <v/>
      </c>
      <c r="AB23" s="46" t="n"/>
      <c r="AC23" s="46" t="n"/>
      <c r="AD23" s="35" t="inlineStr">
        <is>
          <t>MHC</t>
        </is>
      </c>
      <c r="AE23" s="174" t="n"/>
      <c r="AF23" s="33">
        <f>AE23*0.15*1.09</f>
        <v/>
      </c>
      <c r="AG23" s="48" t="n"/>
      <c r="AH23" s="46" t="n"/>
      <c r="AI23" s="60" t="n"/>
      <c r="AJ23" s="39" t="n"/>
      <c r="AK23" s="40" t="n"/>
      <c r="AL23" s="46" t="n"/>
      <c r="AM23" s="46" t="n"/>
      <c r="AN23" s="35" t="inlineStr">
        <is>
          <t>MHC</t>
        </is>
      </c>
      <c r="AO23" s="174" t="n"/>
      <c r="AP23" s="33">
        <f>AO23*0.15*1.09</f>
        <v/>
      </c>
      <c r="AQ23" s="48" t="n"/>
      <c r="AR23" s="46" t="n"/>
      <c r="AS23" s="35" t="inlineStr">
        <is>
          <t>MHC</t>
        </is>
      </c>
      <c r="AT23" s="174" t="n"/>
      <c r="AU23" s="33">
        <f>AT23*0.15*1.09</f>
        <v/>
      </c>
      <c r="AV23" s="48" t="n"/>
      <c r="AW23" s="46" t="n"/>
      <c r="AX23" s="35" t="inlineStr">
        <is>
          <t>MHC</t>
        </is>
      </c>
      <c r="AY23" s="173" t="n"/>
      <c r="AZ23" s="33">
        <f>AY23*0.15*1.09</f>
        <v/>
      </c>
      <c r="BA23" s="48" t="n"/>
    </row>
    <row r="24" ht="27.75" customHeight="1" s="220">
      <c r="A24" s="31" t="inlineStr">
        <is>
          <t>NETS</t>
        </is>
      </c>
      <c r="B24" s="185" t="n"/>
      <c r="C24" s="33">
        <f>B24*0.008</f>
        <v/>
      </c>
      <c r="D24" s="34" t="n"/>
      <c r="E24" s="35" t="inlineStr">
        <is>
          <t>NETS</t>
        </is>
      </c>
      <c r="F24" s="36" t="n"/>
      <c r="G24" s="33">
        <f>F24*0.008</f>
        <v/>
      </c>
      <c r="H24" s="34" t="n"/>
      <c r="I24" s="35" t="inlineStr">
        <is>
          <t>NETS</t>
        </is>
      </c>
      <c r="J24" s="36" t="n"/>
      <c r="K24" s="33">
        <f>J24*0.008</f>
        <v/>
      </c>
      <c r="L24" s="34" t="n"/>
      <c r="M24" s="41" t="inlineStr">
        <is>
          <t>NETS</t>
        </is>
      </c>
      <c r="N24" s="173" t="n"/>
      <c r="O24" s="33">
        <f>N24*0.008</f>
        <v/>
      </c>
      <c r="P24" s="46" t="n"/>
      <c r="Q24" s="31" t="n"/>
      <c r="R24" s="39" t="n"/>
      <c r="S24" s="40" t="n"/>
      <c r="T24" s="46" t="n"/>
      <c r="U24" s="35" t="inlineStr">
        <is>
          <t>NETS</t>
        </is>
      </c>
      <c r="V24" s="174" t="n"/>
      <c r="W24" s="33">
        <f>V24*0.008</f>
        <v/>
      </c>
      <c r="X24" s="48" t="n"/>
      <c r="Y24" s="35" t="inlineStr">
        <is>
          <t>NETS</t>
        </is>
      </c>
      <c r="Z24" s="173" t="n"/>
      <c r="AA24" s="33">
        <f>Z24*0.008</f>
        <v/>
      </c>
      <c r="AB24" s="46" t="n"/>
      <c r="AC24" s="46" t="n"/>
      <c r="AD24" s="35" t="inlineStr">
        <is>
          <t>NETS</t>
        </is>
      </c>
      <c r="AE24" s="174" t="n"/>
      <c r="AF24" s="33">
        <f>AE24*0.008</f>
        <v/>
      </c>
      <c r="AG24" s="48" t="n"/>
      <c r="AH24" s="46" t="n"/>
      <c r="AI24" s="60" t="n"/>
      <c r="AJ24" s="39" t="n"/>
      <c r="AK24" s="40" t="n"/>
      <c r="AL24" s="46" t="n"/>
      <c r="AM24" s="46" t="n"/>
      <c r="AN24" s="35" t="inlineStr">
        <is>
          <t>NETS</t>
        </is>
      </c>
      <c r="AO24" s="174" t="n"/>
      <c r="AP24" s="33">
        <f>AO24*0.008</f>
        <v/>
      </c>
      <c r="AQ24" s="48" t="n"/>
      <c r="AR24" s="46" t="n"/>
      <c r="AS24" s="35" t="inlineStr">
        <is>
          <t>NETS</t>
        </is>
      </c>
      <c r="AT24" s="174" t="n"/>
      <c r="AU24" s="33">
        <f>AT24*0.008</f>
        <v/>
      </c>
      <c r="AV24" s="48" t="n"/>
      <c r="AW24" s="46" t="n"/>
      <c r="AX24" s="35" t="inlineStr">
        <is>
          <t>NETS</t>
        </is>
      </c>
      <c r="AY24" s="174" t="n"/>
      <c r="AZ24" s="33">
        <f>AY24*0.008</f>
        <v/>
      </c>
      <c r="BA24" s="48" t="n"/>
    </row>
    <row r="25" ht="27.75" customHeight="1" s="220">
      <c r="A25" s="35" t="inlineStr">
        <is>
          <t>PARKWAY</t>
        </is>
      </c>
      <c r="B25" s="174" t="n"/>
      <c r="C25" s="33">
        <f>B25*10%</f>
        <v/>
      </c>
      <c r="D25" s="34" t="n"/>
      <c r="E25" s="35" t="inlineStr">
        <is>
          <t>PARKWAY</t>
        </is>
      </c>
      <c r="F25" s="36" t="n"/>
      <c r="G25" s="61">
        <f>F25*10%</f>
        <v/>
      </c>
      <c r="H25" s="34" t="n"/>
      <c r="I25" s="35" t="inlineStr">
        <is>
          <t>PARKWAY</t>
        </is>
      </c>
      <c r="J25" s="36" t="n"/>
      <c r="K25" s="61">
        <f>J25*10%</f>
        <v/>
      </c>
      <c r="L25" s="34" t="n"/>
      <c r="M25" s="41" t="inlineStr">
        <is>
          <t>PARKWAY</t>
        </is>
      </c>
      <c r="N25" s="36" t="n"/>
      <c r="O25" s="61">
        <f>N25*10%</f>
        <v/>
      </c>
      <c r="P25" s="46" t="n"/>
      <c r="Q25" s="31" t="n"/>
      <c r="R25" s="39" t="n"/>
      <c r="S25" s="40" t="n"/>
      <c r="T25" s="46" t="n"/>
      <c r="U25" s="35" t="inlineStr">
        <is>
          <t>PARKWAY</t>
        </is>
      </c>
      <c r="V25" s="36" t="n"/>
      <c r="W25" s="61">
        <f>V25*10%</f>
        <v/>
      </c>
      <c r="X25" s="48" t="n"/>
      <c r="Y25" s="35" t="inlineStr">
        <is>
          <t>PARKWAY</t>
        </is>
      </c>
      <c r="Z25" s="174" t="n"/>
      <c r="AA25" s="33">
        <f>Z25*10%</f>
        <v/>
      </c>
      <c r="AB25" s="46" t="n"/>
      <c r="AC25" s="46" t="n"/>
      <c r="AD25" s="35" t="inlineStr">
        <is>
          <t>PARKWAY</t>
        </is>
      </c>
      <c r="AE25" s="174" t="n"/>
      <c r="AF25" s="33">
        <f>AE25*10%</f>
        <v/>
      </c>
      <c r="AG25" s="48" t="n"/>
      <c r="AH25" s="46" t="n"/>
      <c r="AI25" s="60" t="n"/>
      <c r="AJ25" s="39" t="n"/>
      <c r="AK25" s="40" t="n"/>
      <c r="AL25" s="46" t="n"/>
      <c r="AM25" s="46" t="n"/>
      <c r="AN25" s="35" t="inlineStr">
        <is>
          <t>PARKWAY</t>
        </is>
      </c>
      <c r="AO25" s="36" t="n"/>
      <c r="AP25" s="33">
        <f>AO25*10%</f>
        <v/>
      </c>
      <c r="AQ25" s="48" t="n"/>
      <c r="AR25" s="46" t="n"/>
      <c r="AS25" s="35" t="inlineStr">
        <is>
          <t>PARKWAY</t>
        </is>
      </c>
      <c r="AT25" s="36" t="n"/>
      <c r="AU25" s="33">
        <f>AT25*10%</f>
        <v/>
      </c>
      <c r="AV25" s="48" t="n"/>
      <c r="AW25" s="46" t="n"/>
      <c r="AX25" s="35" t="inlineStr">
        <is>
          <t>PARKWAY</t>
        </is>
      </c>
      <c r="AY25" s="36" t="n"/>
      <c r="AZ25" s="33">
        <f>AY25*10%</f>
        <v/>
      </c>
      <c r="BA25" s="48" t="n"/>
    </row>
    <row r="26" ht="27.75" customHeight="1" s="220">
      <c r="A26" s="31" t="inlineStr">
        <is>
          <t>PAYNOW</t>
        </is>
      </c>
      <c r="B26" s="174" t="n"/>
      <c r="C26" s="33" t="n"/>
      <c r="D26" s="34" t="n"/>
      <c r="E26" s="35" t="inlineStr">
        <is>
          <t>PAYNOW</t>
        </is>
      </c>
      <c r="F26" s="36" t="n"/>
      <c r="G26" s="33" t="n"/>
      <c r="H26" s="34" t="n"/>
      <c r="I26" s="35" t="inlineStr">
        <is>
          <t>PAYNOW</t>
        </is>
      </c>
      <c r="J26" s="174" t="n"/>
      <c r="K26" s="33" t="n"/>
      <c r="L26" s="34" t="n"/>
      <c r="M26" s="41" t="inlineStr">
        <is>
          <t>PAYNOW</t>
        </is>
      </c>
      <c r="N26" s="173" t="n"/>
      <c r="O26" s="33" t="n"/>
      <c r="P26" s="46" t="n"/>
      <c r="Q26" s="31" t="n"/>
      <c r="R26" s="39" t="n"/>
      <c r="S26" s="40" t="n"/>
      <c r="T26" s="46" t="n"/>
      <c r="U26" s="35" t="inlineStr">
        <is>
          <t>PAYNOW</t>
        </is>
      </c>
      <c r="V26" s="174" t="n"/>
      <c r="W26" s="33" t="n"/>
      <c r="X26" s="48" t="n"/>
      <c r="Y26" s="35" t="inlineStr">
        <is>
          <t>PAYNOW</t>
        </is>
      </c>
      <c r="Z26" s="174" t="n"/>
      <c r="AA26" s="33" t="n"/>
      <c r="AB26" s="46" t="n"/>
      <c r="AC26" s="46" t="n"/>
      <c r="AD26" s="35" t="inlineStr">
        <is>
          <t>PAYNOW</t>
        </is>
      </c>
      <c r="AE26" s="174" t="n"/>
      <c r="AF26" s="33" t="n"/>
      <c r="AG26" s="48" t="n"/>
      <c r="AH26" s="46" t="n"/>
      <c r="AI26" s="60" t="n"/>
      <c r="AJ26" s="39" t="n"/>
      <c r="AK26" s="40" t="n"/>
      <c r="AL26" s="46" t="n"/>
      <c r="AM26" s="46" t="n"/>
      <c r="AN26" s="35" t="inlineStr">
        <is>
          <t>PAYNOW</t>
        </is>
      </c>
      <c r="AO26" s="174" t="n"/>
      <c r="AP26" s="33" t="n"/>
      <c r="AQ26" s="48" t="n"/>
      <c r="AR26" s="46" t="n"/>
      <c r="AS26" s="35" t="inlineStr">
        <is>
          <t>PAYNOW</t>
        </is>
      </c>
      <c r="AT26" s="36" t="n"/>
      <c r="AU26" s="33" t="n"/>
      <c r="AV26" s="48" t="n"/>
      <c r="AW26" s="46" t="n"/>
      <c r="AX26" s="35" t="inlineStr">
        <is>
          <t>PAYNOW</t>
        </is>
      </c>
      <c r="AY26" s="36" t="n"/>
      <c r="AZ26" s="33" t="n"/>
      <c r="BA26" s="48" t="n"/>
    </row>
    <row r="27" ht="27.75" customHeight="1" s="220">
      <c r="A27" s="63" t="inlineStr">
        <is>
          <t>RHI</t>
        </is>
      </c>
      <c r="B27" s="173" t="n"/>
      <c r="C27" s="65" t="n"/>
      <c r="D27" s="34" t="n"/>
      <c r="E27" s="35" t="inlineStr">
        <is>
          <t>RHI</t>
        </is>
      </c>
      <c r="F27" s="36" t="n"/>
      <c r="G27" s="33" t="n"/>
      <c r="H27" s="34" t="n"/>
      <c r="I27" s="35" t="inlineStr">
        <is>
          <t>RHI</t>
        </is>
      </c>
      <c r="J27" s="36" t="n"/>
      <c r="K27" s="33" t="n"/>
      <c r="L27" s="34" t="n"/>
      <c r="M27" s="41" t="inlineStr">
        <is>
          <t>RHI</t>
        </is>
      </c>
      <c r="N27" s="173" t="n"/>
      <c r="O27" s="33" t="n"/>
      <c r="P27" s="46" t="n"/>
      <c r="Q27" s="31" t="n"/>
      <c r="R27" s="39" t="n"/>
      <c r="S27" s="40" t="n"/>
      <c r="T27" s="46" t="n"/>
      <c r="U27" s="35" t="inlineStr">
        <is>
          <t>RHI</t>
        </is>
      </c>
      <c r="V27" s="51" t="n"/>
      <c r="W27" s="33" t="n"/>
      <c r="X27" s="48" t="n"/>
      <c r="Y27" s="35" t="inlineStr">
        <is>
          <t>RHI</t>
        </is>
      </c>
      <c r="Z27" s="36" t="n"/>
      <c r="AA27" s="33" t="n"/>
      <c r="AB27" s="46" t="n"/>
      <c r="AC27" s="46" t="n"/>
      <c r="AD27" s="35" t="inlineStr">
        <is>
          <t>RHI</t>
        </is>
      </c>
      <c r="AE27" s="36" t="n"/>
      <c r="AF27" s="33" t="n"/>
      <c r="AG27" s="48" t="n"/>
      <c r="AH27" s="46" t="n"/>
      <c r="AI27" s="60" t="n"/>
      <c r="AJ27" s="39" t="n"/>
      <c r="AK27" s="40" t="n"/>
      <c r="AL27" s="46" t="n"/>
      <c r="AM27" s="46" t="n"/>
      <c r="AN27" s="35" t="inlineStr">
        <is>
          <t>RHI</t>
        </is>
      </c>
      <c r="AO27" s="36" t="n"/>
      <c r="AP27" s="33" t="n"/>
      <c r="AQ27" s="48" t="n"/>
      <c r="AR27" s="46" t="n"/>
      <c r="AS27" s="35" t="inlineStr">
        <is>
          <t>RHI</t>
        </is>
      </c>
      <c r="AT27" s="36" t="n"/>
      <c r="AU27" s="33" t="n"/>
      <c r="AV27" s="48" t="n"/>
      <c r="AW27" s="46" t="n"/>
      <c r="AX27" s="35" t="inlineStr">
        <is>
          <t>RHI</t>
        </is>
      </c>
      <c r="AY27" s="36" t="n"/>
      <c r="AZ27" s="33" t="n"/>
      <c r="BA27" s="48" t="n"/>
    </row>
    <row r="28" ht="27.75" customHeight="1" s="220">
      <c r="A28" s="35" t="inlineStr">
        <is>
          <t>SAH</t>
        </is>
      </c>
      <c r="B28" s="36" t="n"/>
      <c r="C28" s="61">
        <f>B28*8%</f>
        <v/>
      </c>
      <c r="D28" s="34" t="n"/>
      <c r="E28" s="35" t="inlineStr">
        <is>
          <t>SAH</t>
        </is>
      </c>
      <c r="F28" s="36" t="n"/>
      <c r="G28" s="61">
        <f>F28*8%</f>
        <v/>
      </c>
      <c r="H28" s="34" t="n"/>
      <c r="I28" s="35" t="inlineStr">
        <is>
          <t>SAH</t>
        </is>
      </c>
      <c r="J28" s="36" t="n"/>
      <c r="K28" s="61">
        <f>J28*8%</f>
        <v/>
      </c>
      <c r="L28" s="34" t="n"/>
      <c r="M28" s="35" t="inlineStr">
        <is>
          <t>SAH</t>
        </is>
      </c>
      <c r="N28" s="36" t="n"/>
      <c r="O28" s="61">
        <f>N28*8%</f>
        <v/>
      </c>
      <c r="P28" s="46" t="n"/>
      <c r="Q28" s="31" t="n"/>
      <c r="R28" s="39" t="n"/>
      <c r="S28" s="40" t="n"/>
      <c r="T28" s="46" t="n"/>
      <c r="U28" s="35" t="inlineStr">
        <is>
          <t>SAH</t>
        </is>
      </c>
      <c r="V28" s="36" t="n"/>
      <c r="W28" s="61">
        <f>V28*8%</f>
        <v/>
      </c>
      <c r="X28" s="48" t="n"/>
      <c r="Y28" s="35" t="inlineStr">
        <is>
          <t>SAH</t>
        </is>
      </c>
      <c r="Z28" s="36" t="n"/>
      <c r="AA28" s="61">
        <f>Z28*8%</f>
        <v/>
      </c>
      <c r="AB28" s="46" t="n"/>
      <c r="AC28" s="46" t="n"/>
      <c r="AD28" s="35" t="inlineStr">
        <is>
          <t>SAH</t>
        </is>
      </c>
      <c r="AE28" s="36" t="n"/>
      <c r="AF28" s="61">
        <f>AE28*8%</f>
        <v/>
      </c>
      <c r="AG28" s="48" t="n"/>
      <c r="AH28" s="46" t="n"/>
      <c r="AI28" s="60" t="n"/>
      <c r="AJ28" s="39" t="n"/>
      <c r="AK28" s="40" t="n"/>
      <c r="AL28" s="46" t="n"/>
      <c r="AM28" s="46" t="n"/>
      <c r="AN28" s="35" t="inlineStr">
        <is>
          <t>SAH</t>
        </is>
      </c>
      <c r="AO28" s="36" t="n"/>
      <c r="AP28" s="61">
        <f>AO28*8%</f>
        <v/>
      </c>
      <c r="AQ28" s="48" t="n"/>
      <c r="AR28" s="46" t="n"/>
      <c r="AS28" s="35" t="inlineStr">
        <is>
          <t>SAH</t>
        </is>
      </c>
      <c r="AT28" s="36" t="n"/>
      <c r="AU28" s="61">
        <f>AT28*8%</f>
        <v/>
      </c>
      <c r="AV28" s="48" t="n"/>
      <c r="AW28" s="46" t="n"/>
      <c r="AX28" s="35" t="inlineStr">
        <is>
          <t>SAH</t>
        </is>
      </c>
      <c r="AY28" s="36" t="n"/>
      <c r="AZ28" s="61">
        <f>AY28*8%</f>
        <v/>
      </c>
      <c r="BA28" s="48" t="n"/>
    </row>
    <row r="29" ht="27.75" customHeight="1" s="220">
      <c r="A29" s="52" t="inlineStr">
        <is>
          <t>UNION PAY</t>
        </is>
      </c>
      <c r="B29" s="53" t="n"/>
      <c r="C29" s="54">
        <f>B29*2.5%</f>
        <v/>
      </c>
      <c r="D29" s="34" t="n"/>
      <c r="E29" s="35" t="inlineStr">
        <is>
          <t>UNION PAY</t>
        </is>
      </c>
      <c r="F29" s="36" t="n"/>
      <c r="G29" s="33">
        <f>F29*2.5%</f>
        <v/>
      </c>
      <c r="H29" s="34" t="n"/>
      <c r="I29" s="35" t="inlineStr">
        <is>
          <t>UNION PAY</t>
        </is>
      </c>
      <c r="J29" s="36" t="n"/>
      <c r="K29" s="33">
        <f>J29*2.5%</f>
        <v/>
      </c>
      <c r="L29" s="34" t="n"/>
      <c r="M29" s="35" t="inlineStr">
        <is>
          <t>UNION PAY</t>
        </is>
      </c>
      <c r="N29" s="36" t="n"/>
      <c r="O29" s="33">
        <f>N29*2.5%</f>
        <v/>
      </c>
      <c r="P29" s="46" t="n"/>
      <c r="Q29" s="31" t="n"/>
      <c r="R29" s="39" t="n"/>
      <c r="S29" s="40" t="n"/>
      <c r="T29" s="46" t="n"/>
      <c r="U29" s="35" t="inlineStr">
        <is>
          <t>UNION PAY</t>
        </is>
      </c>
      <c r="V29" s="36" t="n"/>
      <c r="W29" s="33">
        <f>V29*2.5%</f>
        <v/>
      </c>
      <c r="X29" s="48" t="n"/>
      <c r="Y29" s="35" t="inlineStr">
        <is>
          <t>UNION PAY</t>
        </is>
      </c>
      <c r="Z29" s="36" t="n"/>
      <c r="AA29" s="33">
        <f>Z29*2.5%</f>
        <v/>
      </c>
      <c r="AB29" s="46" t="n"/>
      <c r="AC29" s="46" t="n"/>
      <c r="AD29" s="35" t="inlineStr">
        <is>
          <t>UNION PAY</t>
        </is>
      </c>
      <c r="AE29" s="36" t="n"/>
      <c r="AF29" s="33">
        <f>AE29*2.5%</f>
        <v/>
      </c>
      <c r="AG29" s="48" t="n"/>
      <c r="AH29" s="46" t="n"/>
      <c r="AI29" s="60" t="n"/>
      <c r="AJ29" s="39" t="n"/>
      <c r="AK29" s="40" t="n"/>
      <c r="AL29" s="46" t="n"/>
      <c r="AM29" s="46" t="n"/>
      <c r="AN29" s="35" t="inlineStr">
        <is>
          <t>UNION PAY</t>
        </is>
      </c>
      <c r="AO29" s="36" t="n"/>
      <c r="AP29" s="33">
        <f>AO29*2.5%</f>
        <v/>
      </c>
      <c r="AQ29" s="48" t="n"/>
      <c r="AR29" s="46" t="n"/>
      <c r="AS29" s="35" t="inlineStr">
        <is>
          <t>UNION PAY</t>
        </is>
      </c>
      <c r="AT29" s="36" t="n"/>
      <c r="AU29" s="33">
        <f>AT29*2.5%</f>
        <v/>
      </c>
      <c r="AV29" s="48" t="n"/>
      <c r="AW29" s="46" t="n"/>
      <c r="AX29" s="35" t="inlineStr">
        <is>
          <t>UNION PAY</t>
        </is>
      </c>
      <c r="AY29" s="36" t="n"/>
      <c r="AZ29" s="33">
        <f>AY29*2.5%</f>
        <v/>
      </c>
      <c r="BA29" s="48" t="n"/>
    </row>
    <row r="30" ht="28.5" customHeight="1" s="220">
      <c r="A30" s="66" t="inlineStr">
        <is>
          <t>VISA</t>
        </is>
      </c>
      <c r="B30" s="177" t="n"/>
      <c r="C30" s="68">
        <f>B30*0.021</f>
        <v/>
      </c>
      <c r="D30" s="34" t="n"/>
      <c r="E30" s="69" t="inlineStr">
        <is>
          <t>VISA</t>
        </is>
      </c>
      <c r="F30" s="70" t="n"/>
      <c r="G30" s="68">
        <f>F30*0.021</f>
        <v/>
      </c>
      <c r="H30" s="34" t="n"/>
      <c r="I30" s="69" t="inlineStr">
        <is>
          <t>VISA</t>
        </is>
      </c>
      <c r="J30" s="70" t="n"/>
      <c r="K30" s="68">
        <f>J30*0.021</f>
        <v/>
      </c>
      <c r="L30" s="34" t="n"/>
      <c r="M30" s="69" t="inlineStr">
        <is>
          <t>VISA</t>
        </is>
      </c>
      <c r="N30" s="70" t="n"/>
      <c r="O30" s="68">
        <f>N30*0.021</f>
        <v/>
      </c>
      <c r="P30" s="46" t="n"/>
      <c r="Q30" s="31" t="n"/>
      <c r="R30" s="39" t="n"/>
      <c r="S30" s="40" t="n"/>
      <c r="T30" s="46" t="n"/>
      <c r="U30" s="69" t="inlineStr">
        <is>
          <t>VISA</t>
        </is>
      </c>
      <c r="V30" s="70" t="n"/>
      <c r="W30" s="68">
        <f>V30*0.021</f>
        <v/>
      </c>
      <c r="X30" s="48" t="n"/>
      <c r="Y30" s="69" t="inlineStr">
        <is>
          <t>VISA</t>
        </is>
      </c>
      <c r="Z30" s="70" t="n"/>
      <c r="AA30" s="68">
        <f>Z30*0.021</f>
        <v/>
      </c>
      <c r="AB30" s="46" t="n"/>
      <c r="AC30" s="46" t="n"/>
      <c r="AD30" s="69" t="inlineStr">
        <is>
          <t>VISA</t>
        </is>
      </c>
      <c r="AE30" s="70" t="n"/>
      <c r="AF30" s="68">
        <f>AE30*0.021</f>
        <v/>
      </c>
      <c r="AG30" s="48" t="n"/>
      <c r="AH30" s="46" t="n"/>
      <c r="AI30" s="60" t="n"/>
      <c r="AJ30" s="39" t="n"/>
      <c r="AK30" s="40" t="n"/>
      <c r="AL30" s="46" t="n"/>
      <c r="AM30" s="46" t="n"/>
      <c r="AN30" s="69" t="inlineStr">
        <is>
          <t>VISA</t>
        </is>
      </c>
      <c r="AO30" s="70" t="n"/>
      <c r="AP30" s="68">
        <f>AO30*0.021</f>
        <v/>
      </c>
      <c r="AQ30" s="48" t="n"/>
      <c r="AR30" s="46" t="n"/>
      <c r="AS30" s="69" t="inlineStr">
        <is>
          <t>VISA</t>
        </is>
      </c>
      <c r="AT30" s="70" t="n"/>
      <c r="AU30" s="68">
        <f>AT30*0.021</f>
        <v/>
      </c>
      <c r="AV30" s="48" t="n"/>
      <c r="AW30" s="46" t="n"/>
      <c r="AX30" s="69" t="inlineStr">
        <is>
          <t>VISA</t>
        </is>
      </c>
      <c r="AY30" s="70" t="n"/>
      <c r="AZ30" s="68">
        <f>AY30*0.021</f>
        <v/>
      </c>
      <c r="BA30" s="48" t="n"/>
    </row>
    <row r="31" ht="32.25" customHeight="1" s="220">
      <c r="A31" s="72" t="inlineStr">
        <is>
          <t>TOTAL INCOME</t>
        </is>
      </c>
      <c r="B31" s="188">
        <f>SUM(B7:B30)</f>
        <v/>
      </c>
      <c r="C31" s="74">
        <f>SUM(C7:C30)</f>
        <v/>
      </c>
      <c r="D31" s="34" t="n"/>
      <c r="E31" s="75" t="inlineStr">
        <is>
          <t>DR TOTAL INCOME</t>
        </is>
      </c>
      <c r="F31" s="75">
        <f>SUM(F7:F30)</f>
        <v/>
      </c>
      <c r="G31" s="76">
        <f>SUM(G7:G30)</f>
        <v/>
      </c>
      <c r="H31" s="34" t="n"/>
      <c r="I31" s="77" t="inlineStr">
        <is>
          <t>DR TOTAL INCOME</t>
        </is>
      </c>
      <c r="J31" s="189">
        <f>SUM(J7:J30)</f>
        <v/>
      </c>
      <c r="K31" s="79">
        <f>SUM(K7:K30)</f>
        <v/>
      </c>
      <c r="L31" s="34" t="n"/>
      <c r="M31" s="77" t="inlineStr">
        <is>
          <t>DR TOTAL INCOME</t>
        </is>
      </c>
      <c r="N31" s="189">
        <f>SUM(N7:N30)</f>
        <v/>
      </c>
      <c r="O31" s="80">
        <f>SUM(O7:O30)</f>
        <v/>
      </c>
      <c r="P31" s="46" t="n"/>
      <c r="Q31" s="31" t="n"/>
      <c r="R31" s="39" t="n"/>
      <c r="S31" s="40" t="n"/>
      <c r="T31" s="46" t="n"/>
      <c r="U31" s="75" t="inlineStr">
        <is>
          <t>DR TOTAL INCOME</t>
        </is>
      </c>
      <c r="V31" s="190">
        <f>SUM(V7:V30)</f>
        <v/>
      </c>
      <c r="W31" s="82">
        <f>SUM(W7:W30)</f>
        <v/>
      </c>
      <c r="X31" s="49" t="n"/>
      <c r="Y31" s="77" t="inlineStr">
        <is>
          <t>DR TOTAL INCOME</t>
        </is>
      </c>
      <c r="Z31" s="191">
        <f>SUM(Z7:Z30)</f>
        <v/>
      </c>
      <c r="AA31" s="79">
        <f>SUM(AA7:AA30)</f>
        <v/>
      </c>
      <c r="AB31" s="46" t="n"/>
      <c r="AC31" s="46" t="n"/>
      <c r="AD31" s="84" t="inlineStr">
        <is>
          <t>DR TOTAL INCOME</t>
        </is>
      </c>
      <c r="AE31" s="192">
        <f>SUM(AE7:AE30)</f>
        <v/>
      </c>
      <c r="AF31" s="82">
        <f>SUM(AF7:AF30)</f>
        <v/>
      </c>
      <c r="AG31" s="48" t="n"/>
      <c r="AH31" s="46" t="n"/>
      <c r="AI31" s="60" t="n"/>
      <c r="AJ31" s="39" t="n"/>
      <c r="AK31" s="40" t="n"/>
      <c r="AL31" s="46" t="n"/>
      <c r="AM31" s="46" t="n"/>
      <c r="AN31" s="84" t="inlineStr">
        <is>
          <t>DR TOTAL INCOME</t>
        </is>
      </c>
      <c r="AO31" s="192">
        <f>SUM(AO7:AO30)</f>
        <v/>
      </c>
      <c r="AP31" s="82">
        <f>SUM(AP7:AP30)</f>
        <v/>
      </c>
      <c r="AQ31" s="48" t="n"/>
      <c r="AR31" s="46" t="n"/>
      <c r="AS31" s="84" t="inlineStr">
        <is>
          <t>DR TOTAL INCOME</t>
        </is>
      </c>
      <c r="AT31" s="192">
        <f>SUM(AT7:AT30)</f>
        <v/>
      </c>
      <c r="AU31" s="82">
        <f>SUM(AU7:AU30)</f>
        <v/>
      </c>
      <c r="AV31" s="48" t="n"/>
      <c r="AW31" s="46" t="n"/>
      <c r="AX31" s="84" t="inlineStr">
        <is>
          <t>DR TOTAL INCOME</t>
        </is>
      </c>
      <c r="AY31" s="192">
        <f>SUM(AY7:AY30)</f>
        <v/>
      </c>
      <c r="AZ31" s="82">
        <f>SUM(AZ7:AZ30)</f>
        <v/>
      </c>
      <c r="BA31" s="48" t="n"/>
    </row>
    <row r="32" ht="29.25" customHeight="1" s="220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31" t="n"/>
      <c r="R32" s="39" t="n"/>
      <c r="S32" s="40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8" t="n"/>
      <c r="AH32" s="46" t="n"/>
      <c r="AI32" s="60" t="n"/>
      <c r="AJ32" s="39" t="n"/>
      <c r="AK32" s="40" t="n"/>
      <c r="AL32" s="46" t="n"/>
      <c r="AM32" s="46" t="n"/>
      <c r="AN32" s="46" t="n"/>
      <c r="AO32" s="46" t="n"/>
      <c r="AP32" s="46" t="n"/>
      <c r="AQ32" s="48" t="n"/>
      <c r="AR32" s="46" t="n"/>
      <c r="AS32" s="46" t="n"/>
      <c r="AT32" s="46" t="n"/>
      <c r="AU32" s="46" t="n"/>
      <c r="AV32" s="48" t="n"/>
      <c r="AW32" s="46" t="n"/>
      <c r="AX32" s="46" t="n"/>
      <c r="AY32" s="46" t="n"/>
      <c r="AZ32" s="46" t="n"/>
      <c r="BA32" s="48" t="n"/>
    </row>
    <row r="33" ht="23.25" customHeight="1" s="220">
      <c r="A33" s="86" t="n"/>
      <c r="B33" s="230" t="inlineStr">
        <is>
          <t>EXPENSES</t>
        </is>
      </c>
      <c r="C33" s="231" t="n"/>
      <c r="D33" s="86" t="n"/>
      <c r="E33" s="86" t="n"/>
      <c r="F33" s="232" t="inlineStr">
        <is>
          <t>DEDUCTIONS</t>
        </is>
      </c>
      <c r="G33" s="222" t="n"/>
      <c r="H33" s="90" t="inlineStr">
        <is>
          <t>REMARKS</t>
        </is>
      </c>
      <c r="I33" s="86" t="n"/>
      <c r="J33" s="230" t="inlineStr">
        <is>
          <t>DEDUCTIONS</t>
        </is>
      </c>
      <c r="K33" s="231" t="n"/>
      <c r="L33" s="90" t="inlineStr">
        <is>
          <t>REMARKS</t>
        </is>
      </c>
      <c r="M33" s="86" t="n"/>
      <c r="N33" s="230" t="inlineStr">
        <is>
          <t>DEDUCTIONS</t>
        </is>
      </c>
      <c r="O33" s="231" t="n"/>
      <c r="P33" s="90" t="inlineStr">
        <is>
          <t>REMARKS</t>
        </is>
      </c>
      <c r="Q33" s="86" t="n"/>
      <c r="R33" s="232" t="inlineStr">
        <is>
          <t>DEDUCTIONS</t>
        </is>
      </c>
      <c r="S33" s="222" t="n"/>
      <c r="T33" s="90" t="inlineStr">
        <is>
          <t>REMARKS</t>
        </is>
      </c>
      <c r="U33" s="86" t="n"/>
      <c r="V33" s="230" t="inlineStr">
        <is>
          <t>DEDUCTIONS</t>
        </is>
      </c>
      <c r="W33" s="231" t="n"/>
      <c r="X33" s="90" t="inlineStr">
        <is>
          <t>REMARKS</t>
        </is>
      </c>
      <c r="Y33" s="86" t="n"/>
      <c r="Z33" s="230" t="inlineStr">
        <is>
          <t>DEDUCTIONS</t>
        </is>
      </c>
      <c r="AA33" s="231" t="n"/>
      <c r="AB33" s="90" t="inlineStr">
        <is>
          <t>REMARKS</t>
        </is>
      </c>
      <c r="AC33" s="86" t="n"/>
      <c r="AD33" s="86" t="n"/>
      <c r="AE33" s="230" t="inlineStr">
        <is>
          <t>DEDUCTIONS</t>
        </is>
      </c>
      <c r="AF33" s="231" t="n"/>
      <c r="AG33" s="90" t="inlineStr">
        <is>
          <t>REMARKS</t>
        </is>
      </c>
      <c r="AH33" s="86" t="n"/>
      <c r="AI33" s="86" t="n"/>
      <c r="AJ33" s="232" t="inlineStr">
        <is>
          <t>DEDUCTIONS</t>
        </is>
      </c>
      <c r="AK33" s="222" t="n"/>
      <c r="AL33" s="90" t="inlineStr">
        <is>
          <t>REMARKS</t>
        </is>
      </c>
      <c r="AM33" s="86" t="n"/>
      <c r="AN33" s="86" t="n"/>
      <c r="AO33" s="230" t="inlineStr">
        <is>
          <t>DEDUCTIONS</t>
        </is>
      </c>
      <c r="AP33" s="231" t="n"/>
      <c r="AQ33" s="90" t="inlineStr">
        <is>
          <t>REMARKS</t>
        </is>
      </c>
      <c r="AR33" s="86" t="n"/>
      <c r="AS33" s="86" t="n"/>
      <c r="AT33" s="230" t="inlineStr">
        <is>
          <t>DEDUCTIONS</t>
        </is>
      </c>
      <c r="AU33" s="231" t="n"/>
      <c r="AV33" s="90" t="inlineStr">
        <is>
          <t>REMARKS</t>
        </is>
      </c>
      <c r="AW33" s="86" t="n"/>
      <c r="AX33" s="86" t="n"/>
      <c r="AY33" s="230" t="inlineStr">
        <is>
          <t>DEDUCTIONS</t>
        </is>
      </c>
      <c r="AZ33" s="231" t="n"/>
      <c r="BA33" s="90" t="inlineStr">
        <is>
          <t>REMARKS</t>
        </is>
      </c>
    </row>
    <row r="34" ht="30.75" customHeight="1" s="220">
      <c r="A34" s="1" t="n"/>
      <c r="B34" s="96" t="inlineStr">
        <is>
          <t>ADMIN FEE</t>
        </is>
      </c>
      <c r="C34" s="97">
        <f>SUM(C7:C30)</f>
        <v/>
      </c>
      <c r="D34" s="1" t="n"/>
      <c r="E34" s="1" t="n"/>
      <c r="F34" s="31" t="inlineStr">
        <is>
          <t>ADMIN CHARGES</t>
        </is>
      </c>
      <c r="G34" s="93">
        <f>G31</f>
        <v/>
      </c>
      <c r="H34" s="90" t="n"/>
      <c r="I34" s="1" t="n"/>
      <c r="J34" s="35" t="inlineStr">
        <is>
          <t>ADMIN CHARGES</t>
        </is>
      </c>
      <c r="K34" s="94">
        <f>K31</f>
        <v/>
      </c>
      <c r="L34" s="90" t="n"/>
      <c r="M34" s="1" t="n"/>
      <c r="N34" s="35" t="inlineStr">
        <is>
          <t>ADMIN CHARGES</t>
        </is>
      </c>
      <c r="O34" s="94">
        <f>O31</f>
        <v/>
      </c>
      <c r="P34" s="90" t="n"/>
      <c r="Q34" s="1" t="n"/>
      <c r="R34" s="31" t="inlineStr">
        <is>
          <t>ADMIN CHARGES</t>
        </is>
      </c>
      <c r="S34" s="93">
        <f>#REF!</f>
        <v/>
      </c>
      <c r="T34" s="90" t="n"/>
      <c r="U34" s="1" t="n"/>
      <c r="V34" s="35" t="inlineStr">
        <is>
          <t>ADMIN CHARGES</t>
        </is>
      </c>
      <c r="W34" s="94">
        <f>W31</f>
        <v/>
      </c>
      <c r="X34" s="90" t="n"/>
      <c r="Y34" s="1" t="n"/>
      <c r="Z34" s="35" t="inlineStr">
        <is>
          <t>ADMIN CHARGES</t>
        </is>
      </c>
      <c r="AA34" s="94">
        <f>AA31</f>
        <v/>
      </c>
      <c r="AB34" s="90" t="n"/>
      <c r="AC34" s="1" t="n"/>
      <c r="AD34" s="1" t="n"/>
      <c r="AE34" s="35" t="inlineStr">
        <is>
          <t>ADMIN CHARGES</t>
        </is>
      </c>
      <c r="AF34" s="94">
        <f>AF31</f>
        <v/>
      </c>
      <c r="AG34" s="90" t="n"/>
      <c r="AH34" s="1" t="n"/>
      <c r="AI34" s="1" t="n"/>
      <c r="AJ34" s="31" t="inlineStr">
        <is>
          <t>ADMIN CHARGES</t>
        </is>
      </c>
      <c r="AK34" s="93">
        <f>#REF!</f>
        <v/>
      </c>
      <c r="AL34" s="90" t="n"/>
      <c r="AM34" s="1" t="n"/>
      <c r="AN34" s="1" t="n"/>
      <c r="AO34" s="35" t="inlineStr">
        <is>
          <t>ADMIN CHARGES</t>
        </is>
      </c>
      <c r="AP34" s="94">
        <f>AP31</f>
        <v/>
      </c>
      <c r="AQ34" s="90" t="n"/>
      <c r="AR34" s="1" t="n"/>
      <c r="AS34" s="1" t="n"/>
      <c r="AT34" s="35" t="inlineStr">
        <is>
          <t>ADMIN CHARGES</t>
        </is>
      </c>
      <c r="AU34" s="94">
        <f>AU31</f>
        <v/>
      </c>
      <c r="AV34" s="90" t="n"/>
      <c r="AW34" s="1" t="n"/>
      <c r="AX34" s="1" t="n"/>
      <c r="AY34" s="35" t="inlineStr">
        <is>
          <t>ADMIN CHARGES</t>
        </is>
      </c>
      <c r="AZ34" s="94">
        <f>AZ31</f>
        <v/>
      </c>
      <c r="BA34" s="90" t="n"/>
    </row>
    <row r="35" ht="30.75" customHeight="1" s="220">
      <c r="A35" s="1" t="n"/>
      <c r="B35" s="96" t="inlineStr">
        <is>
          <t>GST</t>
        </is>
      </c>
      <c r="C35" s="179">
        <f>K35+O35+AA35+AF35+AM35+AP35+T35+W35+AU35+AZ35</f>
        <v/>
      </c>
      <c r="D35" s="1" t="n"/>
      <c r="E35" s="1" t="n"/>
      <c r="F35" s="31" t="inlineStr">
        <is>
          <t>GST</t>
        </is>
      </c>
      <c r="G35" s="100" t="n"/>
      <c r="H35" s="90" t="n"/>
      <c r="I35" s="1" t="n"/>
      <c r="J35" s="35" t="inlineStr">
        <is>
          <t>GST</t>
        </is>
      </c>
      <c r="K35" s="51" t="n"/>
      <c r="L35" s="90" t="n"/>
      <c r="M35" s="1" t="n"/>
      <c r="N35" s="35" t="inlineStr">
        <is>
          <t>GST</t>
        </is>
      </c>
      <c r="O35" s="51" t="n"/>
      <c r="P35" s="90" t="n"/>
      <c r="Q35" s="1" t="n"/>
      <c r="R35" s="31" t="inlineStr">
        <is>
          <t>GST</t>
        </is>
      </c>
      <c r="S35" s="100" t="n"/>
      <c r="T35" s="90" t="n"/>
      <c r="U35" s="1" t="n"/>
      <c r="V35" s="35" t="inlineStr">
        <is>
          <t>GST</t>
        </is>
      </c>
      <c r="W35" s="51" t="n"/>
      <c r="X35" s="90" t="n"/>
      <c r="Y35" s="1" t="n"/>
      <c r="Z35" s="35" t="inlineStr">
        <is>
          <t>GST</t>
        </is>
      </c>
      <c r="AA35" s="51" t="n"/>
      <c r="AB35" s="90" t="n"/>
      <c r="AC35" s="1" t="n"/>
      <c r="AD35" s="1" t="n"/>
      <c r="AE35" s="35" t="inlineStr">
        <is>
          <t>GST</t>
        </is>
      </c>
      <c r="AF35" s="51" t="n"/>
      <c r="AG35" s="90" t="n"/>
      <c r="AH35" s="1" t="n"/>
      <c r="AI35" s="1" t="n"/>
      <c r="AJ35" s="31" t="inlineStr">
        <is>
          <t>GST</t>
        </is>
      </c>
      <c r="AK35" s="100" t="n"/>
      <c r="AL35" s="90" t="n"/>
      <c r="AM35" s="1" t="n"/>
      <c r="AN35" s="1" t="n"/>
      <c r="AO35" s="35" t="inlineStr">
        <is>
          <t>GST</t>
        </is>
      </c>
      <c r="AP35" s="51" t="n"/>
      <c r="AQ35" s="90" t="n"/>
      <c r="AR35" s="1" t="n"/>
      <c r="AS35" s="1" t="n"/>
      <c r="AT35" s="35" t="inlineStr">
        <is>
          <t>GST</t>
        </is>
      </c>
      <c r="AU35" s="51" t="n"/>
      <c r="AV35" s="90" t="n"/>
      <c r="AW35" s="1" t="n"/>
      <c r="AX35" s="1" t="n"/>
      <c r="AY35" s="35" t="inlineStr">
        <is>
          <t>GST</t>
        </is>
      </c>
      <c r="AZ35" s="51" t="n"/>
      <c r="BA35" s="90" t="n"/>
    </row>
    <row r="36" ht="30.75" customHeight="1" s="220">
      <c r="A36" s="1" t="n"/>
      <c r="B36" s="96" t="inlineStr">
        <is>
          <t>RENTAL</t>
        </is>
      </c>
      <c r="C36" s="97" t="n"/>
      <c r="D36" s="1" t="n"/>
      <c r="E36" s="1" t="n"/>
      <c r="F36" s="31" t="inlineStr">
        <is>
          <t>ICC-5</t>
        </is>
      </c>
      <c r="G36" s="100" t="n"/>
      <c r="H36" s="90" t="n"/>
      <c r="I36" s="1" t="n"/>
      <c r="J36" s="35" t="inlineStr">
        <is>
          <t>ICC-5</t>
        </is>
      </c>
      <c r="K36" s="51" t="n"/>
      <c r="L36" s="90" t="n"/>
      <c r="M36" s="1" t="n"/>
      <c r="N36" s="35" t="inlineStr">
        <is>
          <t>ICC-5</t>
        </is>
      </c>
      <c r="O36" s="51" t="n"/>
      <c r="P36" s="90" t="n"/>
      <c r="Q36" s="1" t="n"/>
      <c r="R36" s="31" t="n"/>
      <c r="S36" s="100" t="n"/>
      <c r="T36" s="90" t="n"/>
      <c r="U36" s="1" t="n"/>
      <c r="V36" s="35" t="inlineStr">
        <is>
          <t>ICC-5</t>
        </is>
      </c>
      <c r="W36" s="51" t="n"/>
      <c r="X36" s="90" t="n"/>
      <c r="Y36" s="1" t="n"/>
      <c r="Z36" s="35" t="inlineStr">
        <is>
          <t>ICC-5</t>
        </is>
      </c>
      <c r="AA36" s="51" t="n"/>
      <c r="AB36" s="90" t="n"/>
      <c r="AC36" s="1" t="n"/>
      <c r="AD36" s="1" t="n"/>
      <c r="AE36" s="35" t="inlineStr">
        <is>
          <t>ICC-5</t>
        </is>
      </c>
      <c r="AF36" s="51" t="n"/>
      <c r="AG36" s="90" t="n"/>
      <c r="AH36" s="1" t="n"/>
      <c r="AI36" s="1" t="n"/>
      <c r="AJ36" s="31" t="n"/>
      <c r="AK36" s="100" t="n"/>
      <c r="AL36" s="90" t="n"/>
      <c r="AM36" s="1" t="n"/>
      <c r="AN36" s="1" t="n"/>
      <c r="AO36" s="35" t="inlineStr">
        <is>
          <t>ICC-5</t>
        </is>
      </c>
      <c r="AP36" s="51" t="n"/>
      <c r="AQ36" s="90" t="n"/>
      <c r="AR36" s="1" t="n"/>
      <c r="AS36" s="1" t="n"/>
      <c r="AT36" s="35" t="inlineStr">
        <is>
          <t>ICC-5</t>
        </is>
      </c>
      <c r="AU36" s="51" t="n"/>
      <c r="AV36" s="90" t="n"/>
      <c r="AW36" s="1" t="n"/>
      <c r="AX36" s="1" t="n"/>
      <c r="AY36" s="35" t="inlineStr">
        <is>
          <t>ICC-5</t>
        </is>
      </c>
      <c r="AZ36" s="51" t="n"/>
      <c r="BA36" s="90" t="n"/>
    </row>
    <row r="37" ht="30.75" customHeight="1" s="220">
      <c r="A37" s="1" t="n"/>
      <c r="B37" s="96" t="inlineStr">
        <is>
          <t>LOAN INTEREST</t>
        </is>
      </c>
      <c r="C37" s="97" t="n"/>
      <c r="D37" s="1" t="n"/>
      <c r="E37" s="1" t="n"/>
      <c r="F37" s="31" t="inlineStr">
        <is>
          <t>PRODUCTS</t>
        </is>
      </c>
      <c r="G37" s="100" t="n"/>
      <c r="H37" s="90" t="n"/>
      <c r="I37" s="1" t="n"/>
      <c r="J37" s="35" t="inlineStr">
        <is>
          <t>PRODUCTS</t>
        </is>
      </c>
      <c r="K37" s="51" t="n"/>
      <c r="L37" s="90" t="n"/>
      <c r="M37" s="1" t="n"/>
      <c r="N37" s="35" t="inlineStr">
        <is>
          <t>PRODUCTS</t>
        </is>
      </c>
      <c r="O37" s="51" t="n"/>
      <c r="P37" s="90" t="n"/>
      <c r="Q37" s="1" t="n"/>
      <c r="R37" s="31" t="n"/>
      <c r="S37" s="100" t="n"/>
      <c r="T37" s="90" t="n"/>
      <c r="U37" s="1" t="n"/>
      <c r="V37" s="35" t="inlineStr">
        <is>
          <t>PRODUCTS</t>
        </is>
      </c>
      <c r="W37" s="51" t="n"/>
      <c r="X37" s="90" t="n"/>
      <c r="Y37" s="1" t="n"/>
      <c r="Z37" s="35" t="inlineStr">
        <is>
          <t>PRODUCTS</t>
        </is>
      </c>
      <c r="AA37" s="51" t="n"/>
      <c r="AB37" s="90" t="n"/>
      <c r="AC37" s="1" t="n"/>
      <c r="AD37" s="1" t="n"/>
      <c r="AE37" s="35" t="inlineStr">
        <is>
          <t>PRODUCTS</t>
        </is>
      </c>
      <c r="AF37" s="51" t="n"/>
      <c r="AG37" s="90" t="n"/>
      <c r="AH37" s="1" t="n"/>
      <c r="AI37" s="1" t="n"/>
      <c r="AJ37" s="31" t="n"/>
      <c r="AK37" s="100" t="n"/>
      <c r="AL37" s="90" t="n"/>
      <c r="AM37" s="1" t="n"/>
      <c r="AN37" s="1" t="n"/>
      <c r="AO37" s="35" t="inlineStr">
        <is>
          <t>PRODUCTS</t>
        </is>
      </c>
      <c r="AP37" s="51" t="n"/>
      <c r="AQ37" s="90" t="n"/>
      <c r="AR37" s="1" t="n"/>
      <c r="AS37" s="1" t="n"/>
      <c r="AT37" s="35" t="inlineStr">
        <is>
          <t>PRODUCTS</t>
        </is>
      </c>
      <c r="AU37" s="51" t="n"/>
      <c r="AV37" s="90" t="n"/>
      <c r="AW37" s="1" t="n"/>
      <c r="AX37" s="1" t="n"/>
      <c r="AY37" s="35" t="inlineStr">
        <is>
          <t>PRODUCTS</t>
        </is>
      </c>
      <c r="AZ37" s="51" t="n"/>
      <c r="BA37" s="90" t="n"/>
    </row>
    <row r="38" ht="30.75" customHeight="1" s="220">
      <c r="A38" s="1" t="n"/>
      <c r="B38" s="96" t="inlineStr">
        <is>
          <t xml:space="preserve">IRAS TAX </t>
        </is>
      </c>
      <c r="C38" s="97" t="n">
        <v>181.05</v>
      </c>
      <c r="D38" s="136" t="inlineStr">
        <is>
          <t xml:space="preserve">JAN 181.05 </t>
        </is>
      </c>
      <c r="E38" s="1" t="n"/>
      <c r="F38" s="31" t="inlineStr">
        <is>
          <t>ORTHO (B+B)</t>
        </is>
      </c>
      <c r="G38" s="100" t="n"/>
      <c r="H38" s="90" t="n"/>
      <c r="I38" s="1" t="n"/>
      <c r="J38" s="35" t="inlineStr">
        <is>
          <t>ORTHO (B+B)</t>
        </is>
      </c>
      <c r="K38" s="51" t="n"/>
      <c r="L38" s="90" t="n"/>
      <c r="M38" s="1" t="n"/>
      <c r="N38" s="35" t="inlineStr">
        <is>
          <t>ORTHO (B+B)</t>
        </is>
      </c>
      <c r="O38" s="51" t="n"/>
      <c r="P38" s="90" t="n"/>
      <c r="Q38" s="1" t="n"/>
      <c r="R38" s="31" t="n"/>
      <c r="S38" s="100" t="n"/>
      <c r="T38" s="90" t="n"/>
      <c r="U38" s="1" t="n"/>
      <c r="V38" s="35" t="inlineStr">
        <is>
          <t>ORTHO (B+B)</t>
        </is>
      </c>
      <c r="W38" s="51" t="n"/>
      <c r="X38" s="90" t="n"/>
      <c r="Y38" s="1" t="n"/>
      <c r="Z38" s="35" t="inlineStr">
        <is>
          <t>ORTHO (B+B)</t>
        </is>
      </c>
      <c r="AA38" s="51" t="n"/>
      <c r="AB38" s="90" t="n"/>
      <c r="AC38" s="1" t="n"/>
      <c r="AD38" s="1" t="n"/>
      <c r="AE38" s="35" t="inlineStr">
        <is>
          <t>ORTHO (B+B)</t>
        </is>
      </c>
      <c r="AF38" s="51" t="n"/>
      <c r="AG38" s="90" t="n"/>
      <c r="AH38" s="1" t="n"/>
      <c r="AI38" s="1" t="n"/>
      <c r="AJ38" s="31" t="n"/>
      <c r="AK38" s="100" t="n"/>
      <c r="AL38" s="90" t="n"/>
      <c r="AM38" s="1" t="n"/>
      <c r="AN38" s="1" t="n"/>
      <c r="AO38" s="35" t="inlineStr">
        <is>
          <t>ORTHO (B+B)</t>
        </is>
      </c>
      <c r="AP38" s="51" t="n"/>
      <c r="AQ38" s="90" t="n"/>
      <c r="AR38" s="1" t="n"/>
      <c r="AS38" s="1" t="n"/>
      <c r="AT38" s="35" t="inlineStr">
        <is>
          <t>ORTHO (B+B)</t>
        </is>
      </c>
      <c r="AU38" s="51" t="n"/>
      <c r="AV38" s="90" t="n"/>
      <c r="AW38" s="1" t="n"/>
      <c r="AX38" s="1" t="n"/>
      <c r="AY38" s="35" t="inlineStr">
        <is>
          <t>ORTHO (B+B)</t>
        </is>
      </c>
      <c r="AZ38" s="51" t="n"/>
      <c r="BA38" s="90" t="n"/>
    </row>
    <row r="39" ht="30.75" customHeight="1" s="220">
      <c r="A39" s="1" t="n"/>
      <c r="B39" s="96" t="inlineStr">
        <is>
          <t>CK SECRETARIAL / ACCOUNTS SERVICES</t>
        </is>
      </c>
      <c r="C39" s="97" t="n"/>
      <c r="D39" s="1" t="inlineStr">
        <is>
          <t>FEB 50895</t>
        </is>
      </c>
      <c r="E39" s="1" t="n"/>
      <c r="F39" s="31" t="inlineStr">
        <is>
          <t>ABUTMENTS</t>
        </is>
      </c>
      <c r="G39" s="100" t="n"/>
      <c r="H39" s="98" t="n"/>
      <c r="I39" s="1" t="n"/>
      <c r="J39" s="35" t="inlineStr">
        <is>
          <t>ABUTMENTS</t>
        </is>
      </c>
      <c r="K39" s="51" t="n"/>
      <c r="L39" s="90" t="n"/>
      <c r="M39" s="1" t="n"/>
      <c r="N39" s="35" t="inlineStr">
        <is>
          <t>ABUTMENTS</t>
        </is>
      </c>
      <c r="O39" s="51" t="n"/>
      <c r="P39" s="90" t="n"/>
      <c r="Q39" s="1" t="n"/>
      <c r="R39" s="31" t="n"/>
      <c r="S39" s="100" t="n"/>
      <c r="T39" s="90" t="n"/>
      <c r="U39" s="1" t="n"/>
      <c r="V39" s="35" t="inlineStr">
        <is>
          <t>ABUTMENTS</t>
        </is>
      </c>
      <c r="W39" s="51" t="n"/>
      <c r="X39" s="90" t="n"/>
      <c r="Y39" s="1" t="n"/>
      <c r="Z39" s="35" t="inlineStr">
        <is>
          <t>ABUTMENTS</t>
        </is>
      </c>
      <c r="AA39" s="51" t="n"/>
      <c r="AB39" s="90" t="n"/>
      <c r="AC39" s="1" t="n"/>
      <c r="AD39" s="1" t="n"/>
      <c r="AE39" s="35" t="inlineStr">
        <is>
          <t>ABUTMENTS</t>
        </is>
      </c>
      <c r="AF39" s="51" t="n"/>
      <c r="AG39" s="90" t="n"/>
      <c r="AH39" s="1" t="n"/>
      <c r="AI39" s="1" t="n"/>
      <c r="AJ39" s="31" t="n"/>
      <c r="AK39" s="100" t="n"/>
      <c r="AL39" s="90" t="n"/>
      <c r="AM39" s="1" t="n"/>
      <c r="AN39" s="1" t="n"/>
      <c r="AO39" s="35" t="inlineStr">
        <is>
          <t>ABUTMENTS</t>
        </is>
      </c>
      <c r="AP39" s="51" t="n"/>
      <c r="AQ39" s="90" t="n"/>
      <c r="AR39" s="1" t="n"/>
      <c r="AS39" s="1" t="n"/>
      <c r="AT39" s="35" t="inlineStr">
        <is>
          <t>ABUTMENTS</t>
        </is>
      </c>
      <c r="AU39" s="51" t="n"/>
      <c r="AV39" s="90" t="n"/>
      <c r="AW39" s="1" t="n"/>
      <c r="AX39" s="1" t="n"/>
      <c r="AY39" s="35" t="inlineStr">
        <is>
          <t>ABUTMENTS</t>
        </is>
      </c>
      <c r="AZ39" s="51" t="n"/>
      <c r="BA39" s="90" t="n"/>
    </row>
    <row r="40" ht="30.75" customHeight="1" s="220">
      <c r="A40" s="1" t="n"/>
      <c r="B40" s="96" t="inlineStr">
        <is>
          <t>TOWN COUNCIL</t>
        </is>
      </c>
      <c r="C40" s="97" t="n">
        <v>286.13</v>
      </c>
      <c r="D40" s="1" t="inlineStr">
        <is>
          <t>MAR-JUN 25420</t>
        </is>
      </c>
      <c r="E40" s="1" t="n"/>
      <c r="F40" s="31" t="inlineStr">
        <is>
          <t>IMPLANT</t>
        </is>
      </c>
      <c r="G40" s="99" t="n"/>
      <c r="H40" s="90" t="n"/>
      <c r="I40" s="1" t="n"/>
      <c r="J40" s="35" t="inlineStr">
        <is>
          <t>IMPLANT</t>
        </is>
      </c>
      <c r="K40" s="51" t="n"/>
      <c r="L40" s="90" t="n"/>
      <c r="M40" s="1" t="n"/>
      <c r="N40" s="35" t="inlineStr">
        <is>
          <t>IMPLANT</t>
        </is>
      </c>
      <c r="O40" s="51" t="n"/>
      <c r="P40" s="90" t="n"/>
      <c r="Q40" s="1" t="n"/>
      <c r="R40" s="31" t="n"/>
      <c r="S40" s="100" t="n"/>
      <c r="T40" s="90" t="n"/>
      <c r="U40" s="1" t="n"/>
      <c r="V40" s="35" t="inlineStr">
        <is>
          <t>IMPLANT</t>
        </is>
      </c>
      <c r="W40" s="51" t="n"/>
      <c r="X40" s="90" t="n"/>
      <c r="Y40" s="1" t="n"/>
      <c r="Z40" s="35" t="inlineStr">
        <is>
          <t>IMPLANT</t>
        </is>
      </c>
      <c r="AA40" s="51" t="n"/>
      <c r="AB40" s="90" t="n"/>
      <c r="AC40" s="1" t="n"/>
      <c r="AD40" s="1" t="n"/>
      <c r="AE40" s="35" t="inlineStr">
        <is>
          <t>IMPLANT</t>
        </is>
      </c>
      <c r="AF40" s="51" t="n"/>
      <c r="AG40" s="90" t="n"/>
      <c r="AH40" s="1" t="n"/>
      <c r="AI40" s="1" t="n"/>
      <c r="AJ40" s="31" t="n"/>
      <c r="AK40" s="100" t="n"/>
      <c r="AL40" s="90" t="n"/>
      <c r="AM40" s="1" t="n"/>
      <c r="AN40" s="1" t="n"/>
      <c r="AO40" s="35" t="inlineStr">
        <is>
          <t>IMPLANT</t>
        </is>
      </c>
      <c r="AP40" s="51" t="n"/>
      <c r="AQ40" s="90" t="n"/>
      <c r="AR40" s="1" t="n"/>
      <c r="AS40" s="1" t="n"/>
      <c r="AT40" s="35" t="inlineStr">
        <is>
          <t>IMPLANT</t>
        </is>
      </c>
      <c r="AU40" s="51" t="n"/>
      <c r="AV40" s="90" t="n"/>
      <c r="AW40" s="1" t="n"/>
      <c r="AX40" s="1" t="n"/>
      <c r="AY40" s="35" t="inlineStr">
        <is>
          <t>IMPLANT</t>
        </is>
      </c>
      <c r="AZ40" s="51" t="n"/>
      <c r="BA40" s="90" t="n"/>
    </row>
    <row r="41" ht="30.75" customHeight="1" s="220">
      <c r="A41" s="1" t="n"/>
      <c r="B41" s="96" t="inlineStr">
        <is>
          <t>SERVICE &amp; CONSERVANCY CHARGES</t>
        </is>
      </c>
      <c r="C41" s="97" t="n">
        <v>800</v>
      </c>
      <c r="D41" s="1" t="n"/>
      <c r="E41" s="1" t="n"/>
      <c r="F41" s="31" t="inlineStr">
        <is>
          <t>SKY LAB</t>
        </is>
      </c>
      <c r="G41" s="100" t="n"/>
      <c r="H41" s="90" t="n"/>
      <c r="I41" s="1" t="n"/>
      <c r="J41" s="35" t="inlineStr">
        <is>
          <t>SKY LAB</t>
        </is>
      </c>
      <c r="K41" s="51" t="n"/>
      <c r="L41" s="90" t="n"/>
      <c r="M41" s="1" t="n"/>
      <c r="N41" s="35" t="inlineStr">
        <is>
          <t>SKY LAB</t>
        </is>
      </c>
      <c r="O41" s="51" t="n"/>
      <c r="P41" s="90" t="n"/>
      <c r="Q41" s="1" t="n"/>
      <c r="R41" s="31" t="n"/>
      <c r="S41" s="100" t="n"/>
      <c r="T41" s="90" t="n"/>
      <c r="U41" s="1" t="n"/>
      <c r="V41" s="35" t="inlineStr">
        <is>
          <t>SKY LAB</t>
        </is>
      </c>
      <c r="W41" s="51" t="n"/>
      <c r="X41" s="90" t="n"/>
      <c r="Y41" s="1" t="n"/>
      <c r="Z41" s="35" t="inlineStr">
        <is>
          <t>SKY LAB</t>
        </is>
      </c>
      <c r="AA41" s="51" t="n"/>
      <c r="AB41" s="90" t="n"/>
      <c r="AC41" s="1" t="n"/>
      <c r="AD41" s="1" t="n"/>
      <c r="AE41" s="35" t="inlineStr">
        <is>
          <t>SKY LAB</t>
        </is>
      </c>
      <c r="AF41" s="51" t="n"/>
      <c r="AG41" s="90" t="n"/>
      <c r="AH41" s="1" t="n"/>
      <c r="AI41" s="1" t="n"/>
      <c r="AJ41" s="31" t="n"/>
      <c r="AK41" s="100" t="n"/>
      <c r="AL41" s="90" t="n"/>
      <c r="AM41" s="1" t="n"/>
      <c r="AN41" s="1" t="n"/>
      <c r="AO41" s="35" t="inlineStr">
        <is>
          <t>SKY LAB</t>
        </is>
      </c>
      <c r="AP41" s="51" t="n"/>
      <c r="AQ41" s="90" t="n"/>
      <c r="AR41" s="1" t="n"/>
      <c r="AS41" s="1" t="n"/>
      <c r="AT41" s="35" t="inlineStr">
        <is>
          <t>SKY LAB</t>
        </is>
      </c>
      <c r="AU41" s="51" t="n"/>
      <c r="AV41" s="90" t="n"/>
      <c r="AW41" s="1" t="n"/>
      <c r="AX41" s="1" t="n"/>
      <c r="AY41" s="35" t="inlineStr">
        <is>
          <t>SKY LAB</t>
        </is>
      </c>
      <c r="AZ41" s="51" t="n"/>
      <c r="BA41" s="90" t="n"/>
    </row>
    <row r="42" ht="30.75" customHeight="1" s="220">
      <c r="A42" s="1" t="n"/>
      <c r="B42" s="96" t="inlineStr">
        <is>
          <t>SP</t>
        </is>
      </c>
      <c r="C42" s="97" t="n"/>
      <c r="D42" s="1" t="n"/>
      <c r="E42" s="1" t="n"/>
      <c r="F42" s="31" t="inlineStr">
        <is>
          <t>DIGICADCAM</t>
        </is>
      </c>
      <c r="G42" s="100" t="n"/>
      <c r="H42" s="90" t="n"/>
      <c r="I42" s="1" t="n"/>
      <c r="J42" s="35" t="inlineStr">
        <is>
          <t>DIGICADCAM</t>
        </is>
      </c>
      <c r="K42" s="51" t="n"/>
      <c r="L42" s="90" t="n"/>
      <c r="M42" s="1" t="n"/>
      <c r="N42" s="35" t="inlineStr">
        <is>
          <t>DIGICADCAM</t>
        </is>
      </c>
      <c r="O42" s="51" t="n"/>
      <c r="P42" s="90" t="n"/>
      <c r="Q42" s="1" t="n"/>
      <c r="R42" s="31" t="n"/>
      <c r="S42" s="100" t="n"/>
      <c r="T42" s="90" t="n"/>
      <c r="U42" s="1" t="n"/>
      <c r="V42" s="35" t="inlineStr">
        <is>
          <t>DIGICADCAM</t>
        </is>
      </c>
      <c r="W42" s="51" t="n"/>
      <c r="X42" s="90" t="n"/>
      <c r="Y42" s="1" t="n"/>
      <c r="Z42" s="35" t="inlineStr">
        <is>
          <t>DIGICADCAM</t>
        </is>
      </c>
      <c r="AA42" s="51" t="n"/>
      <c r="AB42" s="90" t="n"/>
      <c r="AC42" s="1" t="n"/>
      <c r="AD42" s="1" t="n"/>
      <c r="AE42" s="35" t="inlineStr">
        <is>
          <t>DIGICADCAM</t>
        </is>
      </c>
      <c r="AF42" s="51" t="n"/>
      <c r="AG42" s="90" t="n"/>
      <c r="AH42" s="1" t="n"/>
      <c r="AI42" s="1" t="n"/>
      <c r="AJ42" s="31" t="n"/>
      <c r="AK42" s="100" t="n"/>
      <c r="AL42" s="90" t="n"/>
      <c r="AM42" s="1" t="n"/>
      <c r="AN42" s="1" t="n"/>
      <c r="AO42" s="35" t="inlineStr">
        <is>
          <t>DIGICADCAM</t>
        </is>
      </c>
      <c r="AP42" s="51" t="n"/>
      <c r="AQ42" s="90" t="n"/>
      <c r="AR42" s="1" t="n"/>
      <c r="AS42" s="1" t="n"/>
      <c r="AT42" s="35" t="inlineStr">
        <is>
          <t>DIGICADCAM</t>
        </is>
      </c>
      <c r="AU42" s="51" t="n"/>
      <c r="AV42" s="90" t="n"/>
      <c r="AW42" s="1" t="n"/>
      <c r="AX42" s="1" t="n"/>
      <c r="AY42" s="35" t="inlineStr">
        <is>
          <t>DIGICADCAM</t>
        </is>
      </c>
      <c r="AZ42" s="51" t="n"/>
      <c r="BA42" s="90" t="n"/>
    </row>
    <row r="43" ht="30.75" customHeight="1" s="220">
      <c r="A43" s="1" t="n"/>
      <c r="B43" s="96" t="inlineStr">
        <is>
          <t>SINGTEL</t>
        </is>
      </c>
      <c r="C43" s="97" t="n"/>
      <c r="D43" s="1" t="n"/>
      <c r="E43" s="1" t="n"/>
      <c r="F43" s="31" t="inlineStr">
        <is>
          <t>OTHER LAB</t>
        </is>
      </c>
      <c r="G43" s="100" t="n"/>
      <c r="H43" s="101" t="n"/>
      <c r="I43" s="1" t="n"/>
      <c r="J43" s="35" t="inlineStr">
        <is>
          <t>OTHER LAB</t>
        </is>
      </c>
      <c r="K43" s="51" t="n"/>
      <c r="L43" s="101" t="n"/>
      <c r="M43" s="1" t="n"/>
      <c r="N43" s="35" t="inlineStr">
        <is>
          <t>OTHER LAB</t>
        </is>
      </c>
      <c r="O43" s="51" t="n"/>
      <c r="P43" s="101" t="n"/>
      <c r="Q43" s="1" t="n"/>
      <c r="R43" s="31" t="n"/>
      <c r="S43" s="100" t="n"/>
      <c r="T43" s="90" t="n"/>
      <c r="U43" s="1" t="n"/>
      <c r="V43" s="35" t="inlineStr">
        <is>
          <t>OTHER LAB</t>
        </is>
      </c>
      <c r="W43" s="51" t="n"/>
      <c r="X43" s="90" t="n"/>
      <c r="Y43" s="1" t="n"/>
      <c r="Z43" s="35" t="inlineStr">
        <is>
          <t>OTHER LAB</t>
        </is>
      </c>
      <c r="AA43" s="51" t="n"/>
      <c r="AB43" s="90" t="n"/>
      <c r="AC43" s="1" t="n"/>
      <c r="AD43" s="1" t="n"/>
      <c r="AE43" s="35" t="inlineStr">
        <is>
          <t>OTHER LAB</t>
        </is>
      </c>
      <c r="AF43" s="51" t="n"/>
      <c r="AG43" s="90" t="n"/>
      <c r="AH43" s="1" t="n"/>
      <c r="AI43" s="1" t="n"/>
      <c r="AJ43" s="31" t="n"/>
      <c r="AK43" s="100" t="n"/>
      <c r="AL43" s="90" t="n"/>
      <c r="AM43" s="1" t="n"/>
      <c r="AN43" s="1" t="n"/>
      <c r="AO43" s="35" t="inlineStr">
        <is>
          <t>OTHER LAB</t>
        </is>
      </c>
      <c r="AP43" s="51" t="n"/>
      <c r="AQ43" s="90" t="n"/>
      <c r="AR43" s="1" t="n"/>
      <c r="AS43" s="1" t="n"/>
      <c r="AT43" s="35" t="inlineStr">
        <is>
          <t>OTHER LAB</t>
        </is>
      </c>
      <c r="AU43" s="51" t="n"/>
      <c r="AV43" s="90" t="n"/>
      <c r="AW43" s="1" t="n"/>
      <c r="AX43" s="1" t="n"/>
      <c r="AY43" s="35" t="inlineStr">
        <is>
          <t>OTHER LAB</t>
        </is>
      </c>
      <c r="AZ43" s="51" t="n"/>
      <c r="BA43" s="90" t="n"/>
    </row>
    <row r="44" ht="30.75" customHeight="1" s="220">
      <c r="A44" s="1" t="n"/>
      <c r="B44" s="96" t="inlineStr">
        <is>
          <t>PRODUCTS</t>
        </is>
      </c>
      <c r="C44" s="97">
        <f>G37+K37+O37+S59+W37+AA37+AF37+AK59+AP37+AU37+AZ37</f>
        <v/>
      </c>
      <c r="D44" s="1" t="n"/>
      <c r="E44" s="1" t="n"/>
      <c r="F44" s="31" t="inlineStr">
        <is>
          <t>INVISALIGN</t>
        </is>
      </c>
      <c r="G44" s="100" t="n"/>
      <c r="H44" s="101" t="n"/>
      <c r="I44" s="1" t="n"/>
      <c r="J44" s="35" t="inlineStr">
        <is>
          <t>INVISALIGN</t>
        </is>
      </c>
      <c r="K44" s="51" t="n"/>
      <c r="L44" s="101" t="n"/>
      <c r="M44" s="1" t="n"/>
      <c r="N44" s="35" t="inlineStr">
        <is>
          <t>INVISALIGN</t>
        </is>
      </c>
      <c r="O44" s="51" t="n"/>
      <c r="P44" s="90" t="n"/>
      <c r="Q44" s="1" t="n"/>
      <c r="R44" s="31" t="n"/>
      <c r="S44" s="100" t="n"/>
      <c r="T44" s="90" t="n"/>
      <c r="U44" s="1" t="n"/>
      <c r="V44" s="35" t="inlineStr">
        <is>
          <t>INVISALIGN</t>
        </is>
      </c>
      <c r="W44" s="51" t="n"/>
      <c r="X44" s="101" t="n"/>
      <c r="Y44" s="1" t="n"/>
      <c r="Z44" s="35" t="inlineStr">
        <is>
          <t>INVISALIGN</t>
        </is>
      </c>
      <c r="AA44" s="51" t="n"/>
      <c r="AB44" s="90" t="n"/>
      <c r="AC44" s="1" t="n"/>
      <c r="AD44" s="1" t="n"/>
      <c r="AE44" s="35" t="inlineStr">
        <is>
          <t>INVISALIGN</t>
        </is>
      </c>
      <c r="AF44" s="51" t="n"/>
      <c r="AG44" s="90" t="n"/>
      <c r="AH44" s="1" t="n"/>
      <c r="AI44" s="1" t="n"/>
      <c r="AJ44" s="31" t="n"/>
      <c r="AK44" s="100" t="n"/>
      <c r="AL44" s="90" t="n"/>
      <c r="AM44" s="1" t="n"/>
      <c r="AN44" s="1" t="n"/>
      <c r="AO44" s="35" t="inlineStr">
        <is>
          <t>INVISALIGN</t>
        </is>
      </c>
      <c r="AP44" s="51" t="n"/>
      <c r="AQ44" s="90" t="n"/>
      <c r="AR44" s="1" t="n"/>
      <c r="AS44" s="1" t="n"/>
      <c r="AT44" s="35" t="inlineStr">
        <is>
          <t>INVISALIGN</t>
        </is>
      </c>
      <c r="AU44" s="51" t="n"/>
      <c r="AV44" s="90" t="n"/>
      <c r="AW44" s="1" t="n"/>
      <c r="AX44" s="1" t="n"/>
      <c r="AY44" s="35" t="inlineStr">
        <is>
          <t>INVISALIGN</t>
        </is>
      </c>
      <c r="AZ44" s="51" t="n"/>
      <c r="BA44" s="90" t="n"/>
    </row>
    <row r="45" ht="30.75" customHeight="1" s="220">
      <c r="A45" s="1" t="n"/>
      <c r="B45" s="96" t="inlineStr">
        <is>
          <t>ADMIN STAFF &amp; OFFICE RENTAL</t>
        </is>
      </c>
      <c r="C45" s="97" t="n"/>
      <c r="D45" s="1" t="n"/>
      <c r="E45" s="1" t="n"/>
      <c r="F45" s="31" t="inlineStr">
        <is>
          <t>TRANSFER (+)</t>
        </is>
      </c>
      <c r="G45" s="100" t="n"/>
      <c r="H45" s="98" t="n"/>
      <c r="I45" s="1" t="n"/>
      <c r="J45" s="35" t="inlineStr">
        <is>
          <t>TRANSFER (+)</t>
        </is>
      </c>
      <c r="K45" s="51" t="n"/>
      <c r="L45" s="98" t="n"/>
      <c r="M45" s="1" t="n"/>
      <c r="N45" s="35" t="inlineStr">
        <is>
          <t>TRANSFER (+)</t>
        </is>
      </c>
      <c r="O45" s="51" t="n"/>
      <c r="P45" s="90" t="n"/>
      <c r="Q45" s="1" t="n"/>
      <c r="R45" s="31" t="n"/>
      <c r="S45" s="100" t="n"/>
      <c r="T45" s="90" t="n"/>
      <c r="U45" s="1" t="n"/>
      <c r="V45" s="35" t="inlineStr">
        <is>
          <t>TRANSFER (+)</t>
        </is>
      </c>
      <c r="W45" s="51" t="n"/>
      <c r="X45" s="102" t="n"/>
      <c r="Y45" s="1" t="n"/>
      <c r="Z45" s="35" t="inlineStr">
        <is>
          <t>TRANSFER (+)</t>
        </is>
      </c>
      <c r="AA45" s="51" t="n"/>
      <c r="AB45" s="98" t="n"/>
      <c r="AC45" s="1" t="n"/>
      <c r="AD45" s="1" t="n"/>
      <c r="AE45" s="35" t="inlineStr">
        <is>
          <t>TRANSFER (+)</t>
        </is>
      </c>
      <c r="AF45" s="51" t="n"/>
      <c r="AG45" s="98" t="n"/>
      <c r="AH45" s="1" t="n"/>
      <c r="AI45" s="1" t="n"/>
      <c r="AJ45" s="31" t="n"/>
      <c r="AK45" s="100" t="n"/>
      <c r="AL45" s="90" t="n"/>
      <c r="AM45" s="1" t="n"/>
      <c r="AN45" s="1" t="n"/>
      <c r="AO45" s="35" t="inlineStr">
        <is>
          <t>TRANSFER (+)</t>
        </is>
      </c>
      <c r="AP45" s="51" t="n"/>
      <c r="AQ45" s="98" t="n"/>
      <c r="AR45" s="1" t="n"/>
      <c r="AS45" s="1" t="n"/>
      <c r="AT45" s="35" t="inlineStr">
        <is>
          <t>TRANSFER (+)</t>
        </is>
      </c>
      <c r="AU45" s="51" t="n"/>
      <c r="AV45" s="98" t="n"/>
      <c r="AW45" s="1" t="n"/>
      <c r="AX45" s="1" t="n"/>
      <c r="AY45" s="35" t="inlineStr">
        <is>
          <t>TRANSFER (+)</t>
        </is>
      </c>
      <c r="AZ45" s="51" t="n"/>
      <c r="BA45" s="98" t="n"/>
    </row>
    <row r="46" ht="30.75" customHeight="1" s="220">
      <c r="A46" s="1" t="n"/>
      <c r="B46" s="96" t="inlineStr">
        <is>
          <t>SUPPLIERS</t>
        </is>
      </c>
      <c r="C46" s="97" t="n"/>
      <c r="D46" s="1" t="n"/>
      <c r="E46" s="1" t="n"/>
      <c r="F46" s="31" t="inlineStr">
        <is>
          <t>TRANSFER (-)</t>
        </is>
      </c>
      <c r="G46" s="100" t="n"/>
      <c r="H46" s="98" t="n"/>
      <c r="I46" s="1" t="n"/>
      <c r="J46" s="35" t="inlineStr">
        <is>
          <t>TRANSFER (-)</t>
        </is>
      </c>
      <c r="K46" s="51" t="n"/>
      <c r="L46" s="90" t="n"/>
      <c r="M46" s="1" t="n"/>
      <c r="N46" s="35" t="inlineStr">
        <is>
          <t>TRANSFER (-)</t>
        </is>
      </c>
      <c r="O46" s="51" t="n"/>
      <c r="P46" s="90" t="n"/>
      <c r="Q46" s="1" t="n"/>
      <c r="R46" s="31" t="n"/>
      <c r="S46" s="100" t="n"/>
      <c r="T46" s="90" t="n"/>
      <c r="U46" s="1" t="n"/>
      <c r="V46" s="35" t="inlineStr">
        <is>
          <t>TRANSFER (-)</t>
        </is>
      </c>
      <c r="W46" s="51" t="n"/>
      <c r="X46" s="103" t="n"/>
      <c r="Y46" s="1" t="n"/>
      <c r="Z46" s="35" t="inlineStr">
        <is>
          <t>TRANSFER (-)</t>
        </is>
      </c>
      <c r="AA46" s="51" t="n"/>
      <c r="AB46" s="102" t="n"/>
      <c r="AC46" s="1" t="n"/>
      <c r="AD46" s="1" t="n"/>
      <c r="AE46" s="35" t="inlineStr">
        <is>
          <t>TRANSFER (-)</t>
        </is>
      </c>
      <c r="AF46" s="51" t="n"/>
      <c r="AG46" s="102" t="n"/>
      <c r="AH46" s="1" t="n"/>
      <c r="AI46" s="1" t="n"/>
      <c r="AJ46" s="31" t="n"/>
      <c r="AK46" s="100" t="n"/>
      <c r="AL46" s="90" t="n"/>
      <c r="AM46" s="1" t="n"/>
      <c r="AN46" s="1" t="n"/>
      <c r="AO46" s="35" t="inlineStr">
        <is>
          <t>TRANSFER (-)</t>
        </is>
      </c>
      <c r="AP46" s="51" t="n"/>
      <c r="AQ46" s="102" t="n"/>
      <c r="AR46" s="1" t="n"/>
      <c r="AS46" s="1" t="n"/>
      <c r="AT46" s="35" t="inlineStr">
        <is>
          <t>TRANSFER (-)</t>
        </is>
      </c>
      <c r="AU46" s="51" t="n"/>
      <c r="AV46" s="102" t="n"/>
      <c r="AW46" s="1" t="n"/>
      <c r="AX46" s="1" t="n"/>
      <c r="AY46" s="35" t="inlineStr">
        <is>
          <t>TRANSFER (-)</t>
        </is>
      </c>
      <c r="AZ46" s="51" t="n"/>
      <c r="BA46" s="102" t="n"/>
    </row>
    <row r="47" ht="30.75" customHeight="1" s="220">
      <c r="A47" s="1" t="n"/>
      <c r="B47" s="104" t="inlineStr">
        <is>
          <t>VOUCHER</t>
        </is>
      </c>
      <c r="C47" s="97">
        <f>B12</f>
        <v/>
      </c>
      <c r="D47" s="1" t="n"/>
      <c r="E47" s="1" t="n"/>
      <c r="F47" s="52" t="inlineStr">
        <is>
          <t>REFUND/REFERRAL</t>
        </is>
      </c>
      <c r="G47" s="105" t="n"/>
      <c r="H47" s="90" t="n"/>
      <c r="I47" s="1" t="n"/>
      <c r="J47" s="35" t="inlineStr">
        <is>
          <t>REFUND/REFERRAL</t>
        </is>
      </c>
      <c r="K47" s="51" t="n"/>
      <c r="L47" s="90" t="n"/>
      <c r="M47" s="1" t="n"/>
      <c r="N47" s="35" t="inlineStr">
        <is>
          <t>REFUND/REFERRAL</t>
        </is>
      </c>
      <c r="O47" s="51" t="n"/>
      <c r="P47" s="98" t="n"/>
      <c r="Q47" s="1" t="n"/>
      <c r="R47" s="31" t="n"/>
      <c r="S47" s="100" t="n"/>
      <c r="T47" s="90" t="n"/>
      <c r="U47" s="1" t="n"/>
      <c r="V47" s="35" t="inlineStr">
        <is>
          <t>REFUND</t>
        </is>
      </c>
      <c r="W47" s="51" t="n"/>
      <c r="X47" s="90" t="n"/>
      <c r="Y47" s="1" t="n"/>
      <c r="Z47" s="35" t="inlineStr">
        <is>
          <t>REFUND</t>
        </is>
      </c>
      <c r="AA47" s="51" t="n"/>
      <c r="AB47" s="90" t="n"/>
      <c r="AC47" s="1" t="n"/>
      <c r="AD47" s="1" t="n"/>
      <c r="AE47" s="35" t="inlineStr">
        <is>
          <t>REFUND</t>
        </is>
      </c>
      <c r="AF47" s="51" t="n"/>
      <c r="AG47" s="90" t="n"/>
      <c r="AH47" s="1" t="n"/>
      <c r="AI47" s="1" t="n"/>
      <c r="AJ47" s="31" t="n"/>
      <c r="AK47" s="100" t="n"/>
      <c r="AL47" s="90" t="n"/>
      <c r="AM47" s="1" t="n"/>
      <c r="AN47" s="1" t="n"/>
      <c r="AO47" s="35" t="inlineStr">
        <is>
          <t>REFUND</t>
        </is>
      </c>
      <c r="AP47" s="51" t="n"/>
      <c r="AQ47" s="90" t="n"/>
      <c r="AR47" s="1" t="n"/>
      <c r="AS47" s="1" t="n"/>
      <c r="AT47" s="35" t="inlineStr">
        <is>
          <t>REFUND</t>
        </is>
      </c>
      <c r="AU47" s="51" t="n"/>
      <c r="AV47" s="90" t="n"/>
      <c r="AW47" s="1" t="n"/>
      <c r="AX47" s="1" t="n"/>
      <c r="AY47" s="35" t="inlineStr">
        <is>
          <t>REFUND</t>
        </is>
      </c>
      <c r="AZ47" s="51" t="n"/>
      <c r="BA47" s="90" t="n"/>
    </row>
    <row r="48" ht="30.75" customHeight="1" s="220">
      <c r="A48" s="1" t="n"/>
      <c r="B48" s="96" t="inlineStr">
        <is>
          <t>PETTY CASH</t>
        </is>
      </c>
      <c r="C48" s="97" t="n"/>
      <c r="D48" s="1" t="n"/>
      <c r="E48" s="1" t="n"/>
      <c r="F48" s="52" t="inlineStr">
        <is>
          <t>VOUCHER</t>
        </is>
      </c>
      <c r="G48" s="105">
        <f>F12</f>
        <v/>
      </c>
      <c r="H48" s="90" t="n"/>
      <c r="I48" s="1" t="n"/>
      <c r="J48" s="35" t="inlineStr">
        <is>
          <t>VOUCHER</t>
        </is>
      </c>
      <c r="K48" s="51" t="n"/>
      <c r="L48" s="90" t="n"/>
      <c r="M48" s="1" t="n"/>
      <c r="N48" s="35" t="inlineStr">
        <is>
          <t>VOUCHER</t>
        </is>
      </c>
      <c r="O48" s="51" t="n"/>
      <c r="P48" s="90" t="n"/>
      <c r="Q48" s="1" t="n"/>
      <c r="R48" s="31" t="n"/>
      <c r="S48" s="100" t="n"/>
      <c r="T48" s="90" t="n"/>
      <c r="U48" s="1" t="n"/>
      <c r="V48" s="35" t="inlineStr">
        <is>
          <t>VOUCHER</t>
        </is>
      </c>
      <c r="W48" s="51" t="n"/>
      <c r="X48" s="90" t="n"/>
      <c r="Y48" s="1" t="n"/>
      <c r="Z48" s="35" t="inlineStr">
        <is>
          <t>VOUCHER</t>
        </is>
      </c>
      <c r="AA48" s="51" t="n"/>
      <c r="AB48" s="90" t="n"/>
      <c r="AC48" s="1" t="n"/>
      <c r="AD48" s="1" t="n"/>
      <c r="AE48" s="35" t="inlineStr">
        <is>
          <t>SEDATION</t>
        </is>
      </c>
      <c r="AF48" s="51" t="n"/>
      <c r="AG48" s="90" t="n"/>
      <c r="AH48" s="1" t="n"/>
      <c r="AI48" s="1" t="n"/>
      <c r="AJ48" s="31" t="n"/>
      <c r="AK48" s="100" t="n"/>
      <c r="AL48" s="90" t="n"/>
      <c r="AM48" s="1" t="n"/>
      <c r="AN48" s="1" t="n"/>
      <c r="AO48" s="35" t="inlineStr">
        <is>
          <t>SEDATION</t>
        </is>
      </c>
      <c r="AP48" s="51" t="n"/>
      <c r="AQ48" s="90" t="n"/>
      <c r="AR48" s="1" t="n"/>
      <c r="AS48" s="1" t="n"/>
      <c r="AT48" s="35" t="inlineStr">
        <is>
          <t>SEDATION</t>
        </is>
      </c>
      <c r="AU48" s="51" t="n"/>
      <c r="AV48" s="90" t="n"/>
      <c r="AW48" s="1" t="n"/>
      <c r="AX48" s="1" t="n"/>
      <c r="AY48" s="35" t="inlineStr">
        <is>
          <t>SEDATION</t>
        </is>
      </c>
      <c r="AZ48" s="51" t="n"/>
      <c r="BA48" s="90" t="n"/>
    </row>
    <row r="49" ht="30.75" customHeight="1" s="220">
      <c r="A49" s="1" t="n"/>
      <c r="B49" s="96" t="inlineStr">
        <is>
          <t>STOCKS / CONSUMABLES FEES</t>
        </is>
      </c>
      <c r="C49" s="97" t="n"/>
      <c r="D49" s="1" t="n"/>
      <c r="E49" s="1" t="n"/>
      <c r="F49" s="31" t="inlineStr">
        <is>
          <t>RETAINERS/BT/SPLINT</t>
        </is>
      </c>
      <c r="G49" s="105" t="n"/>
      <c r="H49" s="90" t="n"/>
      <c r="I49" s="1" t="n"/>
      <c r="J49" s="35" t="inlineStr">
        <is>
          <t>RETAINERS/BT/SPLINT</t>
        </is>
      </c>
      <c r="K49" s="51" t="n"/>
      <c r="L49" s="90" t="n"/>
      <c r="M49" s="1" t="n"/>
      <c r="N49" s="35" t="inlineStr">
        <is>
          <t>RETAINERS/BT/SPLINT</t>
        </is>
      </c>
      <c r="O49" s="51" t="n"/>
      <c r="P49" s="90" t="n"/>
      <c r="Q49" s="1" t="n"/>
      <c r="R49" s="31" t="n"/>
      <c r="S49" s="100" t="n"/>
      <c r="T49" s="90" t="n"/>
      <c r="U49" s="1" t="n"/>
      <c r="V49" s="35" t="inlineStr">
        <is>
          <t>RETAINERS/BT/SPLINT</t>
        </is>
      </c>
      <c r="W49" s="51" t="n"/>
      <c r="X49" s="90" t="n"/>
      <c r="Y49" s="1" t="n"/>
      <c r="Z49" s="35" t="inlineStr">
        <is>
          <t>RETAINERS/BT/SPLINT</t>
        </is>
      </c>
      <c r="AA49" s="51" t="n"/>
      <c r="AB49" s="90" t="n"/>
      <c r="AC49" s="1" t="n"/>
      <c r="AD49" s="1" t="n"/>
      <c r="AE49" s="35" t="inlineStr">
        <is>
          <t>RETAINERS/BT/SPLINT</t>
        </is>
      </c>
      <c r="AF49" s="51" t="n"/>
      <c r="AG49" s="90" t="n"/>
      <c r="AH49" s="1" t="n"/>
      <c r="AI49" s="1" t="n"/>
      <c r="AJ49" s="31" t="n"/>
      <c r="AK49" s="100" t="n"/>
      <c r="AL49" s="90" t="n"/>
      <c r="AM49" s="1" t="n"/>
      <c r="AN49" s="1" t="n"/>
      <c r="AO49" s="35" t="inlineStr">
        <is>
          <t>RETAINERS/BT/SPLINT</t>
        </is>
      </c>
      <c r="AP49" s="51" t="n"/>
      <c r="AQ49" s="90" t="n"/>
      <c r="AR49" s="1" t="n"/>
      <c r="AS49" s="1" t="n"/>
      <c r="AT49" s="35" t="inlineStr">
        <is>
          <t>RETAINERS/BT/SPLINT</t>
        </is>
      </c>
      <c r="AU49" s="51" t="n"/>
      <c r="AV49" s="90" t="n"/>
      <c r="AW49" s="1" t="n"/>
      <c r="AX49" s="1" t="n"/>
      <c r="AY49" s="35" t="inlineStr">
        <is>
          <t>RETAINERS/BT/SPLINT</t>
        </is>
      </c>
      <c r="AZ49" s="51" t="n"/>
      <c r="BA49" s="90" t="n"/>
    </row>
    <row r="50" ht="30.75" customHeight="1" s="220">
      <c r="A50" s="1" t="n"/>
      <c r="B50" s="96" t="inlineStr">
        <is>
          <t xml:space="preserve">MARKETING FEE </t>
        </is>
      </c>
      <c r="C50" s="97" t="n"/>
      <c r="D50" s="1" t="n"/>
      <c r="E50" s="1" t="n"/>
      <c r="F50" s="31" t="inlineStr">
        <is>
          <t>INSTALLMENT</t>
        </is>
      </c>
      <c r="G50" s="105" t="n"/>
      <c r="H50" s="106" t="n"/>
      <c r="I50" s="1" t="n"/>
      <c r="J50" s="35" t="inlineStr">
        <is>
          <t>INSTALLMENT</t>
        </is>
      </c>
      <c r="K50" s="51" t="n"/>
      <c r="L50" s="106" t="n"/>
      <c r="M50" s="1" t="n"/>
      <c r="N50" s="35" t="inlineStr">
        <is>
          <t>INSTALLMENT</t>
        </is>
      </c>
      <c r="O50" s="51" t="n"/>
      <c r="P50" s="90" t="n"/>
      <c r="Q50" s="1" t="n"/>
      <c r="R50" s="31" t="n"/>
      <c r="S50" s="100" t="n"/>
      <c r="T50" s="90" t="n"/>
      <c r="U50" s="1" t="n"/>
      <c r="V50" s="35" t="inlineStr">
        <is>
          <t>INSTALLMENT</t>
        </is>
      </c>
      <c r="W50" s="51" t="n"/>
      <c r="X50" s="90" t="n"/>
      <c r="Y50" s="1" t="n"/>
      <c r="Z50" s="35" t="inlineStr">
        <is>
          <t>INSTALLMENT</t>
        </is>
      </c>
      <c r="AA50" s="51" t="n"/>
      <c r="AB50" s="90" t="n"/>
      <c r="AC50" s="1" t="n"/>
      <c r="AD50" s="1" t="n"/>
      <c r="AE50" s="35" t="inlineStr">
        <is>
          <t>INSTALLMENT</t>
        </is>
      </c>
      <c r="AF50" s="51" t="n"/>
      <c r="AG50" s="90" t="n"/>
      <c r="AH50" s="1" t="n"/>
      <c r="AI50" s="1" t="n"/>
      <c r="AJ50" s="31" t="n"/>
      <c r="AK50" s="100" t="n"/>
      <c r="AL50" s="90" t="n"/>
      <c r="AM50" s="1" t="n"/>
      <c r="AN50" s="1" t="n"/>
      <c r="AO50" s="35" t="inlineStr">
        <is>
          <t>INSTALLMENT</t>
        </is>
      </c>
      <c r="AP50" s="51" t="n"/>
      <c r="AQ50" s="90" t="n"/>
      <c r="AR50" s="1" t="n"/>
      <c r="AS50" s="1" t="n"/>
      <c r="AT50" s="35" t="inlineStr">
        <is>
          <t>INSTALLMENT</t>
        </is>
      </c>
      <c r="AU50" s="51" t="n"/>
      <c r="AV50" s="90" t="n"/>
      <c r="AW50" s="1" t="n"/>
      <c r="AX50" s="1" t="n"/>
      <c r="AY50" s="35" t="inlineStr">
        <is>
          <t>INSTALLMENT</t>
        </is>
      </c>
      <c r="AZ50" s="51" t="n"/>
      <c r="BA50" s="90" t="n"/>
    </row>
    <row r="51" ht="30.75" customHeight="1" s="220">
      <c r="A51" s="1" t="n"/>
      <c r="B51" s="96" t="inlineStr">
        <is>
          <t>INVISALIGN</t>
        </is>
      </c>
      <c r="C51" s="97">
        <f>G44+K44+O44+S66+W44+AA44+AF44+AK66+AP44+AU44</f>
        <v/>
      </c>
      <c r="D51" s="1" t="n"/>
      <c r="E51" s="1" t="n"/>
      <c r="F51" s="35" t="inlineStr">
        <is>
          <t>DEDUCTIONS</t>
        </is>
      </c>
      <c r="G51" s="51" t="n"/>
      <c r="H51" s="101" t="n"/>
      <c r="I51" s="1" t="n"/>
      <c r="J51" s="35" t="inlineStr">
        <is>
          <t>DEDUCTIONS</t>
        </is>
      </c>
      <c r="K51" s="51" t="n"/>
      <c r="L51" s="90" t="n"/>
      <c r="M51" s="1" t="n"/>
      <c r="N51" s="35" t="inlineStr">
        <is>
          <t>DEDUCTIONS</t>
        </is>
      </c>
      <c r="O51" s="51" t="n"/>
      <c r="P51" s="90" t="n"/>
      <c r="Q51" s="1" t="n"/>
      <c r="R51" s="31" t="n"/>
      <c r="S51" s="100" t="n"/>
      <c r="T51" s="90" t="n"/>
      <c r="U51" s="1" t="n"/>
      <c r="V51" s="35" t="inlineStr">
        <is>
          <t>DEDUCTIONS</t>
        </is>
      </c>
      <c r="W51" s="51" t="n"/>
      <c r="X51" s="106" t="n"/>
      <c r="Y51" s="1" t="n"/>
      <c r="Z51" s="35" t="inlineStr">
        <is>
          <t>DEDUCTIONS</t>
        </is>
      </c>
      <c r="AA51" s="51" t="n"/>
      <c r="AB51" s="102" t="n"/>
      <c r="AC51" s="1" t="n"/>
      <c r="AD51" s="1" t="n"/>
      <c r="AE51" s="35" t="inlineStr">
        <is>
          <t>DEDUCTIONS</t>
        </is>
      </c>
      <c r="AF51" s="51" t="n"/>
      <c r="AG51" s="102" t="n"/>
      <c r="AH51" s="1" t="n"/>
      <c r="AI51" s="1" t="n"/>
      <c r="AJ51" s="31" t="n"/>
      <c r="AK51" s="100" t="n"/>
      <c r="AL51" s="90" t="n"/>
      <c r="AM51" s="1" t="n"/>
      <c r="AN51" s="1" t="n"/>
      <c r="AO51" s="35" t="inlineStr">
        <is>
          <t>DEDUCTIONS</t>
        </is>
      </c>
      <c r="AP51" s="51" t="n"/>
      <c r="AQ51" s="102" t="n"/>
      <c r="AR51" s="1" t="n"/>
      <c r="AS51" s="1" t="n"/>
      <c r="AT51" s="35" t="inlineStr">
        <is>
          <t>DEDUCTIONS</t>
        </is>
      </c>
      <c r="AU51" s="51" t="n"/>
      <c r="AV51" s="102" t="n"/>
      <c r="AW51" s="1" t="n"/>
      <c r="AX51" s="1" t="n"/>
      <c r="AY51" s="35" t="inlineStr">
        <is>
          <t>DEDUCTIONS</t>
        </is>
      </c>
      <c r="AZ51" s="51" t="n"/>
      <c r="BA51" s="102" t="n"/>
    </row>
    <row r="52" ht="30.75" customHeight="1" s="220">
      <c r="A52" s="1" t="n"/>
      <c r="B52" s="96" t="inlineStr">
        <is>
          <t>IMPLANT</t>
        </is>
      </c>
      <c r="C52" s="97">
        <f>G40+O40+S62+W40+AA40+AF40+K40+AK62+AP40+AU40</f>
        <v/>
      </c>
      <c r="D52" s="1" t="n"/>
      <c r="E52" s="1" t="n"/>
      <c r="F52" s="107" t="n"/>
      <c r="G52" s="108" t="n"/>
      <c r="H52" s="1" t="n"/>
      <c r="I52" s="1" t="n"/>
      <c r="J52" s="107" t="n"/>
      <c r="K52" s="108" t="n"/>
      <c r="L52" s="1" t="n"/>
      <c r="M52" s="1" t="n"/>
      <c r="N52" s="107" t="n"/>
      <c r="O52" s="108" t="n"/>
      <c r="P52" s="1" t="n"/>
      <c r="Q52" s="1" t="n"/>
      <c r="R52" s="31" t="n"/>
      <c r="S52" s="100" t="n"/>
      <c r="T52" s="90" t="n"/>
      <c r="U52" s="1" t="n"/>
      <c r="V52" s="107" t="n"/>
      <c r="W52" s="108" t="n"/>
      <c r="X52" s="1" t="n"/>
      <c r="Y52" s="1" t="n"/>
      <c r="Z52" s="107" t="n"/>
      <c r="AA52" s="108" t="n"/>
      <c r="AB52" s="1" t="n"/>
      <c r="AC52" s="1" t="n"/>
      <c r="AD52" s="1" t="n"/>
      <c r="AE52" s="107" t="n"/>
      <c r="AF52" s="108" t="n"/>
      <c r="AG52" s="1" t="n"/>
      <c r="AH52" s="1" t="n"/>
      <c r="AI52" s="1" t="n"/>
      <c r="AJ52" s="31" t="n"/>
      <c r="AK52" s="100" t="n"/>
      <c r="AL52" s="90" t="n"/>
      <c r="AM52" s="1" t="n"/>
      <c r="AN52" s="1" t="n"/>
      <c r="AO52" s="107" t="n"/>
      <c r="AP52" s="108" t="n"/>
      <c r="AQ52" s="1" t="n"/>
      <c r="AR52" s="1" t="n"/>
      <c r="AS52" s="1" t="n"/>
      <c r="AT52" s="107" t="n"/>
      <c r="AU52" s="108" t="n"/>
      <c r="AV52" s="1" t="n"/>
      <c r="AW52" s="1" t="n"/>
      <c r="AX52" s="1" t="n"/>
      <c r="AY52" s="107" t="n"/>
      <c r="AZ52" s="108" t="n"/>
      <c r="BA52" s="1" t="n"/>
    </row>
    <row r="53" ht="30.75" customHeight="1" s="220">
      <c r="A53" s="1" t="n"/>
      <c r="B53" s="96" t="inlineStr">
        <is>
          <t>SKYLAB</t>
        </is>
      </c>
      <c r="C53" s="97">
        <f>G41+O41+W41+S63+K41+AA41+AF41+AK63+AP41+AU41</f>
        <v/>
      </c>
      <c r="D53" s="1" t="n"/>
      <c r="E53" s="1" t="n"/>
      <c r="F53" s="61" t="inlineStr">
        <is>
          <t>TOTAL</t>
        </is>
      </c>
      <c r="G53" s="109">
        <f>F31-G34-G35-G37-G36-G38-G39-G40-G41-G42-G43-G44+G45-G46-G47-G48-G49-G50-G51</f>
        <v/>
      </c>
      <c r="H53" s="90" t="n"/>
      <c r="I53" s="1" t="n"/>
      <c r="J53" s="61" t="inlineStr">
        <is>
          <t>TOTAL</t>
        </is>
      </c>
      <c r="K53" s="109">
        <f>J31-K34-K35-K36-K37-K38-K39-K40-K41-K42-K43-K44+K45-K46-K47-K48-K49-K50-K51</f>
        <v/>
      </c>
      <c r="L53" s="90" t="n"/>
      <c r="M53" s="1" t="n"/>
      <c r="N53" s="61" t="inlineStr">
        <is>
          <t>TOTAL</t>
        </is>
      </c>
      <c r="O53" s="109">
        <f>N31-O34-O35-O36-O37-O38-O39-O40-O41-O42-O43-O44+O45-O46-O47-O48-O49-O50-O51</f>
        <v/>
      </c>
      <c r="P53" s="90" t="n"/>
      <c r="Q53" s="1" t="n"/>
      <c r="R53" s="31" t="n"/>
      <c r="S53" s="100" t="n"/>
      <c r="T53" s="90" t="n"/>
      <c r="U53" s="1" t="n"/>
      <c r="V53" s="61" t="inlineStr">
        <is>
          <t>TOTAL</t>
        </is>
      </c>
      <c r="W53" s="109">
        <f>V31-W34-W35-W36-W37-W38-W39-W40-W41-W42-W43-W44+W45-W46-W47-W48-W49-W50-W51</f>
        <v/>
      </c>
      <c r="X53" s="90" t="n"/>
      <c r="Y53" s="1" t="n"/>
      <c r="Z53" s="61" t="inlineStr">
        <is>
          <t>TOTAL</t>
        </is>
      </c>
      <c r="AA53" s="109">
        <f>Z31-AA34-AA35-AA36-AA37-AA38-AA39-AA40-AA41-AA42-AA43-AA44+AA45-AA46-AA47-AA48-AA49-AA50-AA51</f>
        <v/>
      </c>
      <c r="AB53" s="182" t="n"/>
      <c r="AC53" s="1" t="n"/>
      <c r="AD53" s="1" t="n"/>
      <c r="AE53" s="61" t="inlineStr">
        <is>
          <t>TOTAL</t>
        </is>
      </c>
      <c r="AF53" s="109">
        <f>AE31-AF34-AF35-AF36-AF37-AF38-AF39-AF40-AF41-AF42-AF43-AF44+AF45-AF46-AF47-AF48-AF49-AF50-AF51</f>
        <v/>
      </c>
      <c r="AG53" s="90" t="n"/>
      <c r="AH53" s="1" t="n"/>
      <c r="AI53" s="1" t="n"/>
      <c r="AJ53" s="31" t="n"/>
      <c r="AK53" s="100" t="n"/>
      <c r="AL53" s="90" t="n"/>
      <c r="AM53" s="1" t="n"/>
      <c r="AN53" s="1" t="n"/>
      <c r="AO53" s="61" t="inlineStr">
        <is>
          <t>TOTAL</t>
        </is>
      </c>
      <c r="AP53" s="109">
        <f>AO31-AP34-AP35-AP36-AP37-AP38-AP39-AP40-AP41-AP42-AP43-AP44+AP45-AP46-AP47-AP48-AP49-AP50-AP51</f>
        <v/>
      </c>
      <c r="AQ53" s="90" t="n"/>
      <c r="AR53" s="1" t="n"/>
      <c r="AS53" s="1" t="n"/>
      <c r="AT53" s="61" t="inlineStr">
        <is>
          <t>TOTAL</t>
        </is>
      </c>
      <c r="AU53" s="109">
        <f>AT31-AU34-AU35-AU36-AU37-AU38-AU39-AU40-AU41-AU42-AU43-AU44+AU45-AU46-AU47-AU48-AU49-AU50-AU51</f>
        <v/>
      </c>
      <c r="AV53" s="90" t="n"/>
      <c r="AW53" s="1" t="n"/>
      <c r="AX53" s="1" t="n"/>
      <c r="AY53" s="61" t="inlineStr">
        <is>
          <t>TOTAL</t>
        </is>
      </c>
      <c r="AZ53" s="109">
        <f>AY31-AZ34-AZ35-AZ36-AZ37-AZ38-AZ39-AZ40-AZ41-AZ42-AZ43-AZ44+AZ45-AZ46-AZ47-AZ48-AZ49-AZ50-AZ51</f>
        <v/>
      </c>
      <c r="BA53" s="90" t="n"/>
    </row>
    <row r="54" ht="30.75" customHeight="1" s="220">
      <c r="A54" s="1" t="n"/>
      <c r="B54" s="96" t="inlineStr">
        <is>
          <t>DIGICADCAM</t>
        </is>
      </c>
      <c r="C54" s="97">
        <f>G42+O42+W42+AA42+AF42+S64+K42+AK64+AP42+AU42</f>
        <v/>
      </c>
      <c r="D54" s="1" t="n"/>
      <c r="E54" s="1" t="n"/>
      <c r="F54" s="110" t="inlineStr">
        <is>
          <t>DOCTORS FEE BEFORE DEDUCTION</t>
        </is>
      </c>
      <c r="G54" s="111">
        <f>G53/2+G55</f>
        <v/>
      </c>
      <c r="H54" s="90" t="n"/>
      <c r="I54" s="1" t="n"/>
      <c r="J54" s="110" t="inlineStr">
        <is>
          <t>DOCTORS FEE BEFORE DEDUCTION</t>
        </is>
      </c>
      <c r="K54" s="111">
        <f>K53/2+K55</f>
        <v/>
      </c>
      <c r="L54" s="90" t="n"/>
      <c r="M54" s="1" t="n"/>
      <c r="N54" s="112" t="inlineStr">
        <is>
          <t>DOCTORS PAY</t>
        </is>
      </c>
      <c r="O54" s="111">
        <f>(O53*50%)+O55</f>
        <v/>
      </c>
      <c r="P54" s="90" t="n"/>
      <c r="Q54" s="1" t="n"/>
      <c r="R54" s="31" t="n"/>
      <c r="S54" s="100" t="n"/>
      <c r="T54" s="90" t="n"/>
      <c r="U54" s="1" t="n"/>
      <c r="V54" s="112" t="inlineStr">
        <is>
          <t>DOCTORS PAY</t>
        </is>
      </c>
      <c r="W54" s="111">
        <f>(W53*50%)+W55</f>
        <v/>
      </c>
      <c r="X54" s="90" t="n"/>
      <c r="Y54" s="1" t="n"/>
      <c r="Z54" s="112" t="inlineStr">
        <is>
          <t>DOCTORS PAY</t>
        </is>
      </c>
      <c r="AA54" s="111">
        <f>(AA53*50%)+AA55</f>
        <v/>
      </c>
      <c r="AB54" s="90" t="n"/>
      <c r="AC54" s="1" t="n"/>
      <c r="AD54" s="1" t="n"/>
      <c r="AE54" s="112" t="inlineStr">
        <is>
          <t>DOCTORS PAY</t>
        </is>
      </c>
      <c r="AF54" s="111">
        <f>(AF53*40%)+AF55</f>
        <v/>
      </c>
      <c r="AG54" s="90" t="n"/>
      <c r="AH54" s="1" t="n"/>
      <c r="AI54" s="1" t="n"/>
      <c r="AJ54" s="31" t="n"/>
      <c r="AK54" s="100" t="n"/>
      <c r="AL54" s="90" t="n"/>
      <c r="AM54" s="1" t="n"/>
      <c r="AN54" s="1" t="n"/>
      <c r="AO54" s="112" t="inlineStr">
        <is>
          <t>DOCTORS PAY</t>
        </is>
      </c>
      <c r="AP54" s="111">
        <f>(AP53*45%)+AP55</f>
        <v/>
      </c>
      <c r="AQ54" s="90" t="n"/>
      <c r="AR54" s="1" t="n"/>
      <c r="AS54" s="1" t="n"/>
      <c r="AT54" s="112" t="inlineStr">
        <is>
          <t>DOCTORS PAY</t>
        </is>
      </c>
      <c r="AU54" s="111">
        <f>(AU53*50%)+AU55</f>
        <v/>
      </c>
      <c r="AV54" s="90" t="n"/>
      <c r="AW54" s="1" t="n"/>
      <c r="AX54" s="1" t="n"/>
      <c r="AY54" s="112" t="inlineStr">
        <is>
          <t>DOCTORS PAY</t>
        </is>
      </c>
      <c r="AZ54" s="111">
        <f>(AZ53*50%)+AZ55</f>
        <v/>
      </c>
      <c r="BA54" s="90" t="n"/>
    </row>
    <row r="55" ht="30.75" customHeight="1" s="220">
      <c r="A55" s="1" t="n"/>
      <c r="B55" s="113" t="inlineStr">
        <is>
          <t xml:space="preserve">OTHER LAB </t>
        </is>
      </c>
      <c r="C55" s="97">
        <f>G43+O43+K43+S65+W43+AA43+AF43+AK65+AP43+AU43</f>
        <v/>
      </c>
      <c r="D55" s="1" t="n"/>
      <c r="E55" s="1" t="n"/>
      <c r="F55" s="50" t="inlineStr">
        <is>
          <t>ADJUSTMENTS (+)</t>
        </is>
      </c>
      <c r="G55" s="36" t="n"/>
      <c r="H55" s="98" t="n"/>
      <c r="I55" s="1" t="n"/>
      <c r="J55" s="50" t="inlineStr">
        <is>
          <t>ADJUSTMENTS (+)</t>
        </is>
      </c>
      <c r="K55" s="36" t="n"/>
      <c r="L55" s="90" t="n"/>
      <c r="M55" s="1" t="n"/>
      <c r="N55" s="50" t="inlineStr">
        <is>
          <t>ADJUSTMENTS (+)</t>
        </is>
      </c>
      <c r="O55" s="36" t="n"/>
      <c r="P55" s="90" t="n"/>
      <c r="Q55" s="1" t="n"/>
      <c r="R55" s="31" t="n"/>
      <c r="S55" s="100" t="n"/>
      <c r="T55" s="90" t="n"/>
      <c r="U55" s="1" t="n"/>
      <c r="V55" s="50" t="inlineStr">
        <is>
          <t>ADJUSTMENTS (+)</t>
        </is>
      </c>
      <c r="W55" s="36" t="n"/>
      <c r="X55" s="114" t="n"/>
      <c r="Y55" s="1" t="n"/>
      <c r="Z55" s="50" t="inlineStr">
        <is>
          <t>ADJUSTMENTS (+)</t>
        </is>
      </c>
      <c r="AA55" s="36" t="n"/>
      <c r="AB55" s="90" t="n"/>
      <c r="AC55" s="1" t="n"/>
      <c r="AD55" s="1" t="n"/>
      <c r="AE55" s="50" t="inlineStr">
        <is>
          <t>ADJUSTMENTS (+)</t>
        </is>
      </c>
      <c r="AF55" s="36" t="n"/>
      <c r="AG55" s="98" t="n"/>
      <c r="AH55" s="1" t="n"/>
      <c r="AI55" s="1" t="n"/>
      <c r="AJ55" s="31" t="n"/>
      <c r="AK55" s="100" t="n"/>
      <c r="AL55" s="90" t="n"/>
      <c r="AM55" s="1" t="n"/>
      <c r="AN55" s="1" t="n"/>
      <c r="AO55" s="50" t="inlineStr">
        <is>
          <t>ADJUSTMENTS (+)</t>
        </is>
      </c>
      <c r="AP55" s="36" t="n"/>
      <c r="AQ55" s="98" t="n"/>
      <c r="AR55" s="1" t="n"/>
      <c r="AS55" s="1" t="n"/>
      <c r="AT55" s="50" t="inlineStr">
        <is>
          <t>ADJUSTMENTS (+)</t>
        </is>
      </c>
      <c r="AU55" s="36" t="n"/>
      <c r="AV55" s="98" t="n"/>
      <c r="AW55" s="1" t="n"/>
      <c r="AX55" s="1" t="n"/>
      <c r="AY55" s="50" t="inlineStr">
        <is>
          <t>ADJUSTMENTS (+)</t>
        </is>
      </c>
      <c r="AZ55" s="36" t="n"/>
      <c r="BA55" s="98" t="n"/>
    </row>
    <row r="56" ht="42" customHeight="1" s="220">
      <c r="A56" s="1" t="n"/>
      <c r="B56" s="96" t="inlineStr">
        <is>
          <t>ORTHO (B+B)</t>
        </is>
      </c>
      <c r="C56" s="97">
        <f>G38+K38+O38+S60+W38+AA38+AF38+AK60+AP38+AU38</f>
        <v/>
      </c>
      <c r="D56" s="1" t="n"/>
      <c r="E56" s="1" t="n"/>
      <c r="F56" s="50" t="inlineStr">
        <is>
          <t>ADJUSTMENTS (-)</t>
        </is>
      </c>
      <c r="G56" s="115">
        <f>G61+G65</f>
        <v/>
      </c>
      <c r="H56" s="114" t="inlineStr">
        <is>
          <t>ADDN MARKETING&amp; MEDISAVE ADMIN</t>
        </is>
      </c>
      <c r="I56" s="1" t="n"/>
      <c r="J56" s="50" t="inlineStr">
        <is>
          <t>ADJUSTMENTS (-)</t>
        </is>
      </c>
      <c r="K56" s="115">
        <f>K61+K65</f>
        <v/>
      </c>
      <c r="L56" s="114" t="inlineStr">
        <is>
          <t>ADDN MARKETING &amp;
MEDISAVE ADMIN</t>
        </is>
      </c>
      <c r="M56" s="1" t="n"/>
      <c r="N56" s="50" t="inlineStr">
        <is>
          <t>ADJUSTMENTS (-)</t>
        </is>
      </c>
      <c r="O56" s="115">
        <f>O61+O65</f>
        <v/>
      </c>
      <c r="P56" s="114" t="inlineStr">
        <is>
          <t>ADDN MARKETING &amp; MEDISAVE ADMIN</t>
        </is>
      </c>
      <c r="Q56" s="1" t="n"/>
      <c r="R56" s="31" t="n"/>
      <c r="S56" s="100" t="n"/>
      <c r="T56" s="90" t="n"/>
      <c r="U56" s="1" t="n"/>
      <c r="V56" s="50" t="inlineStr">
        <is>
          <t>ADJUSTMENTS (-)</t>
        </is>
      </c>
      <c r="W56" s="116">
        <f>W61+W65</f>
        <v/>
      </c>
      <c r="X56" s="114" t="inlineStr">
        <is>
          <t>ADDN MKTRG &amp; MEDISAVE ADMIN</t>
        </is>
      </c>
      <c r="Y56" s="1" t="n"/>
      <c r="Z56" s="50" t="inlineStr">
        <is>
          <t>ADJUSTMENTS (-)</t>
        </is>
      </c>
      <c r="AA56" s="115">
        <f>AA61+AA65</f>
        <v/>
      </c>
      <c r="AB56" s="102" t="inlineStr">
        <is>
          <t>MARKETING FEE &amp; MEDISAVE ADMIN</t>
        </is>
      </c>
      <c r="AC56" s="1" t="n"/>
      <c r="AD56" s="1" t="n"/>
      <c r="AE56" s="50" t="inlineStr">
        <is>
          <t>ADJUSTMENTS (-)</t>
        </is>
      </c>
      <c r="AF56" s="116">
        <f>AF61+AF65</f>
        <v/>
      </c>
      <c r="AG56" s="102" t="inlineStr">
        <is>
          <t>MARKETING FEE &amp; MEDISAVE ADMIN</t>
        </is>
      </c>
      <c r="AH56" s="1" t="n"/>
      <c r="AI56" s="1" t="n"/>
      <c r="AJ56" s="31" t="n"/>
      <c r="AK56" s="100" t="n"/>
      <c r="AL56" s="90" t="n"/>
      <c r="AM56" s="1" t="n"/>
      <c r="AN56" s="1" t="n"/>
      <c r="AO56" s="50" t="inlineStr">
        <is>
          <t>ADJUSTMENTS (-)</t>
        </is>
      </c>
      <c r="AP56" s="116">
        <f>AP61+AP65</f>
        <v/>
      </c>
      <c r="AQ56" s="102" t="inlineStr">
        <is>
          <t>MARKETING FEE &amp; MEDISAVE ADMIN</t>
        </is>
      </c>
      <c r="AR56" s="1" t="n"/>
      <c r="AS56" s="1" t="n"/>
      <c r="AT56" s="50" t="inlineStr">
        <is>
          <t>ADJUSTMENTS (-)</t>
        </is>
      </c>
      <c r="AU56" s="116">
        <f>AU61+AU65</f>
        <v/>
      </c>
      <c r="AV56" s="102" t="inlineStr">
        <is>
          <t>MARKETING FEE &amp; MEDISAVE ADMIN</t>
        </is>
      </c>
      <c r="AW56" s="1" t="n"/>
      <c r="AX56" s="1" t="n"/>
      <c r="AY56" s="50" t="inlineStr">
        <is>
          <t>ADJUSTMENTS (-)</t>
        </is>
      </c>
      <c r="AZ56" s="116">
        <f>AZ61+AZ65</f>
        <v/>
      </c>
      <c r="BA56" s="102" t="inlineStr">
        <is>
          <t>MARKETING FEE &amp; MEDISAVE ADMIN</t>
        </is>
      </c>
    </row>
    <row r="57" ht="30.75" customHeight="1" s="220">
      <c r="A57" s="1" t="n"/>
      <c r="B57" s="96" t="inlineStr">
        <is>
          <t>ABUTMENT</t>
        </is>
      </c>
      <c r="C57" s="97">
        <f>O39+G39+K39+S61+AA39+W39+AF39+AK61</f>
        <v/>
      </c>
      <c r="D57" s="1" t="n"/>
      <c r="E57" s="1" t="n"/>
      <c r="F57" s="50" t="inlineStr">
        <is>
          <t>NET PAY</t>
        </is>
      </c>
      <c r="G57" s="111">
        <f>G54-G56</f>
        <v/>
      </c>
      <c r="H57" s="90" t="n"/>
      <c r="I57" s="1" t="n"/>
      <c r="J57" s="50" t="inlineStr">
        <is>
          <t>NET PAY</t>
        </is>
      </c>
      <c r="K57" s="111">
        <f>K54-K56</f>
        <v/>
      </c>
      <c r="L57" s="90" t="n"/>
      <c r="M57" s="1" t="n"/>
      <c r="N57" s="50" t="inlineStr">
        <is>
          <t>NET PAY</t>
        </is>
      </c>
      <c r="O57" s="111">
        <f>O54-O56</f>
        <v/>
      </c>
      <c r="P57" s="90" t="n"/>
      <c r="Q57" s="1" t="n"/>
      <c r="R57" s="31" t="n"/>
      <c r="S57" s="100" t="n"/>
      <c r="T57" s="90" t="n"/>
      <c r="U57" s="1" t="n"/>
      <c r="V57" s="50" t="inlineStr">
        <is>
          <t>NET PAY</t>
        </is>
      </c>
      <c r="W57" s="111">
        <f>W54-W56</f>
        <v/>
      </c>
      <c r="X57" s="90" t="n"/>
      <c r="Y57" s="1" t="n"/>
      <c r="Z57" s="50" t="inlineStr">
        <is>
          <t>NET PAY</t>
        </is>
      </c>
      <c r="AA57" s="111">
        <f>AA54-AA56</f>
        <v/>
      </c>
      <c r="AB57" s="90" t="n"/>
      <c r="AC57" s="1" t="n"/>
      <c r="AD57" s="1" t="n"/>
      <c r="AE57" s="50" t="inlineStr">
        <is>
          <t>NET PAY</t>
        </is>
      </c>
      <c r="AF57" s="111">
        <f>AF54-AF56</f>
        <v/>
      </c>
      <c r="AG57" s="90" t="n"/>
      <c r="AH57" s="1" t="n"/>
      <c r="AI57" s="1" t="n"/>
      <c r="AJ57" s="31" t="n"/>
      <c r="AK57" s="100" t="n"/>
      <c r="AL57" s="90" t="n"/>
      <c r="AM57" s="1" t="n"/>
      <c r="AN57" s="1" t="n"/>
      <c r="AO57" s="50" t="inlineStr">
        <is>
          <t>NET PAY</t>
        </is>
      </c>
      <c r="AP57" s="111">
        <f>AP54-AP56</f>
        <v/>
      </c>
      <c r="AQ57" s="90" t="n"/>
      <c r="AR57" s="1" t="n"/>
      <c r="AS57" s="1" t="n"/>
      <c r="AT57" s="50" t="inlineStr">
        <is>
          <t>NET PAY</t>
        </is>
      </c>
      <c r="AU57" s="111">
        <f>AU54-AU56</f>
        <v/>
      </c>
      <c r="AV57" s="90" t="n"/>
      <c r="AW57" s="1" t="n"/>
      <c r="AX57" s="1" t="n"/>
      <c r="AY57" s="50" t="inlineStr">
        <is>
          <t>NET PAY</t>
        </is>
      </c>
      <c r="AZ57" s="111">
        <f>AZ54-AZ56</f>
        <v/>
      </c>
      <c r="BA57" s="90" t="n"/>
    </row>
    <row r="58" ht="30.75" customHeight="1" s="220">
      <c r="A58" s="1" t="inlineStr">
        <is>
          <t> </t>
        </is>
      </c>
      <c r="B58" s="96" t="inlineStr">
        <is>
          <t>REFUND / REFERRAL</t>
        </is>
      </c>
      <c r="C58" s="97">
        <f>G47+K47+O47+S69+W47+AA47+AF47+AK69</f>
        <v/>
      </c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31" t="inlineStr">
        <is>
          <t>ICC-5</t>
        </is>
      </c>
      <c r="S58" s="100" t="n"/>
      <c r="T58" s="90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31" t="inlineStr">
        <is>
          <t>ICC-5</t>
        </is>
      </c>
      <c r="AK58" s="100" t="n"/>
      <c r="AL58" s="90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</row>
    <row r="59" ht="30.75" customHeight="1" s="220">
      <c r="A59" s="1" t="n"/>
      <c r="B59" s="96" t="inlineStr">
        <is>
          <t>DOCTORS PAY</t>
        </is>
      </c>
      <c r="C59" s="97">
        <f>G54+K54+O54+W54+AA54+AF54+AP54+AU54+AZ54</f>
        <v/>
      </c>
      <c r="D59" s="1" t="n"/>
      <c r="E59" s="1" t="n"/>
      <c r="F59" s="117" t="inlineStr">
        <is>
          <t>MEDISAVE ADMIN FEE CALCULATION:</t>
        </is>
      </c>
      <c r="G59" s="1" t="n"/>
      <c r="H59" s="1" t="n"/>
      <c r="I59" s="1" t="n"/>
      <c r="J59" s="117" t="inlineStr">
        <is>
          <t>MEDISAVE ADMIN FEE CALCULATION:</t>
        </is>
      </c>
      <c r="K59" s="1" t="n"/>
      <c r="L59" s="1" t="n"/>
      <c r="M59" s="1" t="n"/>
      <c r="N59" s="117" t="inlineStr">
        <is>
          <t>MEDISAVE ADMIN FEE CALCULATION:</t>
        </is>
      </c>
      <c r="O59" s="1" t="n"/>
      <c r="P59" s="1" t="n"/>
      <c r="Q59" s="1" t="n"/>
      <c r="R59" s="31" t="inlineStr">
        <is>
          <t>PRODUCTS</t>
        </is>
      </c>
      <c r="S59" s="100" t="n"/>
      <c r="T59" s="90" t="n"/>
      <c r="U59" s="1" t="n"/>
      <c r="V59" s="117" t="inlineStr">
        <is>
          <t>MEDISAVE ADMIN FEE CALCULATION:</t>
        </is>
      </c>
      <c r="W59" s="1" t="n"/>
      <c r="X59" s="1" t="n"/>
      <c r="Y59" s="1" t="n"/>
      <c r="Z59" s="117" t="inlineStr">
        <is>
          <t>MEDISAVE ADMIN FEE CALCULATION:</t>
        </is>
      </c>
      <c r="AA59" s="1" t="n"/>
      <c r="AB59" s="1" t="n"/>
      <c r="AC59" s="1" t="n"/>
      <c r="AD59" s="1" t="n"/>
      <c r="AE59" s="117" t="inlineStr">
        <is>
          <t>MEDISAVE ADMIN FEE CALCULATION:</t>
        </is>
      </c>
      <c r="AF59" s="1" t="n"/>
      <c r="AG59" s="1" t="n"/>
      <c r="AH59" s="1" t="n"/>
      <c r="AI59" s="1" t="n"/>
      <c r="AJ59" s="31" t="inlineStr">
        <is>
          <t>PRODUCTS</t>
        </is>
      </c>
      <c r="AK59" s="100" t="n"/>
      <c r="AL59" s="90" t="n"/>
      <c r="AM59" s="1" t="n"/>
      <c r="AN59" s="1" t="n"/>
      <c r="AO59" s="117" t="inlineStr">
        <is>
          <t>MEDISAVE ADMIN FEE CALCULATION:</t>
        </is>
      </c>
      <c r="AP59" s="1" t="n"/>
      <c r="AQ59" s="1" t="n"/>
      <c r="AR59" s="1" t="n"/>
      <c r="AS59" s="1" t="n"/>
      <c r="AT59" s="117" t="inlineStr">
        <is>
          <t>MEDISAVE ADMIN FEE CALCULATION:</t>
        </is>
      </c>
      <c r="AU59" s="1" t="n"/>
      <c r="AV59" s="1" t="n"/>
      <c r="AW59" s="1" t="n"/>
      <c r="AX59" s="1" t="n"/>
      <c r="AY59" s="117" t="inlineStr">
        <is>
          <t>MEDISAVE ADMIN FEE CALCULATION:</t>
        </is>
      </c>
      <c r="AZ59" s="1" t="n"/>
      <c r="BA59" s="1" t="n"/>
    </row>
    <row r="60" ht="30.75" customHeight="1" s="220">
      <c r="A60" s="1" t="n"/>
      <c r="B60" s="96" t="inlineStr">
        <is>
          <t>NURSE PAY (BASIC PAY)</t>
        </is>
      </c>
      <c r="C60" s="97" t="n"/>
      <c r="D60" s="1" t="n"/>
      <c r="E60" s="1" t="n"/>
      <c r="F60" s="118" t="inlineStr">
        <is>
          <t>Medisave Claim</t>
        </is>
      </c>
      <c r="G60" s="119" t="inlineStr">
        <is>
          <t>Admin Fee</t>
        </is>
      </c>
      <c r="H60" s="119" t="inlineStr">
        <is>
          <t>REMARKS</t>
        </is>
      </c>
      <c r="I60" s="1" t="n"/>
      <c r="J60" s="118" t="inlineStr">
        <is>
          <t>Medisave Claim</t>
        </is>
      </c>
      <c r="K60" s="119" t="inlineStr">
        <is>
          <t>Admin Fee</t>
        </is>
      </c>
      <c r="L60" s="119" t="inlineStr">
        <is>
          <t>REMARKS</t>
        </is>
      </c>
      <c r="M60" s="1" t="n"/>
      <c r="N60" s="118" t="inlineStr">
        <is>
          <t>Medisave Claim</t>
        </is>
      </c>
      <c r="O60" s="119" t="inlineStr">
        <is>
          <t>Admin Fee</t>
        </is>
      </c>
      <c r="P60" s="119" t="inlineStr">
        <is>
          <t>REMARKS</t>
        </is>
      </c>
      <c r="Q60" s="1" t="n"/>
      <c r="R60" s="31" t="inlineStr">
        <is>
          <t>ORTHO (B+B)</t>
        </is>
      </c>
      <c r="S60" s="100" t="n"/>
      <c r="T60" s="90" t="n"/>
      <c r="U60" s="1" t="n"/>
      <c r="V60" s="118" t="inlineStr">
        <is>
          <t>Medisave Claim</t>
        </is>
      </c>
      <c r="W60" s="119" t="inlineStr">
        <is>
          <t>Admin Fee</t>
        </is>
      </c>
      <c r="X60" s="119" t="inlineStr">
        <is>
          <t>REMARKS</t>
        </is>
      </c>
      <c r="Y60" s="1" t="n"/>
      <c r="Z60" s="118" t="inlineStr">
        <is>
          <t>Medisave Claim</t>
        </is>
      </c>
      <c r="AA60" s="119" t="inlineStr">
        <is>
          <t>Admin Fee</t>
        </is>
      </c>
      <c r="AB60" s="119" t="inlineStr">
        <is>
          <t>REMARKS</t>
        </is>
      </c>
      <c r="AC60" s="1" t="n"/>
      <c r="AD60" s="1" t="n"/>
      <c r="AE60" s="118" t="inlineStr">
        <is>
          <t>Medisave Claim</t>
        </is>
      </c>
      <c r="AF60" s="119" t="inlineStr">
        <is>
          <t>Admin Fee</t>
        </is>
      </c>
      <c r="AG60" s="119" t="inlineStr">
        <is>
          <t>REMARKS</t>
        </is>
      </c>
      <c r="AH60" s="1" t="n"/>
      <c r="AI60" s="1" t="n"/>
      <c r="AJ60" s="31" t="inlineStr">
        <is>
          <t>ORTHO (B+B)</t>
        </is>
      </c>
      <c r="AK60" s="100" t="n"/>
      <c r="AL60" s="90" t="n"/>
      <c r="AM60" s="1" t="n"/>
      <c r="AN60" s="1" t="n"/>
      <c r="AO60" s="118" t="inlineStr">
        <is>
          <t>Medisave Claim</t>
        </is>
      </c>
      <c r="AP60" s="119" t="inlineStr">
        <is>
          <t>Admin Fee</t>
        </is>
      </c>
      <c r="AQ60" s="119" t="inlineStr">
        <is>
          <t>REMARKS</t>
        </is>
      </c>
      <c r="AR60" s="1" t="n"/>
      <c r="AS60" s="1" t="n"/>
      <c r="AT60" s="118" t="inlineStr">
        <is>
          <t>Medisave Claim</t>
        </is>
      </c>
      <c r="AU60" s="119" t="inlineStr">
        <is>
          <t>Admin Fee</t>
        </is>
      </c>
      <c r="AV60" s="119" t="inlineStr">
        <is>
          <t>REMARKS</t>
        </is>
      </c>
      <c r="AW60" s="1" t="n"/>
      <c r="AX60" s="1" t="n"/>
      <c r="AY60" s="118" t="inlineStr">
        <is>
          <t>Medisave Claim</t>
        </is>
      </c>
      <c r="AZ60" s="119" t="inlineStr">
        <is>
          <t>Admin Fee</t>
        </is>
      </c>
      <c r="BA60" s="119" t="inlineStr">
        <is>
          <t>REMARKS</t>
        </is>
      </c>
    </row>
    <row r="61" ht="30.75" customHeight="1" s="220">
      <c r="A61" s="1" t="n"/>
      <c r="B61" s="96" t="inlineStr">
        <is>
          <t>NURSE PAY (INCENTIVE)</t>
        </is>
      </c>
      <c r="C61" s="97" t="n"/>
      <c r="D61" s="1" t="n"/>
      <c r="E61" s="1" t="n"/>
      <c r="F61" s="120" t="n"/>
      <c r="G61" s="121">
        <f>F61*20</f>
        <v/>
      </c>
      <c r="H61" s="121" t="n"/>
      <c r="I61" s="1" t="n"/>
      <c r="J61" s="120" t="n"/>
      <c r="K61" s="121">
        <f>J61*20</f>
        <v/>
      </c>
      <c r="L61" s="121" t="n"/>
      <c r="M61" s="1" t="n"/>
      <c r="N61" s="120" t="n"/>
      <c r="O61" s="121">
        <f>N61*20</f>
        <v/>
      </c>
      <c r="P61" s="121" t="n"/>
      <c r="Q61" s="1" t="n"/>
      <c r="R61" s="31" t="inlineStr">
        <is>
          <t>ABUTMENTS</t>
        </is>
      </c>
      <c r="S61" s="100" t="n"/>
      <c r="T61" s="90" t="n"/>
      <c r="U61" s="1" t="n"/>
      <c r="V61" s="120" t="n"/>
      <c r="W61" s="121">
        <f>V61*20</f>
        <v/>
      </c>
      <c r="X61" s="121" t="n"/>
      <c r="Y61" s="1" t="n"/>
      <c r="Z61" s="120" t="n"/>
      <c r="AA61" s="121">
        <f>Z61*20</f>
        <v/>
      </c>
      <c r="AB61" s="121" t="n"/>
      <c r="AC61" s="1" t="n"/>
      <c r="AD61" s="1" t="n"/>
      <c r="AE61" s="120" t="n"/>
      <c r="AF61" s="121">
        <f>AE61*20</f>
        <v/>
      </c>
      <c r="AG61" s="121" t="n"/>
      <c r="AH61" s="1" t="n"/>
      <c r="AI61" s="1" t="n"/>
      <c r="AJ61" s="31" t="inlineStr">
        <is>
          <t>ABUTMENTS</t>
        </is>
      </c>
      <c r="AK61" s="100" t="n"/>
      <c r="AL61" s="90" t="n"/>
      <c r="AM61" s="1" t="n"/>
      <c r="AN61" s="1" t="n"/>
      <c r="AO61" s="120" t="n"/>
      <c r="AP61" s="121">
        <f>AO61*20</f>
        <v/>
      </c>
      <c r="AQ61" s="121" t="n"/>
      <c r="AR61" s="1" t="n"/>
      <c r="AS61" s="1" t="n"/>
      <c r="AT61" s="120" t="n">
        <v>2</v>
      </c>
      <c r="AU61" s="121">
        <f>AT61*20</f>
        <v/>
      </c>
      <c r="AV61" s="121" t="n"/>
      <c r="AW61" s="1" t="n"/>
      <c r="AX61" s="1" t="n"/>
      <c r="AY61" s="120" t="n"/>
      <c r="AZ61" s="121">
        <f>AY61*20</f>
        <v/>
      </c>
      <c r="BA61" s="121" t="n"/>
    </row>
    <row r="62" ht="30.75" customHeight="1" s="220">
      <c r="A62" s="1" t="n"/>
      <c r="B62" s="96" t="inlineStr">
        <is>
          <t>NURSE TRANSFER FEE</t>
        </is>
      </c>
      <c r="C62" s="97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31" t="inlineStr">
        <is>
          <t>IMPLANT</t>
        </is>
      </c>
      <c r="S62" s="100" t="n"/>
      <c r="T62" s="90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31" t="inlineStr">
        <is>
          <t>IMPLANT</t>
        </is>
      </c>
      <c r="AK62" s="100" t="n"/>
      <c r="AL62" s="90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</row>
    <row r="63" ht="30.75" customHeight="1" s="220">
      <c r="A63" s="1" t="inlineStr">
        <is>
          <t> </t>
        </is>
      </c>
      <c r="B63" s="96" t="inlineStr">
        <is>
          <t>TANK CULTURE</t>
        </is>
      </c>
      <c r="C63" s="97" t="n">
        <v>163.5</v>
      </c>
      <c r="D63" s="1" t="n"/>
      <c r="E63" s="1" t="n"/>
      <c r="F63" s="122" t="inlineStr">
        <is>
          <t>ADDITIONAL MARKETING:</t>
        </is>
      </c>
      <c r="G63" s="1" t="n"/>
      <c r="H63" s="1" t="n"/>
      <c r="I63" s="1" t="n"/>
      <c r="J63" s="122" t="inlineStr">
        <is>
          <t>ADDITIONAL MARKETING:</t>
        </is>
      </c>
      <c r="K63" s="1" t="n"/>
      <c r="L63" s="1" t="n"/>
      <c r="M63" s="1" t="n"/>
      <c r="N63" s="122" t="inlineStr">
        <is>
          <t>ADDITIONAL MARKETING:</t>
        </is>
      </c>
      <c r="O63" s="1" t="n"/>
      <c r="P63" s="1" t="n"/>
      <c r="Q63" s="1" t="n"/>
      <c r="R63" s="31" t="inlineStr">
        <is>
          <t>SKY LAB</t>
        </is>
      </c>
      <c r="S63" s="100" t="n"/>
      <c r="T63" s="90" t="n"/>
      <c r="U63" s="1" t="n"/>
      <c r="V63" s="122" t="inlineStr">
        <is>
          <t>ADDITIONAL MARKETING:</t>
        </is>
      </c>
      <c r="W63" s="1" t="n"/>
      <c r="X63" s="1" t="n"/>
      <c r="Y63" s="1" t="n"/>
      <c r="Z63" s="122" t="inlineStr">
        <is>
          <t>ADDITIONAL MARKETING:</t>
        </is>
      </c>
      <c r="AA63" s="1" t="n"/>
      <c r="AB63" s="1" t="n"/>
      <c r="AC63" s="1" t="n"/>
      <c r="AD63" s="1" t="n"/>
      <c r="AE63" s="122" t="inlineStr">
        <is>
          <t>ADDITIONAL MARKETING:</t>
        </is>
      </c>
      <c r="AF63" s="1" t="n"/>
      <c r="AG63" s="1" t="n"/>
      <c r="AH63" s="1" t="n"/>
      <c r="AI63" s="1" t="n"/>
      <c r="AJ63" s="31" t="inlineStr">
        <is>
          <t>SKY LAB</t>
        </is>
      </c>
      <c r="AK63" s="100" t="n"/>
      <c r="AL63" s="90" t="n"/>
      <c r="AM63" s="1" t="n"/>
      <c r="AN63" s="1" t="n"/>
      <c r="AO63" s="122" t="inlineStr">
        <is>
          <t>ADDITIONAL MARKETING:</t>
        </is>
      </c>
      <c r="AP63" s="1" t="n"/>
      <c r="AQ63" s="1" t="n"/>
      <c r="AR63" s="1" t="n"/>
      <c r="AS63" s="1" t="n"/>
      <c r="AT63" s="122" t="inlineStr">
        <is>
          <t>ADDITIONAL MARKETING:</t>
        </is>
      </c>
      <c r="AU63" s="1" t="n"/>
      <c r="AV63" s="1" t="n"/>
      <c r="AW63" s="1" t="n"/>
      <c r="AX63" s="1" t="n"/>
      <c r="AY63" s="122" t="inlineStr">
        <is>
          <t>ADDITIONAL MARKETING:</t>
        </is>
      </c>
      <c r="AZ63" s="1" t="n"/>
      <c r="BA63" s="1" t="n"/>
    </row>
    <row r="64" ht="30.75" customHeight="1" s="220">
      <c r="A64" s="1" t="inlineStr">
        <is>
          <t> </t>
        </is>
      </c>
      <c r="B64" s="96" t="inlineStr">
        <is>
          <t>SHARP BIN</t>
        </is>
      </c>
      <c r="C64" s="97" t="n"/>
      <c r="D64" s="1" t="n"/>
      <c r="E64" s="1" t="n"/>
      <c r="F64" s="123" t="inlineStr">
        <is>
          <t xml:space="preserve">MONTH </t>
        </is>
      </c>
      <c r="G64" s="124" t="inlineStr">
        <is>
          <t>AMOUNT</t>
        </is>
      </c>
      <c r="H64" s="124" t="inlineStr">
        <is>
          <t>REMARKS</t>
        </is>
      </c>
      <c r="I64" s="1" t="n"/>
      <c r="J64" s="123" t="inlineStr">
        <is>
          <t xml:space="preserve">MONTH </t>
        </is>
      </c>
      <c r="K64" s="124" t="inlineStr">
        <is>
          <t>AMOUNT</t>
        </is>
      </c>
      <c r="L64" s="124" t="inlineStr">
        <is>
          <t>REMARKS</t>
        </is>
      </c>
      <c r="M64" s="1" t="n"/>
      <c r="N64" s="123" t="inlineStr">
        <is>
          <t xml:space="preserve">MONTH </t>
        </is>
      </c>
      <c r="O64" s="124" t="inlineStr">
        <is>
          <t>AMOUNT</t>
        </is>
      </c>
      <c r="P64" s="124" t="inlineStr">
        <is>
          <t>REMARKS</t>
        </is>
      </c>
      <c r="Q64" s="1" t="n"/>
      <c r="R64" s="31" t="inlineStr">
        <is>
          <t>DIGICADCAM</t>
        </is>
      </c>
      <c r="S64" s="100" t="n"/>
      <c r="T64" s="90" t="n"/>
      <c r="U64" s="1" t="n"/>
      <c r="V64" s="123" t="inlineStr">
        <is>
          <t xml:space="preserve">MONTH </t>
        </is>
      </c>
      <c r="W64" s="124" t="inlineStr">
        <is>
          <t>AMOUNT</t>
        </is>
      </c>
      <c r="X64" s="124" t="inlineStr">
        <is>
          <t>REMARKS</t>
        </is>
      </c>
      <c r="Y64" s="1" t="n"/>
      <c r="Z64" s="123" t="inlineStr">
        <is>
          <t xml:space="preserve">MONTH </t>
        </is>
      </c>
      <c r="AA64" s="124" t="inlineStr">
        <is>
          <t>AMOUNT</t>
        </is>
      </c>
      <c r="AB64" s="124" t="inlineStr">
        <is>
          <t>REMARKS</t>
        </is>
      </c>
      <c r="AC64" s="1" t="n"/>
      <c r="AD64" s="1" t="n"/>
      <c r="AE64" s="123" t="inlineStr">
        <is>
          <t xml:space="preserve">MONTH </t>
        </is>
      </c>
      <c r="AF64" s="124" t="inlineStr">
        <is>
          <t>AMOUNT</t>
        </is>
      </c>
      <c r="AG64" s="124" t="inlineStr">
        <is>
          <t>REMARKS</t>
        </is>
      </c>
      <c r="AH64" s="1" t="n"/>
      <c r="AI64" s="1" t="n"/>
      <c r="AJ64" s="31" t="inlineStr">
        <is>
          <t>DIGICADCAM</t>
        </is>
      </c>
      <c r="AK64" s="100" t="n"/>
      <c r="AL64" s="90" t="n"/>
      <c r="AM64" s="1" t="n"/>
      <c r="AN64" s="1" t="n"/>
      <c r="AO64" s="123" t="inlineStr">
        <is>
          <t xml:space="preserve">MONTH </t>
        </is>
      </c>
      <c r="AP64" s="124" t="inlineStr">
        <is>
          <t>AMOUNT</t>
        </is>
      </c>
      <c r="AQ64" s="124" t="inlineStr">
        <is>
          <t>REMARKS</t>
        </is>
      </c>
      <c r="AR64" s="1" t="n"/>
      <c r="AS64" s="1" t="n"/>
      <c r="AT64" s="123" t="inlineStr">
        <is>
          <t xml:space="preserve">MONTH </t>
        </is>
      </c>
      <c r="AU64" s="124" t="inlineStr">
        <is>
          <t>AMOUNT</t>
        </is>
      </c>
      <c r="AV64" s="124" t="inlineStr">
        <is>
          <t>REMARKS</t>
        </is>
      </c>
      <c r="AW64" s="1" t="n"/>
      <c r="AX64" s="1" t="n"/>
      <c r="AY64" s="123" t="inlineStr">
        <is>
          <t xml:space="preserve">MONTH </t>
        </is>
      </c>
      <c r="AZ64" s="124" t="inlineStr">
        <is>
          <t>AMOUNT</t>
        </is>
      </c>
      <c r="BA64" s="124" t="inlineStr">
        <is>
          <t>REMARKS</t>
        </is>
      </c>
    </row>
    <row r="65" ht="41.25" customHeight="1" s="220">
      <c r="A65" s="1" t="n"/>
      <c r="B65" s="96" t="inlineStr">
        <is>
          <t>COURIER</t>
        </is>
      </c>
      <c r="C65" s="97" t="n">
        <v>129.44</v>
      </c>
      <c r="D65" s="1" t="n"/>
      <c r="E65" s="1" t="n"/>
      <c r="F65" s="125">
        <f>B3</f>
        <v/>
      </c>
      <c r="G65" s="128" t="n"/>
      <c r="H65" s="127" t="n"/>
      <c r="I65" s="1" t="n"/>
      <c r="J65" s="125">
        <f>F65</f>
        <v/>
      </c>
      <c r="K65" s="128" t="n">
        <v>120</v>
      </c>
      <c r="L65" s="127" t="n"/>
      <c r="M65" s="1" t="n"/>
      <c r="N65" s="125">
        <f>F65</f>
        <v/>
      </c>
      <c r="O65" s="128" t="n">
        <v>150</v>
      </c>
      <c r="P65" s="127" t="n"/>
      <c r="Q65" s="1" t="n"/>
      <c r="R65" s="31" t="inlineStr">
        <is>
          <t>OTHER LAB</t>
        </is>
      </c>
      <c r="S65" s="100" t="n"/>
      <c r="T65" s="90" t="n"/>
      <c r="U65" s="1" t="n"/>
      <c r="V65" s="125">
        <f>V3</f>
        <v/>
      </c>
      <c r="W65" s="128" t="n">
        <v>150</v>
      </c>
      <c r="X65" s="127" t="n"/>
      <c r="Y65" s="1" t="n"/>
      <c r="Z65" s="125">
        <f>V65</f>
        <v/>
      </c>
      <c r="AA65" s="128" t="n">
        <v>180</v>
      </c>
      <c r="AB65" s="127" t="n"/>
      <c r="AC65" s="1" t="n"/>
      <c r="AD65" s="1" t="n"/>
      <c r="AE65" s="125">
        <f>AE3</f>
        <v/>
      </c>
      <c r="AF65" s="128" t="n">
        <v>150</v>
      </c>
      <c r="AG65" s="127" t="n"/>
      <c r="AH65" s="1" t="n"/>
      <c r="AI65" s="1" t="n"/>
      <c r="AJ65" s="31" t="inlineStr">
        <is>
          <t>OTHER LAB</t>
        </is>
      </c>
      <c r="AK65" s="100" t="n"/>
      <c r="AL65" s="90" t="n"/>
      <c r="AM65" s="1" t="n"/>
      <c r="AN65" s="1" t="n"/>
      <c r="AO65" s="125">
        <f>AO3</f>
        <v/>
      </c>
      <c r="AP65" s="128" t="n">
        <v>120</v>
      </c>
      <c r="AQ65" s="127" t="n"/>
      <c r="AR65" s="1" t="n"/>
      <c r="AS65" s="1" t="n"/>
      <c r="AT65" s="125">
        <f>AT3</f>
        <v/>
      </c>
      <c r="AU65" s="128" t="n">
        <v>150</v>
      </c>
      <c r="AV65" s="127" t="n"/>
      <c r="AW65" s="1" t="n"/>
      <c r="AX65" s="1" t="n"/>
      <c r="AY65" s="125">
        <f>AY3</f>
        <v/>
      </c>
      <c r="AZ65" s="128" t="n"/>
      <c r="BA65" s="127" t="n"/>
    </row>
    <row r="66" ht="36" customHeight="1" s="220">
      <c r="A66" s="1" t="n"/>
      <c r="B66" s="96" t="inlineStr">
        <is>
          <t>REPAIR &amp; MAINTENANCE</t>
        </is>
      </c>
      <c r="C66" s="97" t="n"/>
      <c r="D66" s="2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31" t="inlineStr">
        <is>
          <t>INVISALIGN</t>
        </is>
      </c>
      <c r="S66" s="100" t="n"/>
      <c r="T66" s="90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31" t="inlineStr">
        <is>
          <t>INVISALIGN</t>
        </is>
      </c>
      <c r="AK66" s="100" t="n"/>
      <c r="AL66" s="90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</row>
    <row r="67" ht="33" customHeight="1" s="220">
      <c r="A67" s="1" t="n"/>
      <c r="B67" s="131" t="inlineStr">
        <is>
          <t>MOM LEVY</t>
        </is>
      </c>
      <c r="C67" s="130">
        <f>400+400+600</f>
        <v/>
      </c>
      <c r="D67" s="1" t="n"/>
      <c r="E67" s="1" t="n"/>
      <c r="F67" s="122" t="inlineStr">
        <is>
          <t>OTHERS: (CPF,PERSONAL REFUND, COURSEFEE)</t>
        </is>
      </c>
      <c r="G67" s="1" t="n"/>
      <c r="H67" s="1" t="n"/>
      <c r="I67" s="1" t="n"/>
      <c r="J67" s="122" t="inlineStr">
        <is>
          <t>OTHERS: (CPF,PERSONAL REFUND, COURSEFEE)</t>
        </is>
      </c>
      <c r="K67" s="1" t="n"/>
      <c r="L67" s="1" t="n"/>
      <c r="M67" s="1" t="n"/>
      <c r="N67" s="122" t="inlineStr">
        <is>
          <t>OTHERS: (CPF,PERSONAL REFUND, COURSEFEE)</t>
        </is>
      </c>
      <c r="O67" s="1" t="n"/>
      <c r="P67" s="1" t="n"/>
      <c r="Q67" s="1" t="n"/>
      <c r="R67" s="31" t="inlineStr">
        <is>
          <t>TRANSFER (+)</t>
        </is>
      </c>
      <c r="S67" s="100" t="n"/>
      <c r="T67" s="90" t="n"/>
      <c r="U67" s="1" t="n"/>
      <c r="V67" s="122" t="inlineStr">
        <is>
          <t>OTHERS: (CPF,PERSONAL REFUND, COURSEFEE)</t>
        </is>
      </c>
      <c r="W67" s="1" t="n"/>
      <c r="X67" s="1" t="n"/>
      <c r="Y67" s="1" t="n"/>
      <c r="Z67" s="122" t="inlineStr">
        <is>
          <t>OTHERS: (CPF,PERSONAL REFUND, COURSEFEE)</t>
        </is>
      </c>
      <c r="AA67" s="1" t="n"/>
      <c r="AB67" s="1" t="n"/>
      <c r="AC67" s="1" t="n"/>
      <c r="AD67" s="1" t="n"/>
      <c r="AE67" s="122" t="inlineStr">
        <is>
          <t>OTHERS: (CPF,PERSONAL REFUND, COURSEFEE)</t>
        </is>
      </c>
      <c r="AF67" s="1" t="n"/>
      <c r="AG67" s="1" t="n"/>
      <c r="AH67" s="1" t="n"/>
      <c r="AI67" s="1" t="n"/>
      <c r="AJ67" s="31" t="inlineStr">
        <is>
          <t>TRANSFER (+)</t>
        </is>
      </c>
      <c r="AK67" s="100" t="n"/>
      <c r="AL67" s="98" t="n"/>
      <c r="AM67" s="1" t="n"/>
      <c r="AN67" s="1" t="n"/>
      <c r="AO67" s="122" t="inlineStr">
        <is>
          <t>OTHERS: (CPF,PERSONAL REFUND, COURSEFEE)</t>
        </is>
      </c>
      <c r="AP67" s="1" t="n"/>
      <c r="AQ67" s="1" t="n"/>
      <c r="AR67" s="1" t="n"/>
      <c r="AS67" s="1" t="n"/>
      <c r="AT67" s="122" t="inlineStr">
        <is>
          <t>OTHERS: (CPF,PERSONAL REFUND, COURSEFEE)</t>
        </is>
      </c>
      <c r="AU67" s="1" t="n"/>
      <c r="AV67" s="1" t="n"/>
      <c r="AW67" s="1" t="n"/>
      <c r="AX67" s="1" t="n"/>
      <c r="AY67" s="122" t="inlineStr">
        <is>
          <t>OTHERS: (CPF,PERSONAL REFUND, COURSEFEE)</t>
        </is>
      </c>
      <c r="AZ67" s="1" t="n"/>
      <c r="BA67" s="1" t="n"/>
    </row>
    <row r="68" ht="33.75" customHeight="1" s="220">
      <c r="A68" s="1" t="n"/>
      <c r="B68" s="131" t="inlineStr">
        <is>
          <t>PURCHASE PC</t>
        </is>
      </c>
      <c r="C68" s="130" t="n"/>
      <c r="D68" s="1" t="n"/>
      <c r="E68" s="1" t="n"/>
      <c r="F68" s="122" t="n"/>
      <c r="G68" s="1" t="n"/>
      <c r="H68" s="1" t="n"/>
      <c r="I68" s="1" t="n"/>
      <c r="J68" s="122" t="n"/>
      <c r="K68" s="1" t="n"/>
      <c r="L68" s="1" t="n"/>
      <c r="M68" s="1" t="n"/>
      <c r="N68" s="122" t="n"/>
      <c r="O68" s="1" t="n"/>
      <c r="P68" s="1" t="n"/>
      <c r="Q68" s="1" t="n"/>
      <c r="R68" s="31" t="inlineStr">
        <is>
          <t>TRANSFER (-)</t>
        </is>
      </c>
      <c r="S68" s="100" t="n"/>
      <c r="T68" s="90" t="n"/>
      <c r="U68" s="1" t="n"/>
      <c r="V68" s="122" t="n"/>
      <c r="W68" s="1" t="n"/>
      <c r="X68" s="1" t="n"/>
      <c r="Y68" s="1" t="n"/>
      <c r="Z68" s="122" t="n"/>
      <c r="AA68" s="1" t="n"/>
      <c r="AB68" s="1" t="n"/>
      <c r="AC68" s="1" t="n"/>
      <c r="AD68" s="1" t="n"/>
      <c r="AE68" s="122" t="n"/>
      <c r="AF68" s="1" t="n"/>
      <c r="AG68" s="1" t="n"/>
      <c r="AH68" s="1" t="n"/>
      <c r="AI68" s="1" t="n"/>
      <c r="AJ68" s="31" t="inlineStr">
        <is>
          <t>TRANSFER (-)</t>
        </is>
      </c>
      <c r="AK68" s="100" t="n"/>
      <c r="AL68" s="102" t="n"/>
      <c r="AM68" s="1" t="n"/>
      <c r="AN68" s="1" t="n"/>
      <c r="AO68" s="122" t="n"/>
      <c r="AP68" s="1" t="n"/>
      <c r="AQ68" s="1" t="n"/>
      <c r="AR68" s="1" t="n"/>
      <c r="AS68" s="1" t="n"/>
      <c r="AT68" s="122" t="n"/>
      <c r="AU68" s="1" t="n"/>
      <c r="AV68" s="1" t="n"/>
      <c r="AW68" s="1" t="n"/>
      <c r="AX68" s="1" t="n"/>
      <c r="AY68" s="122" t="n"/>
      <c r="AZ68" s="1" t="n"/>
      <c r="BA68" s="1" t="n"/>
    </row>
    <row r="69" ht="45" customHeight="1" s="220">
      <c r="A69" s="1" t="n"/>
      <c r="B69" s="90" t="n"/>
      <c r="C69" s="90" t="n"/>
      <c r="D69" s="1" t="n"/>
      <c r="E69" s="1" t="n"/>
      <c r="F69" s="134" t="inlineStr">
        <is>
          <t>DETAILS</t>
        </is>
      </c>
      <c r="G69" s="134" t="inlineStr">
        <is>
          <t>AMOUNT</t>
        </is>
      </c>
      <c r="H69" s="127" t="n"/>
      <c r="I69" s="1" t="n"/>
      <c r="J69" s="134" t="inlineStr">
        <is>
          <t>DETAILS</t>
        </is>
      </c>
      <c r="K69" s="134" t="inlineStr">
        <is>
          <t>AMOUNT</t>
        </is>
      </c>
      <c r="L69" s="127" t="n"/>
      <c r="M69" s="1" t="n"/>
      <c r="N69" s="134" t="inlineStr">
        <is>
          <t>DETAILS</t>
        </is>
      </c>
      <c r="O69" s="134" t="inlineStr">
        <is>
          <t>AMOUNT</t>
        </is>
      </c>
      <c r="P69" s="127" t="n"/>
      <c r="Q69" s="1" t="n"/>
      <c r="R69" s="52" t="inlineStr">
        <is>
          <t>REFUND</t>
        </is>
      </c>
      <c r="S69" s="105" t="n"/>
      <c r="T69" s="90" t="n"/>
      <c r="U69" s="1" t="n"/>
      <c r="V69" s="134" t="inlineStr">
        <is>
          <t>DETAILS</t>
        </is>
      </c>
      <c r="W69" s="134" t="inlineStr">
        <is>
          <t>AMOUNT</t>
        </is>
      </c>
      <c r="X69" s="127" t="n"/>
      <c r="Y69" s="1" t="n"/>
      <c r="Z69" s="134" t="inlineStr">
        <is>
          <t>DETAILS</t>
        </is>
      </c>
      <c r="AA69" s="134" t="inlineStr">
        <is>
          <t>AMOUNT</t>
        </is>
      </c>
      <c r="AB69" s="127" t="n"/>
      <c r="AC69" s="1" t="n"/>
      <c r="AD69" s="1" t="n"/>
      <c r="AE69" s="134" t="inlineStr">
        <is>
          <t>DETAILS</t>
        </is>
      </c>
      <c r="AF69" s="134" t="inlineStr">
        <is>
          <t>AMOUNT</t>
        </is>
      </c>
      <c r="AG69" s="127" t="n"/>
      <c r="AH69" s="1" t="n"/>
      <c r="AI69" s="1" t="n"/>
      <c r="AJ69" s="52" t="inlineStr">
        <is>
          <t>REFUND</t>
        </is>
      </c>
      <c r="AK69" s="105" t="n"/>
      <c r="AL69" s="90" t="n"/>
      <c r="AM69" s="1" t="n"/>
      <c r="AN69" s="1" t="n"/>
      <c r="AO69" s="134" t="inlineStr">
        <is>
          <t>DETAILS</t>
        </is>
      </c>
      <c r="AP69" s="134" t="inlineStr">
        <is>
          <t>AMOUNT</t>
        </is>
      </c>
      <c r="AQ69" s="127" t="n"/>
      <c r="AR69" s="1" t="n"/>
      <c r="AS69" s="1" t="n"/>
      <c r="AT69" s="134" t="inlineStr">
        <is>
          <t>DETAILS</t>
        </is>
      </c>
      <c r="AU69" s="134" t="inlineStr">
        <is>
          <t>AMOUNT</t>
        </is>
      </c>
      <c r="AV69" s="127" t="n"/>
      <c r="AW69" s="1" t="n"/>
      <c r="AX69" s="1" t="n"/>
      <c r="AY69" s="134" t="inlineStr">
        <is>
          <t>DETAILS</t>
        </is>
      </c>
      <c r="AZ69" s="134" t="inlineStr">
        <is>
          <t>AMOUNT</t>
        </is>
      </c>
      <c r="BA69" s="127" t="n"/>
    </row>
    <row r="70" ht="27.75" customHeight="1" s="220">
      <c r="A70" s="1" t="n"/>
      <c r="B70" s="90" t="n"/>
      <c r="C70" s="90" t="n"/>
      <c r="D70" s="1" t="n"/>
      <c r="E70" s="1" t="n"/>
      <c r="F70" s="134" t="inlineStr">
        <is>
          <t>CPF CONT SALARY</t>
        </is>
      </c>
      <c r="G70" s="134" t="n"/>
      <c r="H70" s="127" t="n"/>
      <c r="I70" s="135" t="n"/>
      <c r="J70" s="134" t="n"/>
      <c r="K70" s="134" t="n"/>
      <c r="L70" s="127" t="n"/>
      <c r="M70" s="135" t="n"/>
      <c r="N70" s="134" t="n"/>
      <c r="O70" s="134" t="n"/>
      <c r="P70" s="127" t="n"/>
      <c r="Q70" s="135" t="n"/>
      <c r="R70" s="52" t="inlineStr">
        <is>
          <t>VOUCHER</t>
        </is>
      </c>
      <c r="S70" s="105" t="n"/>
      <c r="T70" s="90" t="n"/>
      <c r="U70" s="135" t="n"/>
      <c r="V70" s="134" t="n"/>
      <c r="W70" s="134" t="n"/>
      <c r="X70" s="127" t="n"/>
      <c r="Y70" s="136" t="n"/>
      <c r="Z70" s="134" t="n"/>
      <c r="AA70" s="134" t="n"/>
      <c r="AB70" s="127" t="n"/>
      <c r="AC70" s="136" t="n"/>
      <c r="AD70" s="135" t="n"/>
      <c r="AE70" s="134" t="n"/>
      <c r="AF70" s="134" t="n"/>
      <c r="AG70" s="127" t="n"/>
      <c r="AH70" s="1" t="n"/>
      <c r="AI70" s="135" t="n"/>
      <c r="AJ70" s="52" t="inlineStr">
        <is>
          <t>SEDATION</t>
        </is>
      </c>
      <c r="AK70" s="105" t="n"/>
      <c r="AL70" s="90" t="n"/>
      <c r="AM70" s="1" t="n"/>
      <c r="AN70" s="135" t="n"/>
      <c r="AO70" s="134" t="n"/>
      <c r="AP70" s="134" t="n"/>
      <c r="AQ70" s="127" t="n"/>
      <c r="AR70" s="1" t="n"/>
      <c r="AS70" s="135" t="n"/>
      <c r="AT70" s="134" t="n"/>
      <c r="AU70" s="134" t="n"/>
      <c r="AV70" s="127" t="n"/>
      <c r="AW70" s="1" t="n"/>
      <c r="AX70" s="135" t="n"/>
      <c r="AY70" s="134" t="n"/>
      <c r="AZ70" s="134" t="n"/>
      <c r="BA70" s="127" t="n"/>
    </row>
    <row r="71" ht="27.75" customHeight="1" s="220">
      <c r="A71" s="137" t="n"/>
      <c r="B71" s="137" t="n"/>
      <c r="C71" s="137" t="n"/>
      <c r="D71" s="137" t="n"/>
      <c r="E71" s="137" t="n"/>
      <c r="F71" s="134" t="n"/>
      <c r="G71" s="134" t="n"/>
      <c r="H71" s="127" t="n"/>
      <c r="I71" s="138" t="n"/>
      <c r="J71" s="134" t="n"/>
      <c r="K71" s="134" t="n"/>
      <c r="L71" s="127" t="n"/>
      <c r="M71" s="138" t="n"/>
      <c r="N71" s="134" t="n"/>
      <c r="O71" s="134" t="n"/>
      <c r="P71" s="127" t="n"/>
      <c r="Q71" s="138" t="n"/>
      <c r="R71" s="31" t="n"/>
      <c r="S71" s="105" t="n"/>
      <c r="T71" s="90" t="n"/>
      <c r="U71" s="138" t="n"/>
      <c r="V71" s="134" t="n"/>
      <c r="W71" s="134" t="n"/>
      <c r="X71" s="127" t="n"/>
      <c r="Y71" s="138" t="n"/>
      <c r="Z71" s="134" t="n"/>
      <c r="AA71" s="134" t="n"/>
      <c r="AB71" s="127" t="n"/>
      <c r="AC71" s="137" t="n"/>
      <c r="AD71" s="138" t="n"/>
      <c r="AE71" s="134" t="n"/>
      <c r="AF71" s="134" t="n"/>
      <c r="AG71" s="127" t="n"/>
      <c r="AH71" s="137" t="n"/>
      <c r="AI71" s="138" t="n"/>
      <c r="AJ71" s="31" t="inlineStr">
        <is>
          <t>RETAINERS/BT/SPLINT</t>
        </is>
      </c>
      <c r="AK71" s="105" t="n"/>
      <c r="AL71" s="90" t="n"/>
      <c r="AM71" s="137" t="n"/>
      <c r="AN71" s="138" t="n"/>
      <c r="AO71" s="134" t="n"/>
      <c r="AP71" s="134" t="n"/>
      <c r="AQ71" s="127" t="n"/>
      <c r="AR71" s="137" t="n"/>
      <c r="AS71" s="138" t="n"/>
      <c r="AT71" s="134" t="n"/>
      <c r="AU71" s="134" t="n"/>
      <c r="AV71" s="127" t="n"/>
      <c r="AW71" s="137" t="n"/>
      <c r="AX71" s="138" t="n"/>
      <c r="AY71" s="134" t="n"/>
      <c r="AZ71" s="134" t="n"/>
      <c r="BA71" s="127" t="n"/>
    </row>
    <row r="72" ht="46.5" customHeight="1" s="220">
      <c r="A72" s="1" t="n"/>
      <c r="B72" s="139" t="inlineStr">
        <is>
          <t>TOTAL</t>
        </is>
      </c>
      <c r="C72" s="140">
        <f>B31-C34-C35-C58-C36-C37-C42-C43-C38-C46-C39-C45-C48-C49-C51-C50-C55-C54-C53-C59-C60-C61-C62-C47-C63-C40-C64-C41-C67-C66-C65-C90-C91-C92-C93-C94-C95-C68-C69-C70</f>
        <v/>
      </c>
      <c r="D72" s="137" t="n"/>
      <c r="E72" s="1" t="n"/>
      <c r="F72" s="134" t="n"/>
      <c r="G72" s="134" t="n"/>
      <c r="H72" s="127" t="n"/>
      <c r="I72" s="1" t="n"/>
      <c r="J72" s="134" t="n"/>
      <c r="K72" s="134" t="n"/>
      <c r="L72" s="127" t="n"/>
      <c r="M72" s="1" t="n"/>
      <c r="N72" s="134" t="n"/>
      <c r="O72" s="134" t="n"/>
      <c r="P72" s="127" t="n"/>
      <c r="Q72" s="1" t="n"/>
      <c r="R72" s="31" t="n"/>
      <c r="S72" s="105" t="n"/>
      <c r="T72" s="90" t="n"/>
      <c r="U72" s="1" t="n"/>
      <c r="V72" s="134" t="n"/>
      <c r="W72" s="127" t="n"/>
      <c r="X72" s="127" t="n"/>
      <c r="Y72" s="1" t="n"/>
      <c r="Z72" s="134" t="n"/>
      <c r="AA72" s="134" t="n"/>
      <c r="AB72" s="127" t="n"/>
      <c r="AC72" s="1" t="n"/>
      <c r="AD72" s="1" t="n"/>
      <c r="AE72" s="134" t="n"/>
      <c r="AF72" s="134" t="n"/>
      <c r="AG72" s="127" t="n"/>
      <c r="AH72" s="1" t="n"/>
      <c r="AI72" s="1" t="n"/>
      <c r="AJ72" s="31" t="inlineStr">
        <is>
          <t>INSTALLMENT</t>
        </is>
      </c>
      <c r="AK72" s="105" t="n"/>
      <c r="AL72" s="90" t="n"/>
      <c r="AM72" s="1" t="n"/>
      <c r="AN72" s="1" t="n"/>
      <c r="AO72" s="134" t="n"/>
      <c r="AP72" s="134" t="n"/>
      <c r="AQ72" s="127" t="n"/>
      <c r="AR72" s="1" t="n"/>
      <c r="AS72" s="1" t="n"/>
      <c r="AT72" s="134" t="n"/>
      <c r="AU72" s="134" t="n"/>
      <c r="AV72" s="127" t="n"/>
      <c r="AW72" s="1" t="n"/>
      <c r="AX72" s="1" t="n"/>
      <c r="AY72" s="134" t="n"/>
      <c r="AZ72" s="134" t="n"/>
      <c r="BA72" s="127" t="n"/>
    </row>
    <row r="73" ht="31.5" customHeight="1" s="220">
      <c r="A73" s="1" t="n"/>
      <c r="B73" s="141" t="inlineStr">
        <is>
          <t xml:space="preserve">FOR INCENTIVE % </t>
        </is>
      </c>
      <c r="C73" s="142">
        <f>B31-C34-C35-C58-C42-C43-C46-C45-C48-C44-C49-C50-C47-C63-C40-C64-C41-C65-C93-C95-C94-C66-C92-C90-C68-C69-C70</f>
        <v/>
      </c>
      <c r="D73" s="143" t="n"/>
      <c r="E73" s="1" t="n"/>
      <c r="F73" s="134" t="n"/>
      <c r="G73" s="134" t="n"/>
      <c r="H73" s="127" t="n"/>
      <c r="I73" s="1" t="n"/>
      <c r="J73" s="134" t="n"/>
      <c r="K73" s="134" t="n"/>
      <c r="L73" s="127" t="n"/>
      <c r="M73" s="1" t="n"/>
      <c r="N73" s="134" t="n"/>
      <c r="O73" s="134" t="n"/>
      <c r="P73" s="127" t="n"/>
      <c r="Q73" s="1" t="n"/>
      <c r="R73" s="144" t="n"/>
      <c r="S73" s="145" t="n"/>
      <c r="T73" s="90" t="n"/>
      <c r="U73" s="1" t="n"/>
      <c r="V73" s="134" t="n"/>
      <c r="W73" s="134" t="n"/>
      <c r="X73" s="127" t="n"/>
      <c r="Y73" s="1" t="n"/>
      <c r="Z73" s="134" t="n"/>
      <c r="AA73" s="134" t="n"/>
      <c r="AB73" s="127" t="n"/>
      <c r="AC73" s="1" t="n"/>
      <c r="AD73" s="1" t="n"/>
      <c r="AE73" s="134" t="n"/>
      <c r="AF73" s="134" t="n"/>
      <c r="AG73" s="127" t="n"/>
      <c r="AH73" s="1" t="n"/>
      <c r="AI73" s="1" t="n"/>
      <c r="AJ73" s="144" t="inlineStr">
        <is>
          <t>DEDUCTIONS</t>
        </is>
      </c>
      <c r="AK73" s="145" t="n"/>
      <c r="AL73" s="102" t="n"/>
      <c r="AM73" s="1" t="n"/>
      <c r="AN73" s="1" t="n"/>
      <c r="AO73" s="134" t="n"/>
      <c r="AP73" s="134" t="n"/>
      <c r="AQ73" s="127" t="n"/>
      <c r="AR73" s="1" t="n"/>
      <c r="AS73" s="1" t="n"/>
      <c r="AT73" s="134" t="n"/>
      <c r="AU73" s="134" t="n"/>
      <c r="AV73" s="127" t="n"/>
      <c r="AW73" s="1" t="n"/>
      <c r="AX73" s="1" t="n"/>
      <c r="AY73" s="134" t="n"/>
      <c r="AZ73" s="134" t="n"/>
      <c r="BA73" s="127" t="n"/>
    </row>
    <row r="74" ht="31.5" customHeight="1" s="220">
      <c r="A74" s="1" t="n"/>
      <c r="B74" s="146" t="inlineStr">
        <is>
          <t xml:space="preserve">PERCENT </t>
        </is>
      </c>
      <c r="C74" s="147">
        <f>VLOOKUP(C73,'% RATES INCENTIVES'!C:D,2,TRUE)</f>
        <v/>
      </c>
      <c r="D74" s="1" t="n"/>
      <c r="E74" s="1" t="n"/>
      <c r="F74" s="134" t="n"/>
      <c r="G74" s="134" t="n"/>
      <c r="H74" s="127" t="n"/>
      <c r="I74" s="1" t="n"/>
      <c r="J74" s="134" t="n"/>
      <c r="K74" s="134" t="n"/>
      <c r="L74" s="127" t="n"/>
      <c r="M74" s="1" t="n"/>
      <c r="N74" s="134" t="n"/>
      <c r="O74" s="134" t="n"/>
      <c r="P74" s="127" t="n"/>
      <c r="Q74" s="1" t="n"/>
      <c r="R74" s="148" t="n"/>
      <c r="S74" s="148" t="n"/>
      <c r="T74" s="1" t="n"/>
      <c r="U74" s="1" t="n"/>
      <c r="V74" s="134" t="n"/>
      <c r="W74" s="134" t="n"/>
      <c r="X74" s="127" t="n"/>
      <c r="Y74" s="1" t="n"/>
      <c r="Z74" s="134" t="n"/>
      <c r="AA74" s="134" t="n"/>
      <c r="AB74" s="127" t="n"/>
      <c r="AC74" s="1" t="n"/>
      <c r="AD74" s="1" t="n"/>
      <c r="AE74" s="134" t="n"/>
      <c r="AF74" s="134" t="n"/>
      <c r="AG74" s="127" t="n"/>
      <c r="AH74" s="1" t="n"/>
      <c r="AI74" s="1" t="n"/>
      <c r="AJ74" s="148" t="n"/>
      <c r="AK74" s="148" t="n"/>
      <c r="AL74" s="1" t="n"/>
      <c r="AM74" s="1" t="n"/>
      <c r="AN74" s="1" t="n"/>
      <c r="AO74" s="134" t="n"/>
      <c r="AP74" s="134" t="n"/>
      <c r="AQ74" s="127" t="n"/>
      <c r="AR74" s="1" t="n"/>
      <c r="AS74" s="1" t="n"/>
      <c r="AT74" s="134" t="n"/>
      <c r="AU74" s="134" t="n"/>
      <c r="AV74" s="127" t="n"/>
      <c r="AW74" s="1" t="n"/>
      <c r="AX74" s="1" t="n"/>
      <c r="AY74" s="134" t="n"/>
      <c r="AZ74" s="134" t="n"/>
      <c r="BA74" s="127" t="n"/>
    </row>
    <row r="75" ht="34.5" customHeight="1" s="220">
      <c r="A75" s="1" t="inlineStr">
        <is>
          <t>INCOME LESS GST</t>
        </is>
      </c>
      <c r="B75" s="149">
        <f>B31-C35</f>
        <v/>
      </c>
      <c r="C75" s="150">
        <f>C72/B75*100</f>
        <v/>
      </c>
      <c r="D75" s="151" t="inlineStr">
        <is>
          <t>%</t>
        </is>
      </c>
      <c r="E75" s="1" t="n"/>
      <c r="F75" s="134" t="n"/>
      <c r="G75" s="134" t="n"/>
      <c r="H75" s="127" t="n"/>
      <c r="I75" s="1" t="n"/>
      <c r="J75" s="134" t="n"/>
      <c r="K75" s="134" t="n"/>
      <c r="L75" s="127" t="n"/>
      <c r="M75" s="1" t="n"/>
      <c r="N75" s="134" t="n"/>
      <c r="O75" s="134" t="n"/>
      <c r="P75" s="127" t="n"/>
      <c r="Q75" s="1" t="n"/>
      <c r="R75" s="61" t="inlineStr">
        <is>
          <t>TOTAL</t>
        </is>
      </c>
      <c r="S75" s="109">
        <f>#REF!-S34-S35-S59-S58-S60-S61-S62-S63-S64-S65-S66+S67-S68-S69-S70-S71-S72-S73</f>
        <v/>
      </c>
      <c r="T75" s="90" t="n"/>
      <c r="U75" s="1" t="n"/>
      <c r="V75" s="134" t="n"/>
      <c r="W75" s="134" t="n"/>
      <c r="X75" s="127" t="n"/>
      <c r="Y75" s="1" t="n"/>
      <c r="Z75" s="134" t="n"/>
      <c r="AA75" s="134" t="n"/>
      <c r="AB75" s="127" t="n"/>
      <c r="AC75" s="1" t="n"/>
      <c r="AD75" s="1" t="n"/>
      <c r="AE75" s="134" t="n"/>
      <c r="AF75" s="134" t="n"/>
      <c r="AG75" s="127" t="n"/>
      <c r="AH75" s="1" t="n"/>
      <c r="AI75" s="1" t="n"/>
      <c r="AJ75" s="61" t="inlineStr">
        <is>
          <t>TOTAL</t>
        </is>
      </c>
      <c r="AK75" s="109">
        <f>#REF!-AK34-AK35-AK58-AK59-AK60-AK61-AK62-AK63-AK64-AK65-AK66+AK67-AK68-AK69-AK70-AK71-AK72-AK73</f>
        <v/>
      </c>
      <c r="AL75" s="90" t="n"/>
      <c r="AM75" s="1" t="n"/>
      <c r="AN75" s="1" t="n"/>
      <c r="AO75" s="134" t="n"/>
      <c r="AP75" s="134" t="n"/>
      <c r="AQ75" s="127" t="n"/>
      <c r="AR75" s="1" t="n"/>
      <c r="AS75" s="1" t="n"/>
      <c r="AT75" s="134" t="n"/>
      <c r="AU75" s="134" t="n"/>
      <c r="AV75" s="127" t="n"/>
      <c r="AW75" s="1" t="n"/>
      <c r="AX75" s="1" t="n"/>
      <c r="AY75" s="134" t="n"/>
      <c r="AZ75" s="134" t="n"/>
      <c r="BA75" s="127" t="n"/>
    </row>
    <row r="76" ht="33.75" customHeight="1" s="220">
      <c r="A76" s="1" t="n"/>
      <c r="B76" s="152" t="inlineStr">
        <is>
          <t> </t>
        </is>
      </c>
      <c r="C76" s="153" t="n"/>
      <c r="D76" s="1" t="n"/>
      <c r="E76" s="1" t="n"/>
      <c r="F76" s="154" t="n"/>
      <c r="G76" s="154" t="n"/>
      <c r="H76" s="155" t="n"/>
      <c r="I76" s="1" t="n"/>
      <c r="J76" s="154" t="n"/>
      <c r="K76" s="154" t="n"/>
      <c r="L76" s="155" t="n"/>
      <c r="M76" s="1" t="n"/>
      <c r="N76" s="154" t="n"/>
      <c r="O76" s="154" t="n"/>
      <c r="P76" s="155" t="n"/>
      <c r="Q76" s="1" t="n"/>
      <c r="R76" s="112" t="inlineStr">
        <is>
          <t>DOCTORS PAY</t>
        </is>
      </c>
      <c r="S76" s="111">
        <f>(S75*50%)+S77</f>
        <v/>
      </c>
      <c r="T76" s="90" t="n"/>
      <c r="U76" s="1" t="n"/>
      <c r="V76" s="154" t="n"/>
      <c r="W76" s="154" t="n"/>
      <c r="X76" s="155" t="n"/>
      <c r="Y76" s="1" t="n"/>
      <c r="Z76" s="154" t="n"/>
      <c r="AA76" s="154" t="n"/>
      <c r="AB76" s="155" t="n"/>
      <c r="AC76" s="1" t="n"/>
      <c r="AD76" s="1" t="n"/>
      <c r="AE76" s="154" t="n"/>
      <c r="AF76" s="154" t="n"/>
      <c r="AG76" s="155" t="n"/>
      <c r="AH76" s="1" t="n"/>
      <c r="AI76" s="1" t="n"/>
      <c r="AJ76" s="112" t="inlineStr">
        <is>
          <t>DOCTORS PAY</t>
        </is>
      </c>
      <c r="AK76" s="111">
        <f>(AK75*50%)+AK77</f>
        <v/>
      </c>
      <c r="AL76" s="90" t="n"/>
      <c r="AM76" s="1" t="n"/>
      <c r="AN76" s="1" t="n"/>
      <c r="AO76" s="154" t="n"/>
      <c r="AP76" s="154" t="n"/>
      <c r="AQ76" s="155" t="n"/>
      <c r="AR76" s="1" t="n"/>
      <c r="AS76" s="1" t="n"/>
      <c r="AT76" s="154" t="n"/>
      <c r="AU76" s="154" t="n"/>
      <c r="AV76" s="155" t="n"/>
      <c r="AW76" s="1" t="n"/>
      <c r="AX76" s="1" t="n"/>
      <c r="AY76" s="154" t="n"/>
      <c r="AZ76" s="154" t="n"/>
      <c r="BA76" s="155" t="n"/>
    </row>
    <row r="77" ht="36.75" customHeight="1" s="220">
      <c r="A77" s="1" t="n"/>
      <c r="B77" s="156" t="inlineStr">
        <is>
          <t>MEDISAVE ADMIN</t>
        </is>
      </c>
      <c r="C77" s="157">
        <f>G61+K61+O61+S83+W61+AA61+AF61+AK83+AP61+AU61</f>
        <v/>
      </c>
      <c r="D77" s="158">
        <f>C77/20</f>
        <v/>
      </c>
      <c r="E77" s="1" t="n"/>
      <c r="F77" s="159" t="inlineStr">
        <is>
          <t>TOTAL PAYMENT</t>
        </is>
      </c>
      <c r="G77" s="160">
        <f>G57-G70-G74-G75-G71-G72-G73</f>
        <v/>
      </c>
      <c r="H77" s="1" t="n"/>
      <c r="I77" s="1" t="n"/>
      <c r="J77" s="159" t="inlineStr">
        <is>
          <t>TOTAL PAYMENT</t>
        </is>
      </c>
      <c r="K77" s="160">
        <f>K57-K70-K74-K75-K71-K72-K73</f>
        <v/>
      </c>
      <c r="L77" s="1" t="n"/>
      <c r="M77" s="1" t="n"/>
      <c r="N77" s="159" t="inlineStr">
        <is>
          <t>TOTAL PAYMENT</t>
        </is>
      </c>
      <c r="O77" s="160">
        <f>O57-O70-O74-O75-O71-O72-O73</f>
        <v/>
      </c>
      <c r="P77" s="1" t="inlineStr">
        <is>
          <t>  </t>
        </is>
      </c>
      <c r="Q77" s="1" t="n"/>
      <c r="R77" s="50" t="inlineStr">
        <is>
          <t>ADJUSTMENTS (+)</t>
        </is>
      </c>
      <c r="S77" s="36" t="n"/>
      <c r="T77" s="90" t="n"/>
      <c r="U77" s="1" t="n"/>
      <c r="V77" s="159" t="inlineStr">
        <is>
          <t>TOTAL PAYMENT</t>
        </is>
      </c>
      <c r="W77" s="160">
        <f>W57-W70-W74-W75-W71-W72-W73</f>
        <v/>
      </c>
      <c r="X77" s="1" t="n"/>
      <c r="Y77" s="1" t="n"/>
      <c r="Z77" s="159" t="inlineStr">
        <is>
          <t>TOTAL PAYMENT</t>
        </is>
      </c>
      <c r="AA77" s="160">
        <f>AA57-AA70-AA74-AA75-AA71-AA72-AA73</f>
        <v/>
      </c>
      <c r="AB77" s="1" t="n"/>
      <c r="AC77" s="1" t="n"/>
      <c r="AD77" s="1" t="n"/>
      <c r="AE77" s="159" t="inlineStr">
        <is>
          <t>TOTAL PAYMENT</t>
        </is>
      </c>
      <c r="AF77" s="160">
        <f>AF57-AF70-AF74-AF75-AF71-AF72-AF73</f>
        <v/>
      </c>
      <c r="AG77" s="1" t="n"/>
      <c r="AH77" s="1" t="n"/>
      <c r="AI77" s="1" t="n"/>
      <c r="AJ77" s="50" t="inlineStr">
        <is>
          <t>ADJUSTMENTS (+)</t>
        </is>
      </c>
      <c r="AK77" s="36" t="n"/>
      <c r="AL77" s="98" t="n"/>
      <c r="AM77" s="1" t="n"/>
      <c r="AN77" s="1" t="n"/>
      <c r="AO77" s="159" t="inlineStr">
        <is>
          <t>TOTAL PAYMENT</t>
        </is>
      </c>
      <c r="AP77" s="160">
        <f>AP57-AP70-AP74-AP75-AP71-AP72-AP73</f>
        <v/>
      </c>
      <c r="AQ77" s="1" t="n"/>
      <c r="AR77" s="1" t="n"/>
      <c r="AS77" s="1" t="n"/>
      <c r="AT77" s="159" t="inlineStr">
        <is>
          <t>TOTAL PAYMENT</t>
        </is>
      </c>
      <c r="AU77" s="160">
        <f>AU57-AU70-AU74-AU75-AU71-AU72-AU73</f>
        <v/>
      </c>
      <c r="AV77" s="1" t="n"/>
      <c r="AW77" s="1" t="n"/>
      <c r="AX77" s="1" t="n"/>
      <c r="AY77" s="159" t="inlineStr">
        <is>
          <t>TOTAL PAYMENT</t>
        </is>
      </c>
      <c r="AZ77" s="160">
        <f>AZ57-AZ70-AZ74-AZ75-AZ71-AZ72-AZ73</f>
        <v/>
      </c>
      <c r="BA77" s="1" t="n"/>
    </row>
    <row r="78" ht="39" customHeight="1" s="220">
      <c r="A78" s="1" t="n"/>
      <c r="B78" s="156" t="inlineStr">
        <is>
          <t>ADDITIONAL MARKETING</t>
        </is>
      </c>
      <c r="C78" s="157">
        <f>G65+K65+O65+S87+W65+AA65+AF65+AP65+AU65+AZ65</f>
        <v/>
      </c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50" t="inlineStr">
        <is>
          <t>ADJUSTMENTS (-)</t>
        </is>
      </c>
      <c r="S78" s="115">
        <f>S83+S87</f>
        <v/>
      </c>
      <c r="T78" s="98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50" t="inlineStr">
        <is>
          <t>ADJUSTMENTS (-)</t>
        </is>
      </c>
      <c r="AK78" s="116">
        <f>AK83+AK87</f>
        <v/>
      </c>
      <c r="AL78" s="102" t="inlineStr">
        <is>
          <t>MARKETING FEE &amp; MEDISAVE ADMIN</t>
        </is>
      </c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</row>
    <row r="79" ht="27.75" customHeight="1" s="220">
      <c r="A79" s="1" t="n"/>
      <c r="B79" s="161" t="inlineStr">
        <is>
          <t>DOCTORS PERSONAL DEDUCTION</t>
        </is>
      </c>
      <c r="C79" s="157">
        <f>G70+G74+G75+K70+K74+K75+O70+O74+O75+S92+S96+S97+W70+W74+W75+AA70+AA74+AA75+AF70+AF74+AF75+G71+G72+G73+K71+K72+K73+O71+O72+O73+S93+S94+S95+W71+W72+W73+AA71+AA72+AA73+AF71+AF72+AF73+AP70+AP71+AP72+AP73+AP74+AP75+AU70+AU71+AU72+AU73+AU74+AU75+AZ70+AZ71+AZ72+AZ73+AZ74+AZ75</f>
        <v/>
      </c>
      <c r="D79" s="137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50" t="inlineStr">
        <is>
          <t>NET PAY</t>
        </is>
      </c>
      <c r="S79" s="111">
        <f>S76-S78</f>
        <v/>
      </c>
      <c r="T79" s="90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50" t="inlineStr">
        <is>
          <t>NET PAY</t>
        </is>
      </c>
      <c r="AK79" s="111">
        <f>AK76-AK78</f>
        <v/>
      </c>
      <c r="AL79" s="90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</row>
    <row r="80" ht="28.5" customHeight="1" s="220">
      <c r="A80" s="1" t="n"/>
      <c r="B80" s="156" t="inlineStr">
        <is>
          <t>TOTAL</t>
        </is>
      </c>
      <c r="C80" s="162">
        <f>SUM(C77:C79)</f>
        <v/>
      </c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63" t="n"/>
      <c r="Z80" s="1" t="n"/>
      <c r="AA80" s="1" t="n"/>
      <c r="AB80" s="1" t="n"/>
      <c r="AC80" s="1" t="n"/>
      <c r="AD80" s="163" t="n"/>
      <c r="AE80" s="1" t="n"/>
      <c r="AF80" s="1" t="n"/>
      <c r="AG80" s="1" t="n"/>
      <c r="AH80" s="1" t="n"/>
      <c r="AI80" s="163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</row>
    <row r="81" ht="28.5" customHeight="1" s="220">
      <c r="A81" s="1" t="n"/>
      <c r="B81" s="164" t="inlineStr">
        <is>
          <t>TOTAL ICC-5</t>
        </is>
      </c>
      <c r="C81" s="164">
        <f>G36+K36+O36+S58+AA36+W36+AF36+AP36+AU36+AZ36</f>
        <v/>
      </c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17" t="inlineStr">
        <is>
          <t>MEDISAVE ADMIN FEE CALCULATION:</t>
        </is>
      </c>
      <c r="S81" s="1" t="n"/>
      <c r="T81" s="1" t="n"/>
      <c r="U81" s="1" t="n"/>
      <c r="V81" s="1" t="n"/>
      <c r="W81" s="1" t="n"/>
      <c r="X81" s="1" t="n"/>
      <c r="Y81" s="163" t="n"/>
      <c r="Z81" s="1" t="n"/>
      <c r="AA81" s="1" t="n"/>
      <c r="AB81" s="1" t="n"/>
      <c r="AC81" s="1" t="n"/>
      <c r="AD81" s="163" t="n"/>
      <c r="AE81" s="1" t="n"/>
      <c r="AF81" s="1" t="n"/>
      <c r="AG81" s="1" t="n"/>
      <c r="AH81" s="1" t="n"/>
      <c r="AI81" s="163" t="n"/>
      <c r="AJ81" s="117" t="inlineStr">
        <is>
          <t>MEDISAVE ADMIN FEE CALCULATION:</t>
        </is>
      </c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</row>
    <row r="82" ht="49.5" customHeight="1" s="22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63" t="n"/>
      <c r="N82" s="1" t="n"/>
      <c r="O82" s="1" t="n"/>
      <c r="P82" s="1" t="n"/>
      <c r="Q82" s="1" t="n"/>
      <c r="R82" s="118" t="inlineStr">
        <is>
          <t>Medisave Claim</t>
        </is>
      </c>
      <c r="S82" s="119" t="inlineStr">
        <is>
          <t>Admin Fee</t>
        </is>
      </c>
      <c r="T82" s="119" t="inlineStr">
        <is>
          <t>REMARKS</t>
        </is>
      </c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18" t="inlineStr">
        <is>
          <t>Medisave Claim</t>
        </is>
      </c>
      <c r="AK82" s="119" t="inlineStr">
        <is>
          <t>Admin Fee</t>
        </is>
      </c>
      <c r="AL82" s="119" t="inlineStr">
        <is>
          <t>REMARKS</t>
        </is>
      </c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</row>
    <row r="83" ht="26.25" customHeight="1" s="220">
      <c r="A83" s="1" t="n"/>
      <c r="B83" s="165" t="inlineStr">
        <is>
          <t>NURSES FEE-REVENUE</t>
        </is>
      </c>
      <c r="C83" s="166">
        <f>(C60+C61+C62)/B31</f>
        <v/>
      </c>
      <c r="D83" s="137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20" t="n"/>
      <c r="S83" s="121">
        <f>R83*20</f>
        <v/>
      </c>
      <c r="T83" s="12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20" t="n"/>
      <c r="AK83" s="121">
        <f>AJ83*20</f>
        <v/>
      </c>
      <c r="AL83" s="12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</row>
    <row r="84" ht="21" customHeight="1" s="220">
      <c r="A84" s="1" t="n"/>
      <c r="B84" s="165" t="inlineStr">
        <is>
          <t>CONSUMABLE EXCL OFFICE RENT - REVENUE</t>
        </is>
      </c>
      <c r="C84" s="166">
        <f>(C49+C46+C48)/B31</f>
        <v/>
      </c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</row>
    <row r="85" ht="21" customHeight="1" s="220">
      <c r="A85" s="1" t="n"/>
      <c r="B85" s="165" t="inlineStr">
        <is>
          <t>OFFICE RENT &amp; ADMIN STAFF - REVENUE</t>
        </is>
      </c>
      <c r="C85" s="166">
        <f>(C45/B31)</f>
        <v/>
      </c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22" t="inlineStr">
        <is>
          <t>ADDITIONAL MARKETING:</t>
        </is>
      </c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22" t="inlineStr">
        <is>
          <t>ADDITIONAL MARKETING:</t>
        </is>
      </c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</row>
    <row r="86" ht="21" customHeight="1" s="220">
      <c r="A86" s="1" t="n"/>
      <c r="B86" s="167" t="inlineStr">
        <is>
          <t>MARKETING - REVENUE</t>
        </is>
      </c>
      <c r="C86" s="166">
        <f>C50/B31</f>
        <v/>
      </c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23" t="inlineStr">
        <is>
          <t xml:space="preserve">MONTH </t>
        </is>
      </c>
      <c r="S86" s="124" t="inlineStr">
        <is>
          <t>AMOUNT</t>
        </is>
      </c>
      <c r="T86" s="124" t="inlineStr">
        <is>
          <t>REMARKS</t>
        </is>
      </c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23" t="inlineStr">
        <is>
          <t xml:space="preserve">MONTH </t>
        </is>
      </c>
      <c r="AK86" s="124" t="inlineStr">
        <is>
          <t>AMOUNT</t>
        </is>
      </c>
      <c r="AL86" s="124" t="inlineStr">
        <is>
          <t>REMARKS</t>
        </is>
      </c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</row>
    <row r="87" ht="18.75" customHeight="1" s="220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25">
        <f>R3</f>
        <v/>
      </c>
      <c r="S87" s="128" t="n"/>
      <c r="T87" s="127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25">
        <f>AJ3</f>
        <v/>
      </c>
      <c r="AK87" s="128" t="n"/>
      <c r="AL87" s="127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</row>
    <row r="88" ht="30.75" customHeight="1" s="220">
      <c r="A88" s="1" t="n"/>
      <c r="B88" s="183" t="n"/>
      <c r="C88" s="184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</row>
    <row r="89" ht="16.5" customHeight="1" s="220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22" t="inlineStr">
        <is>
          <t>OTHERS: (CPF,PERSONAL REFUND, COURSEFEE)</t>
        </is>
      </c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22" t="inlineStr">
        <is>
          <t>OTHERS: (CPF,PERSONAL REFUND, COURSEFEE)</t>
        </is>
      </c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</row>
    <row r="90" ht="30.75" customHeight="1" s="220">
      <c r="A90" s="1" t="n"/>
      <c r="B90" s="168" t="n"/>
      <c r="C90" s="169" t="n"/>
      <c r="D90" s="1" t="inlineStr">
        <is>
          <t> </t>
        </is>
      </c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22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22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</row>
    <row r="91" ht="30.75" customHeight="1" s="220">
      <c r="A91" s="1" t="n"/>
      <c r="B91" s="168" t="n"/>
      <c r="C91" s="169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34" t="inlineStr">
        <is>
          <t>DETAILS</t>
        </is>
      </c>
      <c r="S91" s="134" t="inlineStr">
        <is>
          <t>AMOUNT</t>
        </is>
      </c>
      <c r="T91" s="127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34" t="inlineStr">
        <is>
          <t>DETAILS</t>
        </is>
      </c>
      <c r="AK91" s="134" t="inlineStr">
        <is>
          <t>AMOUNT</t>
        </is>
      </c>
      <c r="AL91" s="127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</row>
    <row r="92" ht="30.75" customHeight="1" s="220">
      <c r="A92" s="1" t="n"/>
      <c r="B92" s="168" t="n"/>
      <c r="C92" s="169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34" t="n"/>
      <c r="S92" s="134" t="n"/>
      <c r="T92" s="127" t="n"/>
      <c r="U92" s="1" t="n"/>
      <c r="V92" s="1" t="n"/>
      <c r="W92" s="1" t="n"/>
      <c r="X92" s="1" t="n"/>
      <c r="Y92" s="136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inlineStr">
        <is>
          <t>feb 2191</t>
        </is>
      </c>
      <c r="AI92" s="1" t="n"/>
      <c r="AJ92" s="134" t="n"/>
      <c r="AK92" s="134" t="n"/>
      <c r="AL92" s="127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</row>
    <row r="93" ht="30.75" customHeight="1" s="220">
      <c r="A93" s="1" t="n"/>
      <c r="B93" s="168" t="n"/>
      <c r="C93" s="169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34" t="n"/>
      <c r="S93" s="134" t="n"/>
      <c r="T93" s="127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34" t="n"/>
      <c r="AK93" s="134" t="n"/>
      <c r="AL93" s="127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</row>
    <row r="94" ht="30.75" customHeight="1" s="220">
      <c r="A94" s="1" t="n"/>
      <c r="B94" s="117" t="n"/>
      <c r="C94" s="169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34" t="n"/>
      <c r="S94" s="134" t="n"/>
      <c r="T94" s="127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34" t="n"/>
      <c r="AK94" s="134" t="n"/>
      <c r="AL94" s="127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</row>
    <row r="95" ht="30.75" customHeight="1" s="220">
      <c r="A95" s="1" t="n"/>
      <c r="B95" s="117" t="n"/>
      <c r="C95" s="169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34" t="n"/>
      <c r="S95" s="134" t="n"/>
      <c r="T95" s="127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34" t="n"/>
      <c r="AK95" s="134" t="n"/>
      <c r="AL95" s="127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</row>
    <row r="96" ht="18.75" customHeight="1" s="220">
      <c r="A96" s="137" t="n"/>
      <c r="B96" s="137" t="n"/>
      <c r="C96" s="137" t="n"/>
      <c r="D96" s="137" t="n"/>
      <c r="E96" s="137" t="n"/>
      <c r="F96" s="137" t="n"/>
      <c r="G96" s="137" t="n"/>
      <c r="H96" s="137" t="n"/>
      <c r="I96" s="137" t="n"/>
      <c r="J96" s="137" t="n"/>
      <c r="K96" s="137" t="n"/>
      <c r="L96" s="137" t="n"/>
      <c r="M96" s="1" t="n"/>
      <c r="N96" s="137" t="n"/>
      <c r="O96" s="137" t="n"/>
      <c r="P96" s="137" t="n"/>
      <c r="Q96" s="137" t="n"/>
      <c r="R96" s="134" t="n"/>
      <c r="S96" s="134" t="n"/>
      <c r="T96" s="127" t="n"/>
      <c r="U96" s="137" t="n"/>
      <c r="V96" s="137" t="n"/>
      <c r="W96" s="137" t="n"/>
      <c r="X96" s="137" t="n"/>
      <c r="Y96" s="137" t="n"/>
      <c r="Z96" s="137" t="n"/>
      <c r="AA96" s="137" t="n"/>
      <c r="AB96" s="137" t="n"/>
      <c r="AC96" s="137" t="n"/>
      <c r="AD96" s="137" t="n"/>
      <c r="AE96" s="137" t="n"/>
      <c r="AF96" s="137" t="n"/>
      <c r="AG96" s="137" t="n"/>
      <c r="AH96" s="137" t="n"/>
      <c r="AI96" s="137" t="n"/>
      <c r="AJ96" s="134" t="n"/>
      <c r="AK96" s="134" t="n"/>
      <c r="AL96" s="127" t="n"/>
      <c r="AM96" s="137" t="n"/>
      <c r="AN96" s="137" t="n"/>
      <c r="AO96" s="137" t="n"/>
      <c r="AP96" s="137" t="n"/>
      <c r="AQ96" s="137" t="n"/>
      <c r="AR96" s="137" t="n"/>
      <c r="AS96" s="137" t="n"/>
      <c r="AT96" s="137" t="n"/>
      <c r="AU96" s="137" t="n"/>
      <c r="AV96" s="137" t="n"/>
      <c r="AW96" s="137" t="n"/>
      <c r="AX96" s="137" t="n"/>
      <c r="AY96" s="137" t="n"/>
      <c r="AZ96" s="137" t="n"/>
      <c r="BA96" s="137" t="n"/>
    </row>
    <row r="97" ht="41.25" customHeight="1" s="220">
      <c r="A97" s="1" t="n"/>
      <c r="B97" s="1" t="n"/>
      <c r="C97" s="2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37" t="n"/>
      <c r="N97" s="1" t="n"/>
      <c r="O97" s="1" t="n"/>
      <c r="P97" s="1" t="n"/>
      <c r="Q97" s="1" t="n"/>
      <c r="R97" s="134" t="n"/>
      <c r="S97" s="134" t="n"/>
      <c r="T97" s="127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34" t="n"/>
      <c r="AK97" s="134" t="n"/>
      <c r="AL97" s="127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</row>
    <row r="98" ht="18.75" customHeight="1" s="220">
      <c r="A98" s="1" t="n"/>
      <c r="B98" s="1" t="n"/>
      <c r="C98" s="2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54" t="n"/>
      <c r="S98" s="154" t="n"/>
      <c r="T98" s="155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54" t="n"/>
      <c r="AK98" s="154" t="n"/>
      <c r="AL98" s="155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</row>
    <row r="99" ht="30.75" customHeight="1" s="220">
      <c r="A99" s="1" t="n"/>
      <c r="B99" s="1" t="n"/>
      <c r="C99" s="2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59" t="inlineStr">
        <is>
          <t>TOTAL CHEQUE AMOUNT</t>
        </is>
      </c>
      <c r="S99" s="160">
        <f>S79-S92-S96-S97-S93-S94-S95</f>
        <v/>
      </c>
      <c r="T99" s="2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59" t="inlineStr">
        <is>
          <t>TOTAL CHEQUE AMOUNT</t>
        </is>
      </c>
      <c r="AK99" s="160">
        <f>AK79-AK92-AK96-AK97-AK93-AK94-AK95</f>
        <v/>
      </c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</row>
    <row r="100" ht="16.5" customHeight="1" s="220">
      <c r="A100" s="1" t="n"/>
      <c r="B100" s="1" t="n"/>
      <c r="C100" s="2" t="n"/>
      <c r="D100" s="1" t="n"/>
      <c r="E100" s="1" t="n"/>
      <c r="F100" s="137" t="n"/>
      <c r="G100" s="137" t="n"/>
      <c r="H100" s="137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</row>
    <row r="101" ht="16.5" customHeight="1" s="220">
      <c r="A101" s="1" t="n"/>
      <c r="B101" s="1" t="n"/>
      <c r="C101" s="2" t="n"/>
      <c r="D101" s="1" t="n"/>
      <c r="E101" s="2" t="n"/>
      <c r="F101" s="1" t="n"/>
      <c r="G101" s="1" t="n"/>
      <c r="H101" s="137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</row>
    <row r="102" ht="16.5" customHeight="1" s="220">
      <c r="A102" s="1" t="n"/>
      <c r="B102" s="1" t="n"/>
      <c r="C102" s="2" t="n"/>
      <c r="D102" s="1" t="n"/>
      <c r="E102" s="1" t="n"/>
      <c r="F102" s="1" t="n"/>
      <c r="G102" s="1" t="n"/>
      <c r="H102" s="137" t="n"/>
      <c r="I102" s="1" t="n"/>
      <c r="J102" s="1" t="n"/>
      <c r="K102" s="1" t="n"/>
      <c r="L102" s="137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</row>
    <row r="103" ht="16.5" customHeight="1" s="220">
      <c r="A103" s="137" t="n"/>
      <c r="B103" s="1" t="n"/>
      <c r="C103" s="2" t="n"/>
      <c r="D103" s="1" t="n"/>
      <c r="E103" s="137" t="n"/>
      <c r="F103" s="1" t="n"/>
      <c r="G103" s="1" t="n"/>
      <c r="H103" s="137" t="n"/>
      <c r="I103" s="1" t="n"/>
      <c r="J103" s="137" t="n"/>
      <c r="K103" s="137" t="n"/>
      <c r="L103" s="137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</row>
    <row r="104" ht="16.5" customHeight="1" s="220">
      <c r="A104" s="1" t="n"/>
      <c r="B104" s="1" t="n"/>
      <c r="C104" s="2" t="n"/>
      <c r="D104" s="1" t="n"/>
      <c r="E104" s="1" t="n"/>
      <c r="F104" s="1" t="n"/>
      <c r="G104" s="1" t="n"/>
      <c r="H104" s="137" t="n"/>
      <c r="I104" s="1" t="n"/>
      <c r="J104" s="1" t="n"/>
      <c r="K104" s="1" t="n"/>
      <c r="L104" s="137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</row>
    <row r="105" ht="16.5" customHeight="1" s="220">
      <c r="A105" s="1" t="n"/>
      <c r="B105" s="1" t="n"/>
      <c r="C105" s="2" t="n"/>
      <c r="D105" s="1" t="n"/>
      <c r="E105" s="1" t="n"/>
      <c r="F105" s="137" t="n"/>
      <c r="G105" s="137" t="n"/>
      <c r="H105" s="137" t="n"/>
      <c r="I105" s="1" t="n"/>
      <c r="J105" s="1" t="n"/>
      <c r="K105" s="1" t="n"/>
      <c r="L105" s="137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</row>
    <row r="106" ht="16.5" customHeight="1" s="220">
      <c r="A106" s="1" t="n"/>
      <c r="B106" s="1" t="n"/>
      <c r="C106" s="2" t="n"/>
      <c r="D106" s="1" t="n"/>
      <c r="E106" s="1" t="n"/>
      <c r="F106" s="1" t="n"/>
      <c r="G106" s="1" t="n"/>
      <c r="H106" s="137" t="n"/>
      <c r="I106" s="1" t="n"/>
      <c r="J106" s="1" t="n"/>
      <c r="K106" s="1" t="n"/>
      <c r="L106" s="137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</row>
    <row r="107" ht="16.5" customHeight="1" s="220">
      <c r="A107" s="137" t="n"/>
      <c r="B107" s="1" t="n"/>
      <c r="C107" s="2" t="n"/>
      <c r="D107" s="1" t="n"/>
      <c r="E107" s="137" t="n"/>
      <c r="F107" s="1" t="n"/>
      <c r="G107" s="1" t="n"/>
      <c r="H107" s="137" t="n"/>
      <c r="I107" s="1" t="n"/>
      <c r="J107" s="137" t="n"/>
      <c r="K107" s="137" t="n"/>
      <c r="L107" s="137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</row>
    <row r="108" ht="16.5" customHeight="1" s="220">
      <c r="A108" s="1" t="n"/>
      <c r="B108" s="1" t="n"/>
      <c r="C108" s="2" t="n"/>
      <c r="D108" s="1" t="n"/>
      <c r="E108" s="1" t="n"/>
      <c r="F108" s="137" t="n"/>
      <c r="G108" s="137" t="n"/>
      <c r="H108" s="137" t="n"/>
      <c r="I108" s="1" t="n"/>
      <c r="J108" s="1" t="n"/>
      <c r="K108" s="1" t="n"/>
      <c r="L108" s="137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</row>
    <row r="109" ht="16.5" customHeight="1" s="220">
      <c r="A109" s="1" t="n"/>
      <c r="B109" s="1" t="n"/>
      <c r="C109" s="2" t="n"/>
      <c r="D109" s="1" t="n"/>
      <c r="E109" s="137" t="n"/>
      <c r="F109" s="1" t="n"/>
      <c r="G109" s="1" t="n"/>
      <c r="H109" s="137" t="n"/>
      <c r="I109" s="1" t="n"/>
      <c r="J109" s="1" t="n"/>
      <c r="K109" s="1" t="n"/>
      <c r="L109" s="137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</row>
    <row r="110" ht="16.5" customHeight="1" s="220">
      <c r="A110" s="1" t="n"/>
      <c r="B110" s="1" t="n"/>
      <c r="C110" s="2" t="n"/>
      <c r="D110" s="1" t="n"/>
      <c r="E110" s="1" t="n"/>
      <c r="F110" s="1" t="n"/>
      <c r="G110" s="1" t="n"/>
      <c r="H110" s="137" t="n"/>
      <c r="I110" s="1" t="n"/>
      <c r="J110" s="1" t="n"/>
      <c r="K110" s="1" t="n"/>
      <c r="L110" s="137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</row>
    <row r="111" ht="16.5" customHeight="1" s="220">
      <c r="A111" s="137" t="n"/>
      <c r="B111" s="1" t="n"/>
      <c r="C111" s="2" t="n"/>
      <c r="D111" s="1" t="n"/>
      <c r="E111" s="1" t="n"/>
      <c r="F111" s="1" t="n"/>
      <c r="G111" s="1" t="n"/>
      <c r="H111" s="137" t="n"/>
      <c r="I111" s="1" t="n"/>
      <c r="J111" s="1" t="n"/>
      <c r="K111" s="1" t="n"/>
      <c r="L111" s="137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</row>
    <row r="112" ht="16.5" customHeight="1" s="220">
      <c r="A112" s="1" t="n"/>
      <c r="B112" s="1" t="n"/>
      <c r="C112" s="1" t="n"/>
      <c r="D112" s="1" t="n"/>
      <c r="E112" s="1" t="n"/>
      <c r="F112" s="137" t="n"/>
      <c r="G112" s="137" t="n"/>
      <c r="H112" s="137" t="n"/>
      <c r="I112" s="1" t="n"/>
      <c r="J112" s="137" t="n"/>
      <c r="K112" s="137" t="n"/>
      <c r="L112" s="137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</row>
    <row r="113" ht="16.5" customHeight="1" s="220">
      <c r="A113" s="1" t="n"/>
      <c r="B113" s="1" t="n"/>
      <c r="C113" s="137" t="n"/>
      <c r="D113" s="137" t="n"/>
      <c r="E113" s="137" t="n"/>
      <c r="F113" s="1" t="n"/>
      <c r="G113" s="1" t="n"/>
      <c r="H113" s="137" t="n"/>
      <c r="I113" s="1" t="n"/>
      <c r="J113" s="1" t="n"/>
      <c r="K113" s="1" t="n"/>
      <c r="L113" s="137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</row>
    <row r="114" ht="16.5" customHeight="1" s="220">
      <c r="A114" s="1" t="n"/>
      <c r="B114" s="1" t="n"/>
      <c r="C114" s="1" t="n"/>
      <c r="D114" s="1" t="n"/>
      <c r="E114" s="1" t="n"/>
      <c r="F114" s="1" t="n"/>
      <c r="G114" s="1" t="n"/>
      <c r="H114" s="137" t="n"/>
      <c r="I114" s="1" t="n"/>
      <c r="J114" s="1" t="n"/>
      <c r="K114" s="1" t="n"/>
      <c r="L114" s="137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</row>
    <row r="115" ht="16.5" customHeight="1" s="220">
      <c r="A115" s="137" t="n"/>
      <c r="B115" s="137" t="n"/>
      <c r="C115" s="137" t="n"/>
      <c r="D115" s="1" t="n"/>
      <c r="E115" s="1" t="n"/>
      <c r="F115" s="1" t="n"/>
      <c r="G115" s="1" t="n"/>
      <c r="H115" s="137" t="n"/>
      <c r="I115" s="1" t="n"/>
      <c r="J115" s="1" t="n"/>
      <c r="K115" s="1" t="n"/>
      <c r="L115" s="137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</row>
    <row r="116" ht="16.5" customHeight="1" s="220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</row>
    <row r="117" ht="16.5" customHeight="1" s="220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</row>
    <row r="118" ht="16.5" customHeight="1" s="220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</row>
    <row r="119" ht="16.5" customHeight="1" s="220">
      <c r="A119" s="137" t="n"/>
      <c r="B119" s="137" t="n"/>
      <c r="C119" s="137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</row>
    <row r="120" ht="16.5" customHeight="1" s="2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</row>
    <row r="121" ht="16.5" customHeight="1" s="220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</row>
    <row r="122" ht="16.5" customHeight="1" s="220">
      <c r="A122" s="137" t="n"/>
      <c r="B122" s="137" t="n"/>
      <c r="C122" s="137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</row>
    <row r="123" ht="16.5" customHeight="1" s="220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</row>
    <row r="124" ht="16.5" customHeight="1" s="220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</row>
    <row r="125" ht="16.5" customHeight="1" s="220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</row>
    <row r="126" ht="16.5" customHeight="1" s="220">
      <c r="A126" s="137" t="n"/>
      <c r="B126" s="137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</row>
    <row r="127" ht="16.5" customHeight="1" s="220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</row>
    <row r="128" ht="16.5" customHeight="1" s="220">
      <c r="A128" s="1" t="n"/>
      <c r="B128" s="1" t="n"/>
      <c r="C128" s="137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</row>
    <row r="129" ht="16.5" customHeight="1" s="220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</row>
    <row r="130" ht="16.5" customHeight="1" s="220">
      <c r="A130" s="137" t="n"/>
      <c r="B130" s="137" t="n"/>
      <c r="C130" s="137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</row>
    <row r="131" ht="16.5" customHeight="1" s="220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</row>
    <row r="132" ht="16.5" customHeight="1" s="220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</row>
    <row r="133" ht="16.5" customHeight="1" s="220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</row>
    <row r="134" ht="16.5" customHeight="1" s="220">
      <c r="A134" s="1" t="n"/>
      <c r="B134" s="1" t="n"/>
      <c r="C134" s="2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</row>
    <row r="135" ht="16.5" customHeight="1" s="220">
      <c r="A135" s="1" t="n"/>
      <c r="B135" s="1" t="n"/>
      <c r="C135" s="2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</row>
    <row r="136" ht="16.5" customHeight="1" s="220">
      <c r="A136" s="1" t="n"/>
      <c r="B136" s="1" t="n"/>
      <c r="C136" s="2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</row>
    <row r="137" ht="16.5" customHeight="1" s="220">
      <c r="A137" s="1" t="n"/>
      <c r="B137" s="1" t="n"/>
      <c r="C137" s="2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</row>
    <row r="138" ht="16.5" customHeight="1" s="220">
      <c r="A138" s="1" t="n"/>
      <c r="B138" s="1" t="n"/>
      <c r="C138" s="2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</row>
    <row r="139" ht="16.5" customHeight="1" s="220">
      <c r="A139" s="1" t="n"/>
      <c r="B139" s="1" t="n"/>
      <c r="C139" s="2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</row>
    <row r="140" ht="16.5" customHeight="1" s="220">
      <c r="A140" s="1" t="n"/>
      <c r="B140" s="1" t="n"/>
      <c r="C140" s="2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</row>
    <row r="141" ht="16.5" customHeight="1" s="220">
      <c r="A141" s="1" t="n"/>
      <c r="B141" s="1" t="n"/>
      <c r="C141" s="2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</row>
    <row r="142" ht="16.5" customHeight="1" s="220">
      <c r="A142" s="1" t="n"/>
      <c r="B142" s="1" t="n"/>
      <c r="C142" s="2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</row>
    <row r="143" ht="16.5" customHeight="1" s="220">
      <c r="A143" s="1" t="n"/>
      <c r="B143" s="1" t="n"/>
      <c r="C143" s="2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</row>
    <row r="144" ht="16.5" customHeight="1" s="220">
      <c r="A144" s="1" t="n"/>
      <c r="B144" s="1" t="n"/>
      <c r="C144" s="2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</row>
    <row r="145" ht="16.5" customHeight="1" s="220">
      <c r="A145" s="1" t="n"/>
      <c r="B145" s="1" t="n"/>
      <c r="C145" s="2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</row>
    <row r="146" ht="16.5" customHeight="1" s="220">
      <c r="A146" s="1" t="n"/>
      <c r="B146" s="1" t="n"/>
      <c r="C146" s="2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</row>
    <row r="147" ht="16.5" customHeight="1" s="220">
      <c r="A147" s="1" t="n"/>
      <c r="B147" s="1" t="n"/>
      <c r="C147" s="2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</row>
    <row r="148" ht="16.5" customHeight="1" s="220">
      <c r="A148" s="1" t="n"/>
      <c r="B148" s="1" t="n"/>
      <c r="C148" s="2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</row>
    <row r="149" ht="16.5" customHeight="1" s="220">
      <c r="A149" s="1" t="n"/>
      <c r="B149" s="1" t="n"/>
      <c r="C149" s="2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</row>
    <row r="150" ht="16.5" customHeight="1" s="220">
      <c r="A150" s="1" t="n"/>
      <c r="B150" s="1" t="n"/>
      <c r="C150" s="2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</row>
    <row r="151" ht="16.5" customHeight="1" s="220">
      <c r="A151" s="1" t="n"/>
      <c r="B151" s="1" t="n"/>
      <c r="C151" s="2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</row>
    <row r="152" ht="16.5" customHeight="1" s="220">
      <c r="A152" s="1" t="n"/>
      <c r="B152" s="1" t="n"/>
      <c r="C152" s="2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</row>
    <row r="153" ht="16.5" customHeight="1" s="220">
      <c r="A153" s="1" t="n"/>
      <c r="B153" s="1" t="n"/>
      <c r="C153" s="2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</row>
    <row r="154" ht="16.5" customHeight="1" s="220">
      <c r="A154" s="1" t="n"/>
      <c r="B154" s="1" t="n"/>
      <c r="C154" s="2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</row>
    <row r="155" ht="16.5" customHeight="1" s="220">
      <c r="A155" s="1" t="n"/>
      <c r="B155" s="1" t="n"/>
      <c r="C155" s="2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</row>
    <row r="156" ht="16.5" customHeight="1" s="220">
      <c r="A156" s="1" t="n"/>
      <c r="B156" s="1" t="n"/>
      <c r="C156" s="2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</row>
    <row r="157" ht="16.5" customHeight="1" s="220">
      <c r="A157" s="1" t="n"/>
      <c r="B157" s="1" t="n"/>
      <c r="C157" s="2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</row>
    <row r="158" ht="16.5" customHeight="1" s="220">
      <c r="A158" s="1" t="n"/>
      <c r="B158" s="1" t="n"/>
      <c r="C158" s="2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  <c r="BA158" s="1" t="n"/>
    </row>
    <row r="159" ht="16.5" customHeight="1" s="220">
      <c r="A159" s="1" t="n"/>
      <c r="B159" s="1" t="n"/>
      <c r="C159" s="2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</row>
    <row r="160" ht="16.5" customHeight="1" s="220">
      <c r="A160" s="1" t="n"/>
      <c r="B160" s="1" t="n"/>
      <c r="C160" s="2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</row>
    <row r="161" ht="16.5" customHeight="1" s="220">
      <c r="A161" s="1" t="n"/>
      <c r="B161" s="1" t="n"/>
      <c r="C161" s="2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</row>
    <row r="162" ht="16.5" customHeight="1" s="220">
      <c r="A162" s="1" t="n"/>
      <c r="B162" s="1" t="n"/>
      <c r="C162" s="2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</row>
    <row r="163" ht="16.5" customHeight="1" s="220">
      <c r="A163" s="1" t="n"/>
      <c r="B163" s="1" t="n"/>
      <c r="C163" s="2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</row>
    <row r="164" ht="16.5" customHeight="1" s="220">
      <c r="A164" s="1" t="n"/>
      <c r="B164" s="1" t="n"/>
      <c r="C164" s="2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</row>
    <row r="165" ht="16.5" customHeight="1" s="220">
      <c r="A165" s="1" t="n"/>
      <c r="B165" s="1" t="n"/>
      <c r="C165" s="2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</row>
    <row r="166" ht="16.5" customHeight="1" s="220">
      <c r="A166" s="1" t="n"/>
      <c r="B166" s="1" t="n"/>
      <c r="C166" s="2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</row>
    <row r="167" ht="16.5" customHeight="1" s="220">
      <c r="A167" s="1" t="n"/>
      <c r="B167" s="1" t="n"/>
      <c r="C167" s="2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</row>
    <row r="168" ht="16.5" customHeight="1" s="220">
      <c r="A168" s="1" t="n"/>
      <c r="B168" s="1" t="n"/>
      <c r="C168" s="2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1" t="n"/>
    </row>
    <row r="169" ht="16.5" customHeight="1" s="220">
      <c r="A169" s="1" t="n"/>
      <c r="B169" s="1" t="n"/>
      <c r="C169" s="2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</row>
    <row r="170" ht="16.5" customHeight="1" s="220">
      <c r="A170" s="1" t="n"/>
      <c r="B170" s="1" t="n"/>
      <c r="C170" s="2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</row>
    <row r="171" ht="16.5" customHeight="1" s="220">
      <c r="A171" s="1" t="n"/>
      <c r="B171" s="1" t="n"/>
      <c r="C171" s="2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1" t="n"/>
    </row>
    <row r="172" ht="16.5" customHeight="1" s="220">
      <c r="A172" s="1" t="n"/>
      <c r="B172" s="1" t="n"/>
      <c r="C172" s="2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</row>
    <row r="173" ht="16.5" customHeight="1" s="220">
      <c r="A173" s="1" t="n"/>
      <c r="B173" s="1" t="n"/>
      <c r="C173" s="2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</row>
    <row r="174" ht="16.5" customHeight="1" s="220">
      <c r="A174" s="1" t="n"/>
      <c r="B174" s="1" t="n"/>
      <c r="C174" s="2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</row>
    <row r="175" ht="16.5" customHeight="1" s="220">
      <c r="A175" s="1" t="n"/>
      <c r="B175" s="1" t="n"/>
      <c r="C175" s="2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</row>
    <row r="176" ht="16.5" customHeight="1" s="220">
      <c r="A176" s="1" t="n"/>
      <c r="B176" s="1" t="n"/>
      <c r="C176" s="2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</row>
    <row r="177" ht="16.5" customHeight="1" s="220">
      <c r="A177" s="1" t="n"/>
      <c r="B177" s="1" t="n"/>
      <c r="C177" s="2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</row>
    <row r="178" ht="16.5" customHeight="1" s="220">
      <c r="A178" s="1" t="n"/>
      <c r="B178" s="1" t="n"/>
      <c r="C178" s="2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</row>
    <row r="179" ht="16.5" customHeight="1" s="220">
      <c r="A179" s="1" t="n"/>
      <c r="B179" s="1" t="n"/>
      <c r="C179" s="2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</row>
    <row r="180" ht="16.5" customHeight="1" s="220">
      <c r="A180" s="1" t="n"/>
      <c r="B180" s="1" t="n"/>
      <c r="C180" s="2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</row>
    <row r="181" ht="16.5" customHeight="1" s="220">
      <c r="A181" s="1" t="n"/>
      <c r="B181" s="1" t="n"/>
      <c r="C181" s="2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</row>
    <row r="182" ht="16.5" customHeight="1" s="220">
      <c r="A182" s="1" t="n"/>
      <c r="B182" s="1" t="n"/>
      <c r="C182" s="2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</row>
    <row r="183" ht="16.5" customHeight="1" s="220">
      <c r="A183" s="1" t="n"/>
      <c r="B183" s="1" t="n"/>
      <c r="C183" s="2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</row>
    <row r="184" ht="16.5" customHeight="1" s="220">
      <c r="A184" s="1" t="n"/>
      <c r="B184" s="1" t="n"/>
      <c r="C184" s="2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</row>
    <row r="185" ht="16.5" customHeight="1" s="220">
      <c r="A185" s="1" t="n"/>
      <c r="B185" s="1" t="n"/>
      <c r="C185" s="2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</row>
    <row r="186" ht="16.5" customHeight="1" s="220">
      <c r="A186" s="1" t="n"/>
      <c r="B186" s="1" t="n"/>
      <c r="C186" s="2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</row>
    <row r="187" ht="16.5" customHeight="1" s="220">
      <c r="A187" s="1" t="n"/>
      <c r="B187" s="1" t="n"/>
      <c r="C187" s="2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</row>
    <row r="188" ht="16.5" customHeight="1" s="220">
      <c r="A188" s="1" t="n"/>
      <c r="B188" s="1" t="n"/>
      <c r="C188" s="2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</row>
    <row r="189" ht="16.5" customHeight="1" s="220">
      <c r="A189" s="1" t="n"/>
      <c r="B189" s="1" t="n"/>
      <c r="C189" s="2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</row>
    <row r="190" ht="16.5" customHeight="1" s="220">
      <c r="A190" s="1" t="n"/>
      <c r="B190" s="1" t="n"/>
      <c r="C190" s="2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</row>
    <row r="191" ht="16.5" customHeight="1" s="220">
      <c r="A191" s="1" t="n"/>
      <c r="B191" s="1" t="n"/>
      <c r="C191" s="2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</row>
    <row r="192" ht="16.5" customHeight="1" s="220">
      <c r="A192" s="1" t="n"/>
      <c r="B192" s="1" t="n"/>
      <c r="C192" s="2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</row>
    <row r="193" ht="16.5" customHeight="1" s="220">
      <c r="A193" s="1" t="n"/>
      <c r="B193" s="1" t="n"/>
      <c r="C193" s="2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</row>
    <row r="194" ht="16.5" customHeight="1" s="220">
      <c r="A194" s="1" t="n"/>
      <c r="B194" s="1" t="n"/>
      <c r="C194" s="2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1" t="n"/>
    </row>
    <row r="195" ht="16.5" customHeight="1" s="220">
      <c r="A195" s="1" t="n"/>
      <c r="B195" s="1" t="n"/>
      <c r="C195" s="2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</row>
    <row r="196" ht="16.5" customHeight="1" s="220">
      <c r="A196" s="1" t="n"/>
      <c r="B196" s="1" t="n"/>
      <c r="C196" s="2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</row>
    <row r="197" ht="16.5" customHeight="1" s="220">
      <c r="A197" s="1" t="n"/>
      <c r="B197" s="1" t="n"/>
      <c r="C197" s="2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</row>
    <row r="198" ht="16.5" customHeight="1" s="220">
      <c r="A198" s="1" t="n"/>
      <c r="B198" s="1" t="n"/>
      <c r="C198" s="2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</row>
    <row r="199" ht="16.5" customHeight="1" s="220">
      <c r="A199" s="1" t="n"/>
      <c r="B199" s="1" t="n"/>
      <c r="C199" s="2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</row>
    <row r="200" ht="16.5" customHeight="1" s="220">
      <c r="A200" s="1" t="n"/>
      <c r="B200" s="1" t="n"/>
      <c r="C200" s="2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</row>
    <row r="201" ht="16.5" customHeight="1" s="220">
      <c r="A201" s="1" t="n"/>
      <c r="B201" s="1" t="n"/>
      <c r="C201" s="2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  <c r="BA201" s="1" t="n"/>
    </row>
    <row r="202" ht="16.5" customHeight="1" s="220">
      <c r="A202" s="1" t="n"/>
      <c r="B202" s="1" t="n"/>
      <c r="C202" s="2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  <c r="BA202" s="1" t="n"/>
    </row>
    <row r="203" ht="16.5" customHeight="1" s="220">
      <c r="A203" s="1" t="n"/>
      <c r="B203" s="1" t="n"/>
      <c r="C203" s="2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  <c r="BA203" s="1" t="n"/>
    </row>
    <row r="204" ht="16.5" customHeight="1" s="220">
      <c r="A204" s="1" t="n"/>
      <c r="B204" s="1" t="n"/>
      <c r="C204" s="2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  <c r="BA204" s="1" t="n"/>
    </row>
    <row r="205" ht="16.5" customHeight="1" s="220">
      <c r="A205" s="1" t="n"/>
      <c r="B205" s="1" t="n"/>
      <c r="C205" s="2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  <c r="BA205" s="1" t="n"/>
    </row>
    <row r="206" ht="16.5" customHeight="1" s="220">
      <c r="A206" s="1" t="n"/>
      <c r="B206" s="1" t="n"/>
      <c r="C206" s="2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  <c r="BA206" s="1" t="n"/>
    </row>
    <row r="207" ht="16.5" customHeight="1" s="220">
      <c r="A207" s="1" t="n"/>
      <c r="B207" s="1" t="n"/>
      <c r="C207" s="2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  <c r="BA207" s="1" t="n"/>
    </row>
    <row r="208" ht="16.5" customHeight="1" s="220">
      <c r="A208" s="1" t="n"/>
      <c r="B208" s="1" t="n"/>
      <c r="C208" s="2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  <c r="BA208" s="1" t="n"/>
    </row>
    <row r="209" ht="16.5" customHeight="1" s="220">
      <c r="A209" s="1" t="n"/>
      <c r="B209" s="1" t="n"/>
      <c r="C209" s="2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  <c r="BA209" s="1" t="n"/>
    </row>
    <row r="210" ht="16.5" customHeight="1" s="220">
      <c r="A210" s="1" t="n"/>
      <c r="B210" s="1" t="n"/>
      <c r="C210" s="2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  <c r="BA210" s="1" t="n"/>
    </row>
    <row r="211" ht="16.5" customHeight="1" s="220">
      <c r="A211" s="1" t="n"/>
      <c r="B211" s="1" t="n"/>
      <c r="C211" s="2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  <c r="BA211" s="1" t="n"/>
    </row>
    <row r="212" ht="16.5" customHeight="1" s="220">
      <c r="A212" s="1" t="n"/>
      <c r="B212" s="1" t="n"/>
      <c r="C212" s="2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  <c r="BA212" s="1" t="n"/>
    </row>
    <row r="213" ht="16.5" customHeight="1" s="220">
      <c r="A213" s="1" t="n"/>
      <c r="B213" s="1" t="n"/>
      <c r="C213" s="2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  <c r="BA213" s="1" t="n"/>
    </row>
    <row r="214" ht="16.5" customHeight="1" s="220">
      <c r="A214" s="1" t="n"/>
      <c r="B214" s="1" t="n"/>
      <c r="C214" s="2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  <c r="BA214" s="1" t="n"/>
    </row>
    <row r="215" ht="16.5" customHeight="1" s="220">
      <c r="A215" s="1" t="n"/>
      <c r="B215" s="1" t="n"/>
      <c r="C215" s="2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  <c r="BA215" s="1" t="n"/>
    </row>
    <row r="216" ht="16.5" customHeight="1" s="220">
      <c r="A216" s="1" t="n"/>
      <c r="B216" s="1" t="n"/>
      <c r="C216" s="2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  <c r="BA216" s="1" t="n"/>
    </row>
    <row r="217" ht="16.5" customHeight="1" s="220">
      <c r="A217" s="1" t="n"/>
      <c r="B217" s="1" t="n"/>
      <c r="C217" s="2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  <c r="BA217" s="1" t="n"/>
    </row>
    <row r="218" ht="16.5" customHeight="1" s="220">
      <c r="A218" s="1" t="n"/>
      <c r="B218" s="1" t="n"/>
      <c r="C218" s="2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  <c r="BA218" s="1" t="n"/>
    </row>
    <row r="219" ht="16.5" customHeight="1" s="220">
      <c r="A219" s="1" t="n"/>
      <c r="B219" s="1" t="n"/>
      <c r="C219" s="2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  <c r="BA219" s="1" t="n"/>
    </row>
    <row r="220" ht="16.5" customHeight="1" s="220">
      <c r="A220" s="1" t="n"/>
      <c r="B220" s="1" t="n"/>
      <c r="C220" s="2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  <c r="BA220" s="1" t="n"/>
    </row>
    <row r="221" ht="16.5" customHeight="1" s="220">
      <c r="A221" s="1" t="n"/>
      <c r="B221" s="1" t="n"/>
      <c r="C221" s="2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  <c r="BA221" s="1" t="n"/>
    </row>
    <row r="222" ht="16.5" customHeight="1" s="220">
      <c r="A222" s="1" t="n"/>
      <c r="B222" s="1" t="n"/>
      <c r="C222" s="2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  <c r="BA222" s="1" t="n"/>
    </row>
    <row r="223" ht="16.5" customHeight="1" s="220">
      <c r="A223" s="1" t="n"/>
      <c r="B223" s="1" t="n"/>
      <c r="C223" s="2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  <c r="BA223" s="1" t="n"/>
    </row>
    <row r="224" ht="16.5" customHeight="1" s="220">
      <c r="A224" s="1" t="n"/>
      <c r="B224" s="1" t="n"/>
      <c r="C224" s="2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  <c r="BA224" s="1" t="n"/>
    </row>
    <row r="225" ht="16.5" customHeight="1" s="220">
      <c r="A225" s="1" t="n"/>
      <c r="B225" s="1" t="n"/>
      <c r="C225" s="2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  <c r="BA225" s="1" t="n"/>
    </row>
    <row r="226" ht="16.5" customHeight="1" s="220">
      <c r="A226" s="1" t="n"/>
      <c r="B226" s="1" t="n"/>
      <c r="C226" s="2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  <c r="AZ226" s="1" t="n"/>
      <c r="BA226" s="1" t="n"/>
    </row>
    <row r="227" ht="16.5" customHeight="1" s="220">
      <c r="A227" s="1" t="n"/>
      <c r="B227" s="1" t="n"/>
      <c r="C227" s="2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  <c r="BA227" s="1" t="n"/>
    </row>
    <row r="228" ht="16.5" customHeight="1" s="220">
      <c r="A228" s="1" t="n"/>
      <c r="B228" s="1" t="n"/>
      <c r="C228" s="2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  <c r="AZ228" s="1" t="n"/>
      <c r="BA228" s="1" t="n"/>
    </row>
    <row r="229" ht="16.5" customHeight="1" s="220">
      <c r="A229" s="1" t="n"/>
      <c r="B229" s="1" t="n"/>
      <c r="C229" s="2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  <c r="BA229" s="1" t="n"/>
    </row>
    <row r="230" ht="16.5" customHeight="1" s="220">
      <c r="A230" s="1" t="n"/>
      <c r="B230" s="1" t="n"/>
      <c r="C230" s="2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  <c r="AZ230" s="1" t="n"/>
      <c r="BA230" s="1" t="n"/>
    </row>
    <row r="231" ht="16.5" customHeight="1" s="220">
      <c r="A231" s="1" t="n"/>
      <c r="B231" s="1" t="n"/>
      <c r="C231" s="2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  <c r="BA231" s="1" t="n"/>
    </row>
    <row r="232" ht="16.5" customHeight="1" s="220">
      <c r="A232" s="1" t="n"/>
      <c r="B232" s="1" t="n"/>
      <c r="C232" s="2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  <c r="AZ232" s="1" t="n"/>
      <c r="BA232" s="1" t="n"/>
    </row>
    <row r="233" ht="16.5" customHeight="1" s="220">
      <c r="A233" s="1" t="n"/>
      <c r="B233" s="1" t="n"/>
      <c r="C233" s="2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  <c r="BA233" s="1" t="n"/>
    </row>
    <row r="234" ht="16.5" customHeight="1" s="220">
      <c r="A234" s="1" t="n"/>
      <c r="B234" s="1" t="n"/>
      <c r="C234" s="2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  <c r="AY234" s="1" t="n"/>
      <c r="AZ234" s="1" t="n"/>
      <c r="BA234" s="1" t="n"/>
    </row>
    <row r="235" ht="16.5" customHeight="1" s="220">
      <c r="A235" s="1" t="n"/>
      <c r="B235" s="1" t="n"/>
      <c r="C235" s="2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  <c r="AZ235" s="1" t="n"/>
      <c r="BA235" s="1" t="n"/>
    </row>
    <row r="236" ht="16.5" customHeight="1" s="220">
      <c r="A236" s="1" t="n"/>
      <c r="B236" s="1" t="n"/>
      <c r="C236" s="2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  <c r="AY236" s="1" t="n"/>
      <c r="AZ236" s="1" t="n"/>
      <c r="BA236" s="1" t="n"/>
    </row>
    <row r="237" ht="16.5" customHeight="1" s="220">
      <c r="A237" s="1" t="n"/>
      <c r="B237" s="1" t="n"/>
      <c r="C237" s="2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  <c r="BA237" s="1" t="n"/>
    </row>
    <row r="238" ht="16.5" customHeight="1" s="220">
      <c r="A238" s="1" t="n"/>
      <c r="B238" s="1" t="n"/>
      <c r="C238" s="2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  <c r="AZ238" s="1" t="n"/>
      <c r="BA238" s="1" t="n"/>
    </row>
    <row r="239" ht="16.5" customHeight="1" s="220">
      <c r="A239" s="1" t="n"/>
      <c r="B239" s="1" t="n"/>
      <c r="C239" s="2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  <c r="AZ239" s="1" t="n"/>
      <c r="BA239" s="1" t="n"/>
    </row>
    <row r="240" ht="16.5" customHeight="1" s="220">
      <c r="A240" s="1" t="n"/>
      <c r="B240" s="1" t="n"/>
      <c r="C240" s="2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</row>
    <row r="241" ht="16.5" customHeight="1" s="220">
      <c r="A241" s="1" t="n"/>
      <c r="B241" s="1" t="n"/>
      <c r="C241" s="2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  <c r="AZ241" s="1" t="n"/>
      <c r="BA241" s="1" t="n"/>
    </row>
    <row r="242" ht="16.5" customHeight="1" s="220">
      <c r="A242" s="1" t="n"/>
      <c r="B242" s="1" t="n"/>
      <c r="C242" s="2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  <c r="BA242" s="1" t="n"/>
    </row>
    <row r="243" ht="16.5" customHeight="1" s="220">
      <c r="A243" s="1" t="n"/>
      <c r="B243" s="1" t="n"/>
      <c r="C243" s="2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  <c r="AZ243" s="1" t="n"/>
      <c r="BA243" s="1" t="n"/>
    </row>
    <row r="244" ht="16.5" customHeight="1" s="220">
      <c r="A244" s="1" t="n"/>
      <c r="B244" s="1" t="n"/>
      <c r="C244" s="2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  <c r="AY244" s="1" t="n"/>
      <c r="AZ244" s="1" t="n"/>
      <c r="BA244" s="1" t="n"/>
    </row>
    <row r="245" ht="16.5" customHeight="1" s="220">
      <c r="A245" s="1" t="n"/>
      <c r="B245" s="1" t="n"/>
      <c r="C245" s="2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  <c r="AZ245" s="1" t="n"/>
      <c r="BA245" s="1" t="n"/>
    </row>
    <row r="246" ht="16.5" customHeight="1" s="220">
      <c r="A246" s="1" t="n"/>
      <c r="B246" s="1" t="n"/>
      <c r="C246" s="2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  <c r="AX246" s="1" t="n"/>
      <c r="AY246" s="1" t="n"/>
      <c r="AZ246" s="1" t="n"/>
      <c r="BA246" s="1" t="n"/>
    </row>
    <row r="247" ht="16.5" customHeight="1" s="220">
      <c r="A247" s="1" t="n"/>
      <c r="B247" s="1" t="n"/>
      <c r="C247" s="2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  <c r="AY247" s="1" t="n"/>
      <c r="AZ247" s="1" t="n"/>
      <c r="BA247" s="1" t="n"/>
    </row>
    <row r="248" ht="16.5" customHeight="1" s="220">
      <c r="A248" s="1" t="n"/>
      <c r="B248" s="1" t="n"/>
      <c r="C248" s="2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  <c r="AX248" s="1" t="n"/>
      <c r="AY248" s="1" t="n"/>
      <c r="AZ248" s="1" t="n"/>
      <c r="BA248" s="1" t="n"/>
    </row>
    <row r="249" ht="16.5" customHeight="1" s="220">
      <c r="A249" s="1" t="n"/>
      <c r="B249" s="1" t="n"/>
      <c r="C249" s="2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  <c r="AY249" s="1" t="n"/>
      <c r="AZ249" s="1" t="n"/>
      <c r="BA249" s="1" t="n"/>
    </row>
    <row r="250" ht="16.5" customHeight="1" s="220">
      <c r="A250" s="1" t="n"/>
      <c r="B250" s="1" t="n"/>
      <c r="C250" s="2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  <c r="AY250" s="1" t="n"/>
      <c r="AZ250" s="1" t="n"/>
      <c r="BA250" s="1" t="n"/>
    </row>
    <row r="251" ht="16.5" customHeight="1" s="220">
      <c r="A251" s="1" t="n"/>
      <c r="B251" s="1" t="n"/>
      <c r="C251" s="2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  <c r="AZ251" s="1" t="n"/>
      <c r="BA251" s="1" t="n"/>
    </row>
    <row r="252" ht="16.5" customHeight="1" s="220">
      <c r="A252" s="1" t="n"/>
      <c r="B252" s="1" t="n"/>
      <c r="C252" s="2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  <c r="AY252" s="1" t="n"/>
      <c r="AZ252" s="1" t="n"/>
      <c r="BA252" s="1" t="n"/>
    </row>
    <row r="253" ht="16.5" customHeight="1" s="220">
      <c r="A253" s="1" t="n"/>
      <c r="B253" s="1" t="n"/>
      <c r="C253" s="2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  <c r="AZ253" s="1" t="n"/>
      <c r="BA253" s="1" t="n"/>
    </row>
    <row r="254" ht="16.5" customHeight="1" s="220">
      <c r="A254" s="1" t="n"/>
      <c r="B254" s="1" t="n"/>
      <c r="C254" s="2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  <c r="AX254" s="1" t="n"/>
      <c r="AY254" s="1" t="n"/>
      <c r="AZ254" s="1" t="n"/>
      <c r="BA254" s="1" t="n"/>
    </row>
    <row r="255" ht="16.5" customHeight="1" s="220">
      <c r="A255" s="1" t="n"/>
      <c r="B255" s="1" t="n"/>
      <c r="C255" s="2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  <c r="AZ255" s="1" t="n"/>
      <c r="BA255" s="1" t="n"/>
    </row>
    <row r="256" ht="16.5" customHeight="1" s="220">
      <c r="A256" s="1" t="n"/>
      <c r="B256" s="1" t="n"/>
      <c r="C256" s="2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  <c r="AY256" s="1" t="n"/>
      <c r="AZ256" s="1" t="n"/>
      <c r="BA256" s="1" t="n"/>
    </row>
    <row r="257" ht="16.5" customHeight="1" s="220">
      <c r="A257" s="1" t="n"/>
      <c r="B257" s="1" t="n"/>
      <c r="C257" s="2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  <c r="BA257" s="1" t="n"/>
    </row>
    <row r="258" ht="16.5" customHeight="1" s="220">
      <c r="A258" s="1" t="n"/>
      <c r="B258" s="1" t="n"/>
      <c r="C258" s="2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  <c r="AY258" s="1" t="n"/>
      <c r="AZ258" s="1" t="n"/>
      <c r="BA258" s="1" t="n"/>
    </row>
    <row r="259" ht="16.5" customHeight="1" s="220">
      <c r="A259" s="1" t="n"/>
      <c r="B259" s="1" t="n"/>
      <c r="C259" s="2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  <c r="BA259" s="1" t="n"/>
    </row>
    <row r="260" ht="16.5" customHeight="1" s="220">
      <c r="A260" s="1" t="n"/>
      <c r="B260" s="1" t="n"/>
      <c r="C260" s="2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  <c r="AX260" s="1" t="n"/>
      <c r="AY260" s="1" t="n"/>
      <c r="AZ260" s="1" t="n"/>
      <c r="BA260" s="1" t="n"/>
    </row>
    <row r="261" ht="16.5" customHeight="1" s="220">
      <c r="A261" s="1" t="n"/>
      <c r="B261" s="1" t="n"/>
      <c r="C261" s="2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  <c r="AZ261" s="1" t="n"/>
      <c r="BA261" s="1" t="n"/>
    </row>
    <row r="262" ht="16.5" customHeight="1" s="220">
      <c r="A262" s="1" t="n"/>
      <c r="B262" s="1" t="n"/>
      <c r="C262" s="2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  <c r="AX262" s="1" t="n"/>
      <c r="AY262" s="1" t="n"/>
      <c r="AZ262" s="1" t="n"/>
      <c r="BA262" s="1" t="n"/>
    </row>
    <row r="263" ht="16.5" customHeight="1" s="220">
      <c r="A263" s="1" t="n"/>
      <c r="B263" s="1" t="n"/>
      <c r="C263" s="2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  <c r="AZ263" s="1" t="n"/>
      <c r="BA263" s="1" t="n"/>
    </row>
    <row r="264" ht="16.5" customHeight="1" s="220">
      <c r="A264" s="1" t="n"/>
      <c r="B264" s="1" t="n"/>
      <c r="C264" s="2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  <c r="AX264" s="1" t="n"/>
      <c r="AY264" s="1" t="n"/>
      <c r="AZ264" s="1" t="n"/>
      <c r="BA264" s="1" t="n"/>
    </row>
    <row r="265" ht="16.5" customHeight="1" s="220">
      <c r="A265" s="1" t="n"/>
      <c r="B265" s="1" t="n"/>
      <c r="C265" s="2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  <c r="BA265" s="1" t="n"/>
    </row>
    <row r="266" ht="16.5" customHeight="1" s="220">
      <c r="A266" s="1" t="n"/>
      <c r="B266" s="1" t="n"/>
      <c r="C266" s="2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  <c r="AX266" s="1" t="n"/>
      <c r="AY266" s="1" t="n"/>
      <c r="AZ266" s="1" t="n"/>
      <c r="BA266" s="1" t="n"/>
    </row>
    <row r="267" ht="16.5" customHeight="1" s="220">
      <c r="A267" s="1" t="n"/>
      <c r="B267" s="1" t="n"/>
      <c r="C267" s="2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  <c r="BA267" s="1" t="n"/>
    </row>
    <row r="268" ht="16.5" customHeight="1" s="220">
      <c r="A268" s="1" t="n"/>
      <c r="B268" s="1" t="n"/>
      <c r="C268" s="2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  <c r="AZ268" s="1" t="n"/>
      <c r="BA268" s="1" t="n"/>
    </row>
    <row r="269" ht="16.5" customHeight="1" s="220">
      <c r="A269" s="1" t="n"/>
      <c r="B269" s="1" t="n"/>
      <c r="C269" s="2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  <c r="AZ269" s="1" t="n"/>
      <c r="BA269" s="1" t="n"/>
    </row>
    <row r="270" ht="16.5" customHeight="1" s="220">
      <c r="A270" s="1" t="n"/>
      <c r="B270" s="1" t="n"/>
      <c r="C270" s="2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  <c r="BA270" s="1" t="n"/>
    </row>
    <row r="271" ht="16.5" customHeight="1" s="220">
      <c r="A271" s="1" t="n"/>
      <c r="B271" s="1" t="n"/>
      <c r="C271" s="2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  <c r="AZ271" s="1" t="n"/>
      <c r="BA271" s="1" t="n"/>
    </row>
    <row r="272" ht="16.5" customHeight="1" s="220">
      <c r="A272" s="1" t="n"/>
      <c r="B272" s="1" t="n"/>
      <c r="C272" s="2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  <c r="AY272" s="1" t="n"/>
      <c r="AZ272" s="1" t="n"/>
      <c r="BA272" s="1" t="n"/>
    </row>
    <row r="273" ht="16.5" customHeight="1" s="220">
      <c r="A273" s="1" t="n"/>
      <c r="B273" s="1" t="n"/>
      <c r="C273" s="2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  <c r="AZ273" s="1" t="n"/>
      <c r="BA273" s="1" t="n"/>
    </row>
    <row r="274" ht="16.5" customHeight="1" s="220">
      <c r="A274" s="1" t="n"/>
      <c r="B274" s="1" t="n"/>
      <c r="C274" s="2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  <c r="AX274" s="1" t="n"/>
      <c r="AY274" s="1" t="n"/>
      <c r="AZ274" s="1" t="n"/>
      <c r="BA274" s="1" t="n"/>
    </row>
    <row r="275" ht="16.5" customHeight="1" s="220">
      <c r="A275" s="1" t="n"/>
      <c r="B275" s="1" t="n"/>
      <c r="C275" s="2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  <c r="AY275" s="1" t="n"/>
      <c r="AZ275" s="1" t="n"/>
      <c r="BA275" s="1" t="n"/>
    </row>
    <row r="276" ht="16.5" customHeight="1" s="220">
      <c r="A276" s="1" t="n"/>
      <c r="B276" s="1" t="n"/>
      <c r="C276" s="2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  <c r="BA276" s="1" t="n"/>
    </row>
    <row r="277" ht="16.5" customHeight="1" s="220">
      <c r="A277" s="1" t="n"/>
      <c r="B277" s="1" t="n"/>
      <c r="C277" s="2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  <c r="AX277" s="1" t="n"/>
      <c r="AY277" s="1" t="n"/>
      <c r="AZ277" s="1" t="n"/>
      <c r="BA277" s="1" t="n"/>
    </row>
    <row r="278" ht="16.5" customHeight="1" s="220">
      <c r="A278" s="1" t="n"/>
      <c r="B278" s="1" t="n"/>
      <c r="C278" s="2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  <c r="AZ278" s="1" t="n"/>
      <c r="BA278" s="1" t="n"/>
    </row>
    <row r="279" ht="16.5" customHeight="1" s="220">
      <c r="A279" s="1" t="n"/>
      <c r="B279" s="1" t="n"/>
      <c r="C279" s="2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  <c r="AX279" s="1" t="n"/>
      <c r="AY279" s="1" t="n"/>
      <c r="AZ279" s="1" t="n"/>
      <c r="BA279" s="1" t="n"/>
    </row>
    <row r="280" ht="16.5" customHeight="1" s="220">
      <c r="A280" s="1" t="n"/>
      <c r="B280" s="1" t="n"/>
      <c r="C280" s="2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  <c r="AX280" s="1" t="n"/>
      <c r="AY280" s="1" t="n"/>
      <c r="AZ280" s="1" t="n"/>
      <c r="BA280" s="1" t="n"/>
    </row>
    <row r="281" ht="16.5" customHeight="1" s="220">
      <c r="A281" s="1" t="n"/>
      <c r="B281" s="1" t="n"/>
      <c r="C281" s="2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  <c r="AX281" s="1" t="n"/>
      <c r="AY281" s="1" t="n"/>
      <c r="AZ281" s="1" t="n"/>
      <c r="BA281" s="1" t="n"/>
    </row>
    <row r="282" ht="16.5" customHeight="1" s="220">
      <c r="A282" s="1" t="n"/>
      <c r="B282" s="1" t="n"/>
      <c r="C282" s="2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  <c r="AX282" s="1" t="n"/>
      <c r="AY282" s="1" t="n"/>
      <c r="AZ282" s="1" t="n"/>
      <c r="BA282" s="1" t="n"/>
    </row>
    <row r="283" ht="16.5" customHeight="1" s="220">
      <c r="A283" s="1" t="n"/>
      <c r="B283" s="1" t="n"/>
      <c r="C283" s="2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  <c r="AX283" s="1" t="n"/>
      <c r="AY283" s="1" t="n"/>
      <c r="AZ283" s="1" t="n"/>
      <c r="BA283" s="1" t="n"/>
    </row>
    <row r="284" ht="16.5" customHeight="1" s="220">
      <c r="A284" s="1" t="n"/>
      <c r="B284" s="1" t="n"/>
      <c r="C284" s="2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  <c r="AX284" s="1" t="n"/>
      <c r="AY284" s="1" t="n"/>
      <c r="AZ284" s="1" t="n"/>
      <c r="BA284" s="1" t="n"/>
    </row>
    <row r="285" ht="16.5" customHeight="1" s="220">
      <c r="A285" s="1" t="n"/>
      <c r="B285" s="1" t="n"/>
      <c r="C285" s="2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  <c r="AX285" s="1" t="n"/>
      <c r="AY285" s="1" t="n"/>
      <c r="AZ285" s="1" t="n"/>
      <c r="BA285" s="1" t="n"/>
    </row>
    <row r="286" ht="16.5" customHeight="1" s="220">
      <c r="A286" s="1" t="n"/>
      <c r="B286" s="1" t="n"/>
      <c r="C286" s="2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  <c r="AX286" s="1" t="n"/>
      <c r="AY286" s="1" t="n"/>
      <c r="AZ286" s="1" t="n"/>
      <c r="BA286" s="1" t="n"/>
    </row>
    <row r="287" ht="16.5" customHeight="1" s="220">
      <c r="A287" s="1" t="n"/>
      <c r="B287" s="1" t="n"/>
      <c r="C287" s="2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  <c r="AX287" s="1" t="n"/>
      <c r="AY287" s="1" t="n"/>
      <c r="AZ287" s="1" t="n"/>
      <c r="BA287" s="1" t="n"/>
    </row>
    <row r="288" ht="16.5" customHeight="1" s="220">
      <c r="A288" s="1" t="n"/>
      <c r="B288" s="1" t="n"/>
      <c r="C288" s="2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  <c r="AX288" s="1" t="n"/>
      <c r="AY288" s="1" t="n"/>
      <c r="AZ288" s="1" t="n"/>
      <c r="BA288" s="1" t="n"/>
    </row>
    <row r="289" ht="16.5" customHeight="1" s="220">
      <c r="A289" s="1" t="n"/>
      <c r="B289" s="1" t="n"/>
      <c r="C289" s="2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  <c r="AX289" s="1" t="n"/>
      <c r="AY289" s="1" t="n"/>
      <c r="AZ289" s="1" t="n"/>
      <c r="BA289" s="1" t="n"/>
    </row>
    <row r="290" ht="16.5" customHeight="1" s="220">
      <c r="A290" s="1" t="n"/>
      <c r="B290" s="1" t="n"/>
      <c r="C290" s="2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  <c r="AX290" s="1" t="n"/>
      <c r="AY290" s="1" t="n"/>
      <c r="AZ290" s="1" t="n"/>
      <c r="BA290" s="1" t="n"/>
    </row>
    <row r="291" ht="16.5" customHeight="1" s="220">
      <c r="A291" s="1" t="n"/>
      <c r="B291" s="1" t="n"/>
      <c r="C291" s="2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  <c r="AX291" s="1" t="n"/>
      <c r="AY291" s="1" t="n"/>
      <c r="AZ291" s="1" t="n"/>
      <c r="BA291" s="1" t="n"/>
    </row>
    <row r="292" ht="16.5" customHeight="1" s="220">
      <c r="A292" s="1" t="n"/>
      <c r="B292" s="1" t="n"/>
      <c r="C292" s="2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  <c r="AW292" s="1" t="n"/>
      <c r="AX292" s="1" t="n"/>
      <c r="AY292" s="1" t="n"/>
      <c r="AZ292" s="1" t="n"/>
      <c r="BA292" s="1" t="n"/>
    </row>
    <row r="293" ht="16.5" customHeight="1" s="220">
      <c r="A293" s="1" t="n"/>
      <c r="B293" s="1" t="n"/>
      <c r="C293" s="2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  <c r="AX293" s="1" t="n"/>
      <c r="AY293" s="1" t="n"/>
      <c r="AZ293" s="1" t="n"/>
      <c r="BA293" s="1" t="n"/>
    </row>
    <row r="294" ht="16.5" customHeight="1" s="220">
      <c r="A294" s="1" t="n"/>
      <c r="B294" s="1" t="n"/>
      <c r="C294" s="2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  <c r="AS294" s="1" t="n"/>
      <c r="AT294" s="1" t="n"/>
      <c r="AU294" s="1" t="n"/>
      <c r="AV294" s="1" t="n"/>
      <c r="AW294" s="1" t="n"/>
      <c r="AX294" s="1" t="n"/>
      <c r="AY294" s="1" t="n"/>
      <c r="AZ294" s="1" t="n"/>
      <c r="BA294" s="1" t="n"/>
    </row>
    <row r="295" ht="16.5" customHeight="1" s="220">
      <c r="A295" s="1" t="n"/>
      <c r="B295" s="1" t="n"/>
      <c r="C295" s="2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  <c r="AX295" s="1" t="n"/>
      <c r="AY295" s="1" t="n"/>
      <c r="AZ295" s="1" t="n"/>
      <c r="BA295" s="1" t="n"/>
    </row>
    <row r="296" ht="16.5" customHeight="1" s="220">
      <c r="A296" s="1" t="n"/>
      <c r="B296" s="1" t="n"/>
      <c r="C296" s="2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T296" s="1" t="n"/>
      <c r="AU296" s="1" t="n"/>
      <c r="AV296" s="1" t="n"/>
      <c r="AW296" s="1" t="n"/>
      <c r="AX296" s="1" t="n"/>
      <c r="AY296" s="1" t="n"/>
      <c r="AZ296" s="1" t="n"/>
      <c r="BA296" s="1" t="n"/>
    </row>
    <row r="297" ht="16.5" customHeight="1" s="220">
      <c r="A297" s="1" t="n"/>
      <c r="B297" s="1" t="n"/>
      <c r="C297" s="2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  <c r="AX297" s="1" t="n"/>
      <c r="AY297" s="1" t="n"/>
      <c r="AZ297" s="1" t="n"/>
      <c r="BA297" s="1" t="n"/>
    </row>
    <row r="298" ht="16.5" customHeight="1" s="220">
      <c r="A298" s="1" t="n"/>
      <c r="B298" s="1" t="n"/>
      <c r="C298" s="2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  <c r="AW298" s="1" t="n"/>
      <c r="AX298" s="1" t="n"/>
      <c r="AY298" s="1" t="n"/>
      <c r="AZ298" s="1" t="n"/>
      <c r="BA298" s="1" t="n"/>
    </row>
    <row r="299" ht="16.5" customHeight="1" s="220">
      <c r="A299" s="1" t="n"/>
      <c r="B299" s="1" t="n"/>
      <c r="C299" s="2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  <c r="AX299" s="1" t="n"/>
      <c r="AY299" s="1" t="n"/>
      <c r="AZ299" s="1" t="n"/>
      <c r="BA299" s="1" t="n"/>
    </row>
    <row r="300" ht="16.5" customHeight="1" s="220">
      <c r="A300" s="1" t="n"/>
      <c r="B300" s="1" t="n"/>
      <c r="C300" s="2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  <c r="AW300" s="1" t="n"/>
      <c r="AX300" s="1" t="n"/>
      <c r="AY300" s="1" t="n"/>
      <c r="AZ300" s="1" t="n"/>
      <c r="BA300" s="1" t="n"/>
    </row>
    <row r="301" ht="16.5" customHeight="1" s="220">
      <c r="A301" s="1" t="n"/>
      <c r="B301" s="1" t="n"/>
      <c r="C301" s="2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  <c r="AX301" s="1" t="n"/>
      <c r="AY301" s="1" t="n"/>
      <c r="AZ301" s="1" t="n"/>
      <c r="BA301" s="1" t="n"/>
    </row>
    <row r="302" ht="16.5" customHeight="1" s="220">
      <c r="A302" s="1" t="n"/>
      <c r="B302" s="1" t="n"/>
      <c r="C302" s="2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  <c r="AW302" s="1" t="n"/>
      <c r="AX302" s="1" t="n"/>
      <c r="AY302" s="1" t="n"/>
      <c r="AZ302" s="1" t="n"/>
      <c r="BA302" s="1" t="n"/>
    </row>
    <row r="303" ht="16.5" customHeight="1" s="220">
      <c r="A303" s="1" t="n"/>
      <c r="B303" s="1" t="n"/>
      <c r="C303" s="2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  <c r="AX303" s="1" t="n"/>
      <c r="AY303" s="1" t="n"/>
      <c r="AZ303" s="1" t="n"/>
      <c r="BA303" s="1" t="n"/>
    </row>
    <row r="304" ht="16.5" customHeight="1" s="220">
      <c r="A304" s="1" t="n"/>
      <c r="B304" s="1" t="n"/>
      <c r="C304" s="2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  <c r="AW304" s="1" t="n"/>
      <c r="AX304" s="1" t="n"/>
      <c r="AY304" s="1" t="n"/>
      <c r="AZ304" s="1" t="n"/>
      <c r="BA304" s="1" t="n"/>
    </row>
    <row r="305" ht="16.5" customHeight="1" s="220">
      <c r="A305" s="1" t="n"/>
      <c r="B305" s="1" t="n"/>
      <c r="C305" s="2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  <c r="AX305" s="1" t="n"/>
      <c r="AY305" s="1" t="n"/>
      <c r="AZ305" s="1" t="n"/>
      <c r="BA305" s="1" t="n"/>
    </row>
    <row r="306" ht="16.5" customHeight="1" s="220">
      <c r="A306" s="1" t="n"/>
      <c r="B306" s="1" t="n"/>
      <c r="C306" s="2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  <c r="AW306" s="1" t="n"/>
      <c r="AX306" s="1" t="n"/>
      <c r="AY306" s="1" t="n"/>
      <c r="AZ306" s="1" t="n"/>
      <c r="BA306" s="1" t="n"/>
    </row>
    <row r="307" ht="16.5" customHeight="1" s="220">
      <c r="A307" s="1" t="n"/>
      <c r="B307" s="1" t="n"/>
      <c r="C307" s="2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  <c r="AX307" s="1" t="n"/>
      <c r="AY307" s="1" t="n"/>
      <c r="AZ307" s="1" t="n"/>
      <c r="BA307" s="1" t="n"/>
    </row>
    <row r="308" ht="16.5" customHeight="1" s="220">
      <c r="A308" s="1" t="n"/>
      <c r="B308" s="1" t="n"/>
      <c r="C308" s="2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  <c r="AW308" s="1" t="n"/>
      <c r="AX308" s="1" t="n"/>
      <c r="AY308" s="1" t="n"/>
      <c r="AZ308" s="1" t="n"/>
      <c r="BA308" s="1" t="n"/>
    </row>
    <row r="309" ht="16.5" customHeight="1" s="220">
      <c r="A309" s="1" t="n"/>
      <c r="B309" s="1" t="n"/>
      <c r="C309" s="2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  <c r="AX309" s="1" t="n"/>
      <c r="AY309" s="1" t="n"/>
      <c r="AZ309" s="1" t="n"/>
      <c r="BA309" s="1" t="n"/>
    </row>
    <row r="310" ht="16.5" customHeight="1" s="220">
      <c r="A310" s="1" t="n"/>
      <c r="B310" s="1" t="n"/>
      <c r="C310" s="2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  <c r="AW310" s="1" t="n"/>
      <c r="AX310" s="1" t="n"/>
      <c r="AY310" s="1" t="n"/>
      <c r="AZ310" s="1" t="n"/>
      <c r="BA310" s="1" t="n"/>
    </row>
    <row r="311" ht="16.5" customHeight="1" s="220">
      <c r="A311" s="1" t="n"/>
      <c r="B311" s="1" t="n"/>
      <c r="C311" s="2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  <c r="AX311" s="1" t="n"/>
      <c r="AY311" s="1" t="n"/>
      <c r="AZ311" s="1" t="n"/>
      <c r="BA311" s="1" t="n"/>
    </row>
    <row r="312" ht="16.5" customHeight="1" s="220">
      <c r="A312" s="1" t="n"/>
      <c r="B312" s="1" t="n"/>
      <c r="C312" s="2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  <c r="AS312" s="1" t="n"/>
      <c r="AT312" s="1" t="n"/>
      <c r="AU312" s="1" t="n"/>
      <c r="AV312" s="1" t="n"/>
      <c r="AW312" s="1" t="n"/>
      <c r="AX312" s="1" t="n"/>
      <c r="AY312" s="1" t="n"/>
      <c r="AZ312" s="1" t="n"/>
      <c r="BA312" s="1" t="n"/>
    </row>
    <row r="313" ht="16.5" customHeight="1" s="220">
      <c r="A313" s="1" t="n"/>
      <c r="B313" s="1" t="n"/>
      <c r="C313" s="2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  <c r="AX313" s="1" t="n"/>
      <c r="AY313" s="1" t="n"/>
      <c r="AZ313" s="1" t="n"/>
      <c r="BA313" s="1" t="n"/>
    </row>
    <row r="314" ht="16.5" customHeight="1" s="220">
      <c r="A314" s="1" t="n"/>
      <c r="B314" s="1" t="n"/>
      <c r="C314" s="2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  <c r="AW314" s="1" t="n"/>
      <c r="AX314" s="1" t="n"/>
      <c r="AY314" s="1" t="n"/>
      <c r="AZ314" s="1" t="n"/>
      <c r="BA314" s="1" t="n"/>
    </row>
    <row r="315" ht="16.5" customHeight="1" s="220">
      <c r="A315" s="1" t="n"/>
      <c r="B315" s="1" t="n"/>
      <c r="C315" s="2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  <c r="AX315" s="1" t="n"/>
      <c r="AY315" s="1" t="n"/>
      <c r="AZ315" s="1" t="n"/>
      <c r="BA315" s="1" t="n"/>
    </row>
    <row r="316" ht="16.5" customHeight="1" s="220">
      <c r="A316" s="1" t="n"/>
      <c r="B316" s="1" t="n"/>
      <c r="C316" s="2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  <c r="AW316" s="1" t="n"/>
      <c r="AX316" s="1" t="n"/>
      <c r="AY316" s="1" t="n"/>
      <c r="AZ316" s="1" t="n"/>
      <c r="BA316" s="1" t="n"/>
    </row>
    <row r="317" ht="16.5" customHeight="1" s="220">
      <c r="A317" s="1" t="n"/>
      <c r="B317" s="1" t="n"/>
      <c r="C317" s="2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  <c r="AX317" s="1" t="n"/>
      <c r="AY317" s="1" t="n"/>
      <c r="AZ317" s="1" t="n"/>
      <c r="BA317" s="1" t="n"/>
    </row>
    <row r="318" ht="16.5" customHeight="1" s="220">
      <c r="A318" s="1" t="n"/>
      <c r="B318" s="1" t="n"/>
      <c r="C318" s="2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  <c r="AW318" s="1" t="n"/>
      <c r="AX318" s="1" t="n"/>
      <c r="AY318" s="1" t="n"/>
      <c r="AZ318" s="1" t="n"/>
      <c r="BA318" s="1" t="n"/>
    </row>
    <row r="319" ht="16.5" customHeight="1" s="220">
      <c r="A319" s="1" t="n"/>
      <c r="B319" s="1" t="n"/>
      <c r="C319" s="2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  <c r="AX319" s="1" t="n"/>
      <c r="AY319" s="1" t="n"/>
      <c r="AZ319" s="1" t="n"/>
      <c r="BA319" s="1" t="n"/>
    </row>
    <row r="320" ht="16.5" customHeight="1" s="220">
      <c r="A320" s="1" t="n"/>
      <c r="B320" s="1" t="n"/>
      <c r="C320" s="2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  <c r="AW320" s="1" t="n"/>
      <c r="AX320" s="1" t="n"/>
      <c r="AY320" s="1" t="n"/>
      <c r="AZ320" s="1" t="n"/>
      <c r="BA320" s="1" t="n"/>
    </row>
    <row r="321" ht="16.5" customHeight="1" s="220">
      <c r="A321" s="1" t="n"/>
      <c r="B321" s="1" t="n"/>
      <c r="C321" s="2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  <c r="AX321" s="1" t="n"/>
      <c r="AY321" s="1" t="n"/>
      <c r="AZ321" s="1" t="n"/>
      <c r="BA321" s="1" t="n"/>
    </row>
    <row r="322" ht="16.5" customHeight="1" s="220">
      <c r="A322" s="1" t="n"/>
      <c r="B322" s="1" t="n"/>
      <c r="C322" s="2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  <c r="AW322" s="1" t="n"/>
      <c r="AX322" s="1" t="n"/>
      <c r="AY322" s="1" t="n"/>
      <c r="AZ322" s="1" t="n"/>
      <c r="BA322" s="1" t="n"/>
    </row>
    <row r="323" ht="16.5" customHeight="1" s="220">
      <c r="A323" s="1" t="n"/>
      <c r="B323" s="1" t="n"/>
      <c r="C323" s="2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  <c r="AX323" s="1" t="n"/>
      <c r="AY323" s="1" t="n"/>
      <c r="AZ323" s="1" t="n"/>
      <c r="BA323" s="1" t="n"/>
    </row>
    <row r="324" ht="16.5" customHeight="1" s="220">
      <c r="A324" s="1" t="n"/>
      <c r="B324" s="1" t="n"/>
      <c r="C324" s="2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  <c r="AW324" s="1" t="n"/>
      <c r="AX324" s="1" t="n"/>
      <c r="AY324" s="1" t="n"/>
      <c r="AZ324" s="1" t="n"/>
      <c r="BA324" s="1" t="n"/>
    </row>
    <row r="325" ht="16.5" customHeight="1" s="220">
      <c r="A325" s="1" t="n"/>
      <c r="B325" s="1" t="n"/>
      <c r="C325" s="2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  <c r="AX325" s="1" t="n"/>
      <c r="AY325" s="1" t="n"/>
      <c r="AZ325" s="1" t="n"/>
      <c r="BA325" s="1" t="n"/>
    </row>
    <row r="326" ht="16.5" customHeight="1" s="220">
      <c r="A326" s="1" t="n"/>
      <c r="B326" s="1" t="n"/>
      <c r="C326" s="2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  <c r="AW326" s="1" t="n"/>
      <c r="AX326" s="1" t="n"/>
      <c r="AY326" s="1" t="n"/>
      <c r="AZ326" s="1" t="n"/>
      <c r="BA326" s="1" t="n"/>
    </row>
    <row r="327" ht="16.5" customHeight="1" s="220">
      <c r="A327" s="1" t="n"/>
      <c r="B327" s="1" t="n"/>
      <c r="C327" s="2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  <c r="AX327" s="1" t="n"/>
      <c r="AY327" s="1" t="n"/>
      <c r="AZ327" s="1" t="n"/>
      <c r="BA327" s="1" t="n"/>
    </row>
    <row r="328" ht="16.5" customHeight="1" s="220">
      <c r="A328" s="1" t="n"/>
      <c r="B328" s="1" t="n"/>
      <c r="C328" s="2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  <c r="AW328" s="1" t="n"/>
      <c r="AX328" s="1" t="n"/>
      <c r="AY328" s="1" t="n"/>
      <c r="AZ328" s="1" t="n"/>
      <c r="BA328" s="1" t="n"/>
    </row>
    <row r="329" ht="16.5" customHeight="1" s="220">
      <c r="A329" s="1" t="n"/>
      <c r="B329" s="1" t="n"/>
      <c r="C329" s="2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  <c r="AX329" s="1" t="n"/>
      <c r="AY329" s="1" t="n"/>
      <c r="AZ329" s="1" t="n"/>
      <c r="BA329" s="1" t="n"/>
    </row>
    <row r="330" ht="16.5" customHeight="1" s="220">
      <c r="A330" s="1" t="n"/>
      <c r="B330" s="1" t="n"/>
      <c r="C330" s="2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  <c r="AW330" s="1" t="n"/>
      <c r="AX330" s="1" t="n"/>
      <c r="AY330" s="1" t="n"/>
      <c r="AZ330" s="1" t="n"/>
      <c r="BA330" s="1" t="n"/>
    </row>
    <row r="331" ht="16.5" customHeight="1" s="220">
      <c r="A331" s="1" t="n"/>
      <c r="B331" s="1" t="n"/>
      <c r="C331" s="2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  <c r="AX331" s="1" t="n"/>
      <c r="AY331" s="1" t="n"/>
      <c r="AZ331" s="1" t="n"/>
      <c r="BA331" s="1" t="n"/>
    </row>
    <row r="332" ht="16.5" customHeight="1" s="220">
      <c r="A332" s="1" t="n"/>
      <c r="B332" s="1" t="n"/>
      <c r="C332" s="2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  <c r="AW332" s="1" t="n"/>
      <c r="AX332" s="1" t="n"/>
      <c r="AY332" s="1" t="n"/>
      <c r="AZ332" s="1" t="n"/>
      <c r="BA332" s="1" t="n"/>
    </row>
    <row r="333" ht="16.5" customHeight="1" s="220">
      <c r="A333" s="1" t="n"/>
      <c r="B333" s="1" t="n"/>
      <c r="C333" s="2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  <c r="AX333" s="1" t="n"/>
      <c r="AY333" s="1" t="n"/>
      <c r="AZ333" s="1" t="n"/>
      <c r="BA333" s="1" t="n"/>
    </row>
    <row r="334" ht="16.5" customHeight="1" s="220">
      <c r="A334" s="1" t="n"/>
      <c r="B334" s="1" t="n"/>
      <c r="C334" s="2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  <c r="AW334" s="1" t="n"/>
      <c r="AX334" s="1" t="n"/>
      <c r="AY334" s="1" t="n"/>
      <c r="AZ334" s="1" t="n"/>
      <c r="BA334" s="1" t="n"/>
    </row>
    <row r="335" ht="16.5" customHeight="1" s="220">
      <c r="A335" s="1" t="n"/>
      <c r="B335" s="1" t="n"/>
      <c r="C335" s="2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  <c r="AX335" s="1" t="n"/>
      <c r="AY335" s="1" t="n"/>
      <c r="AZ335" s="1" t="n"/>
      <c r="BA335" s="1" t="n"/>
    </row>
    <row r="336" ht="16.5" customHeight="1" s="220">
      <c r="A336" s="1" t="n"/>
      <c r="B336" s="1" t="n"/>
      <c r="C336" s="2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  <c r="AW336" s="1" t="n"/>
      <c r="AX336" s="1" t="n"/>
      <c r="AY336" s="1" t="n"/>
      <c r="AZ336" s="1" t="n"/>
      <c r="BA336" s="1" t="n"/>
    </row>
    <row r="337" ht="16.5" customHeight="1" s="220">
      <c r="A337" s="1" t="n"/>
      <c r="B337" s="1" t="n"/>
      <c r="C337" s="2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  <c r="AX337" s="1" t="n"/>
      <c r="AY337" s="1" t="n"/>
      <c r="AZ337" s="1" t="n"/>
      <c r="BA337" s="1" t="n"/>
    </row>
    <row r="338" ht="16.5" customHeight="1" s="220">
      <c r="A338" s="1" t="n"/>
      <c r="B338" s="1" t="n"/>
      <c r="C338" s="2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  <c r="AW338" s="1" t="n"/>
      <c r="AX338" s="1" t="n"/>
      <c r="AY338" s="1" t="n"/>
      <c r="AZ338" s="1" t="n"/>
      <c r="BA338" s="1" t="n"/>
    </row>
    <row r="339" ht="16.5" customHeight="1" s="220">
      <c r="A339" s="1" t="n"/>
      <c r="B339" s="1" t="n"/>
      <c r="C339" s="2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  <c r="AX339" s="1" t="n"/>
      <c r="AY339" s="1" t="n"/>
      <c r="AZ339" s="1" t="n"/>
      <c r="BA339" s="1" t="n"/>
    </row>
    <row r="340" ht="16.5" customHeight="1" s="220">
      <c r="A340" s="1" t="n"/>
      <c r="B340" s="1" t="n"/>
      <c r="C340" s="2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  <c r="AW340" s="1" t="n"/>
      <c r="AX340" s="1" t="n"/>
      <c r="AY340" s="1" t="n"/>
      <c r="AZ340" s="1" t="n"/>
      <c r="BA340" s="1" t="n"/>
    </row>
    <row r="341" ht="16.5" customHeight="1" s="220">
      <c r="A341" s="1" t="n"/>
      <c r="B341" s="1" t="n"/>
      <c r="C341" s="2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  <c r="AX341" s="1" t="n"/>
      <c r="AY341" s="1" t="n"/>
      <c r="AZ341" s="1" t="n"/>
      <c r="BA341" s="1" t="n"/>
    </row>
    <row r="342" ht="16.5" customHeight="1" s="220">
      <c r="A342" s="1" t="n"/>
      <c r="B342" s="1" t="n"/>
      <c r="C342" s="2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  <c r="AW342" s="1" t="n"/>
      <c r="AX342" s="1" t="n"/>
      <c r="AY342" s="1" t="n"/>
      <c r="AZ342" s="1" t="n"/>
      <c r="BA342" s="1" t="n"/>
    </row>
    <row r="343" ht="16.5" customHeight="1" s="220">
      <c r="A343" s="1" t="n"/>
      <c r="B343" s="1" t="n"/>
      <c r="C343" s="2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  <c r="AX343" s="1" t="n"/>
      <c r="AY343" s="1" t="n"/>
      <c r="AZ343" s="1" t="n"/>
      <c r="BA343" s="1" t="n"/>
    </row>
    <row r="344" ht="16.5" customHeight="1" s="220">
      <c r="A344" s="1" t="n"/>
      <c r="B344" s="1" t="n"/>
      <c r="C344" s="2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  <c r="AW344" s="1" t="n"/>
      <c r="AX344" s="1" t="n"/>
      <c r="AY344" s="1" t="n"/>
      <c r="AZ344" s="1" t="n"/>
      <c r="BA344" s="1" t="n"/>
    </row>
    <row r="345" ht="16.5" customHeight="1" s="220">
      <c r="A345" s="1" t="n"/>
      <c r="B345" s="1" t="n"/>
      <c r="C345" s="2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  <c r="AX345" s="1" t="n"/>
      <c r="AY345" s="1" t="n"/>
      <c r="AZ345" s="1" t="n"/>
      <c r="BA345" s="1" t="n"/>
    </row>
    <row r="346" ht="16.5" customHeight="1" s="220">
      <c r="A346" s="1" t="n"/>
      <c r="B346" s="1" t="n"/>
      <c r="C346" s="2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  <c r="AW346" s="1" t="n"/>
      <c r="AX346" s="1" t="n"/>
      <c r="AY346" s="1" t="n"/>
      <c r="AZ346" s="1" t="n"/>
      <c r="BA346" s="1" t="n"/>
    </row>
    <row r="347" ht="16.5" customHeight="1" s="220">
      <c r="A347" s="1" t="n"/>
      <c r="B347" s="1" t="n"/>
      <c r="C347" s="2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  <c r="AX347" s="1" t="n"/>
      <c r="AY347" s="1" t="n"/>
      <c r="AZ347" s="1" t="n"/>
      <c r="BA347" s="1" t="n"/>
    </row>
    <row r="348" ht="16.5" customHeight="1" s="220">
      <c r="A348" s="1" t="n"/>
      <c r="B348" s="1" t="n"/>
      <c r="C348" s="2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  <c r="AW348" s="1" t="n"/>
      <c r="AX348" s="1" t="n"/>
      <c r="AY348" s="1" t="n"/>
      <c r="AZ348" s="1" t="n"/>
      <c r="BA348" s="1" t="n"/>
    </row>
    <row r="349" ht="16.5" customHeight="1" s="220">
      <c r="A349" s="1" t="n"/>
      <c r="B349" s="1" t="n"/>
      <c r="C349" s="2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  <c r="AX349" s="1" t="n"/>
      <c r="AY349" s="1" t="n"/>
      <c r="AZ349" s="1" t="n"/>
      <c r="BA349" s="1" t="n"/>
    </row>
    <row r="350" ht="16.5" customHeight="1" s="220">
      <c r="A350" s="1" t="n"/>
      <c r="B350" s="1" t="n"/>
      <c r="C350" s="2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  <c r="AW350" s="1" t="n"/>
      <c r="AX350" s="1" t="n"/>
      <c r="AY350" s="1" t="n"/>
      <c r="AZ350" s="1" t="n"/>
      <c r="BA350" s="1" t="n"/>
    </row>
    <row r="351" ht="16.5" customHeight="1" s="220">
      <c r="A351" s="1" t="n"/>
      <c r="B351" s="1" t="n"/>
      <c r="C351" s="2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  <c r="AX351" s="1" t="n"/>
      <c r="AY351" s="1" t="n"/>
      <c r="AZ351" s="1" t="n"/>
      <c r="BA351" s="1" t="n"/>
    </row>
    <row r="352" ht="16.5" customHeight="1" s="220">
      <c r="A352" s="1" t="n"/>
      <c r="B352" s="1" t="n"/>
      <c r="C352" s="2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  <c r="AW352" s="1" t="n"/>
      <c r="AX352" s="1" t="n"/>
      <c r="AY352" s="1" t="n"/>
      <c r="AZ352" s="1" t="n"/>
      <c r="BA352" s="1" t="n"/>
    </row>
    <row r="353" ht="16.5" customHeight="1" s="220">
      <c r="A353" s="1" t="n"/>
      <c r="B353" s="1" t="n"/>
      <c r="C353" s="2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  <c r="AX353" s="1" t="n"/>
      <c r="AY353" s="1" t="n"/>
      <c r="AZ353" s="1" t="n"/>
      <c r="BA353" s="1" t="n"/>
    </row>
    <row r="354" ht="16.5" customHeight="1" s="220">
      <c r="A354" s="1" t="n"/>
      <c r="B354" s="1" t="n"/>
      <c r="C354" s="2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  <c r="AW354" s="1" t="n"/>
      <c r="AX354" s="1" t="n"/>
      <c r="AY354" s="1" t="n"/>
      <c r="AZ354" s="1" t="n"/>
      <c r="BA354" s="1" t="n"/>
    </row>
    <row r="355" ht="16.5" customHeight="1" s="220">
      <c r="A355" s="1" t="n"/>
      <c r="B355" s="1" t="n"/>
      <c r="C355" s="2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  <c r="AX355" s="1" t="n"/>
      <c r="AY355" s="1" t="n"/>
      <c r="AZ355" s="1" t="n"/>
      <c r="BA355" s="1" t="n"/>
    </row>
    <row r="356" ht="16.5" customHeight="1" s="220">
      <c r="A356" s="1" t="n"/>
      <c r="B356" s="1" t="n"/>
      <c r="C356" s="2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  <c r="AW356" s="1" t="n"/>
      <c r="AX356" s="1" t="n"/>
      <c r="AY356" s="1" t="n"/>
      <c r="AZ356" s="1" t="n"/>
      <c r="BA356" s="1" t="n"/>
    </row>
    <row r="357" ht="16.5" customHeight="1" s="220">
      <c r="A357" s="1" t="n"/>
      <c r="B357" s="1" t="n"/>
      <c r="C357" s="2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  <c r="AX357" s="1" t="n"/>
      <c r="AY357" s="1" t="n"/>
      <c r="AZ357" s="1" t="n"/>
      <c r="BA357" s="1" t="n"/>
    </row>
    <row r="358" ht="16.5" customHeight="1" s="220">
      <c r="A358" s="1" t="n"/>
      <c r="B358" s="1" t="n"/>
      <c r="C358" s="2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  <c r="AW358" s="1" t="n"/>
      <c r="AX358" s="1" t="n"/>
      <c r="AY358" s="1" t="n"/>
      <c r="AZ358" s="1" t="n"/>
      <c r="BA358" s="1" t="n"/>
    </row>
    <row r="359" ht="16.5" customHeight="1" s="220">
      <c r="A359" s="1" t="n"/>
      <c r="B359" s="1" t="n"/>
      <c r="C359" s="2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  <c r="AX359" s="1" t="n"/>
      <c r="AY359" s="1" t="n"/>
      <c r="AZ359" s="1" t="n"/>
      <c r="BA359" s="1" t="n"/>
    </row>
    <row r="360" ht="16.5" customHeight="1" s="220">
      <c r="A360" s="1" t="n"/>
      <c r="B360" s="1" t="n"/>
      <c r="C360" s="2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  <c r="AW360" s="1" t="n"/>
      <c r="AX360" s="1" t="n"/>
      <c r="AY360" s="1" t="n"/>
      <c r="AZ360" s="1" t="n"/>
      <c r="BA360" s="1" t="n"/>
    </row>
    <row r="361" ht="16.5" customHeight="1" s="220">
      <c r="A361" s="1" t="n"/>
      <c r="B361" s="1" t="n"/>
      <c r="C361" s="2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  <c r="AX361" s="1" t="n"/>
      <c r="AY361" s="1" t="n"/>
      <c r="AZ361" s="1" t="n"/>
      <c r="BA361" s="1" t="n"/>
    </row>
    <row r="362" ht="16.5" customHeight="1" s="220">
      <c r="A362" s="1" t="n"/>
      <c r="B362" s="1" t="n"/>
      <c r="C362" s="2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  <c r="AW362" s="1" t="n"/>
      <c r="AX362" s="1" t="n"/>
      <c r="AY362" s="1" t="n"/>
      <c r="AZ362" s="1" t="n"/>
      <c r="BA362" s="1" t="n"/>
    </row>
    <row r="363" ht="16.5" customHeight="1" s="220">
      <c r="A363" s="1" t="n"/>
      <c r="B363" s="1" t="n"/>
      <c r="C363" s="2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  <c r="AX363" s="1" t="n"/>
      <c r="AY363" s="1" t="n"/>
      <c r="AZ363" s="1" t="n"/>
      <c r="BA363" s="1" t="n"/>
    </row>
    <row r="364" ht="16.5" customHeight="1" s="220">
      <c r="A364" s="1" t="n"/>
      <c r="B364" s="1" t="n"/>
      <c r="C364" s="2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  <c r="AW364" s="1" t="n"/>
      <c r="AX364" s="1" t="n"/>
      <c r="AY364" s="1" t="n"/>
      <c r="AZ364" s="1" t="n"/>
      <c r="BA364" s="1" t="n"/>
    </row>
    <row r="365" ht="16.5" customHeight="1" s="220">
      <c r="A365" s="1" t="n"/>
      <c r="B365" s="1" t="n"/>
      <c r="C365" s="2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  <c r="AX365" s="1" t="n"/>
      <c r="AY365" s="1" t="n"/>
      <c r="AZ365" s="1" t="n"/>
      <c r="BA365" s="1" t="n"/>
    </row>
    <row r="366" ht="16.5" customHeight="1" s="220">
      <c r="A366" s="1" t="n"/>
      <c r="B366" s="1" t="n"/>
      <c r="C366" s="2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  <c r="AW366" s="1" t="n"/>
      <c r="AX366" s="1" t="n"/>
      <c r="AY366" s="1" t="n"/>
      <c r="AZ366" s="1" t="n"/>
      <c r="BA366" s="1" t="n"/>
    </row>
    <row r="367" ht="16.5" customHeight="1" s="220">
      <c r="A367" s="1" t="n"/>
      <c r="B367" s="1" t="n"/>
      <c r="C367" s="2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  <c r="AX367" s="1" t="n"/>
      <c r="AY367" s="1" t="n"/>
      <c r="AZ367" s="1" t="n"/>
      <c r="BA367" s="1" t="n"/>
    </row>
    <row r="368" ht="16.5" customHeight="1" s="220">
      <c r="A368" s="1" t="n"/>
      <c r="B368" s="1" t="n"/>
      <c r="C368" s="2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  <c r="AW368" s="1" t="n"/>
      <c r="AX368" s="1" t="n"/>
      <c r="AY368" s="1" t="n"/>
      <c r="AZ368" s="1" t="n"/>
      <c r="BA368" s="1" t="n"/>
    </row>
    <row r="369" ht="16.5" customHeight="1" s="220">
      <c r="A369" s="1" t="n"/>
      <c r="B369" s="1" t="n"/>
      <c r="C369" s="2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  <c r="AX369" s="1" t="n"/>
      <c r="AY369" s="1" t="n"/>
      <c r="AZ369" s="1" t="n"/>
      <c r="BA369" s="1" t="n"/>
    </row>
    <row r="370" ht="16.5" customHeight="1" s="220">
      <c r="A370" s="1" t="n"/>
      <c r="B370" s="1" t="n"/>
      <c r="C370" s="2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  <c r="AW370" s="1" t="n"/>
      <c r="AX370" s="1" t="n"/>
      <c r="AY370" s="1" t="n"/>
      <c r="AZ370" s="1" t="n"/>
      <c r="BA370" s="1" t="n"/>
    </row>
    <row r="371" ht="16.5" customHeight="1" s="220">
      <c r="A371" s="1" t="n"/>
      <c r="B371" s="1" t="n"/>
      <c r="C371" s="2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  <c r="AY371" s="1" t="n"/>
      <c r="AZ371" s="1" t="n"/>
      <c r="BA371" s="1" t="n"/>
    </row>
    <row r="372" ht="16.5" customHeight="1" s="220">
      <c r="A372" s="1" t="n"/>
      <c r="B372" s="1" t="n"/>
      <c r="C372" s="2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  <c r="AW372" s="1" t="n"/>
      <c r="AX372" s="1" t="n"/>
      <c r="AY372" s="1" t="n"/>
      <c r="AZ372" s="1" t="n"/>
      <c r="BA372" s="1" t="n"/>
    </row>
    <row r="373" ht="16.5" customHeight="1" s="220">
      <c r="A373" s="1" t="n"/>
      <c r="B373" s="1" t="n"/>
      <c r="C373" s="2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  <c r="AY373" s="1" t="n"/>
      <c r="AZ373" s="1" t="n"/>
      <c r="BA373" s="1" t="n"/>
    </row>
    <row r="374" ht="16.5" customHeight="1" s="220">
      <c r="A374" s="1" t="n"/>
      <c r="B374" s="1" t="n"/>
      <c r="C374" s="2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  <c r="AW374" s="1" t="n"/>
      <c r="AX374" s="1" t="n"/>
      <c r="AY374" s="1" t="n"/>
      <c r="AZ374" s="1" t="n"/>
      <c r="BA374" s="1" t="n"/>
    </row>
    <row r="375" ht="16.5" customHeight="1" s="220">
      <c r="A375" s="1" t="n"/>
      <c r="B375" s="1" t="n"/>
      <c r="C375" s="2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  <c r="AX375" s="1" t="n"/>
      <c r="AY375" s="1" t="n"/>
      <c r="AZ375" s="1" t="n"/>
      <c r="BA375" s="1" t="n"/>
    </row>
    <row r="376" ht="16.5" customHeight="1" s="220">
      <c r="A376" s="1" t="n"/>
      <c r="B376" s="1" t="n"/>
      <c r="C376" s="2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  <c r="AW376" s="1" t="n"/>
      <c r="AX376" s="1" t="n"/>
      <c r="AY376" s="1" t="n"/>
      <c r="AZ376" s="1" t="n"/>
      <c r="BA376" s="1" t="n"/>
    </row>
    <row r="377" ht="16.5" customHeight="1" s="220">
      <c r="A377" s="1" t="n"/>
      <c r="B377" s="1" t="n"/>
      <c r="C377" s="2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</row>
    <row r="378" ht="16.5" customHeight="1" s="220">
      <c r="A378" s="1" t="n"/>
      <c r="B378" s="1" t="n"/>
      <c r="C378" s="2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  <c r="AW378" s="1" t="n"/>
      <c r="AX378" s="1" t="n"/>
      <c r="AY378" s="1" t="n"/>
      <c r="AZ378" s="1" t="n"/>
      <c r="BA378" s="1" t="n"/>
    </row>
    <row r="379" ht="16.5" customHeight="1" s="220">
      <c r="A379" s="1" t="n"/>
      <c r="B379" s="1" t="n"/>
      <c r="C379" s="2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  <c r="AX379" s="1" t="n"/>
      <c r="AY379" s="1" t="n"/>
      <c r="AZ379" s="1" t="n"/>
      <c r="BA379" s="1" t="n"/>
    </row>
    <row r="380" ht="16.5" customHeight="1" s="220">
      <c r="A380" s="1" t="n"/>
      <c r="B380" s="1" t="n"/>
      <c r="C380" s="2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  <c r="AW380" s="1" t="n"/>
      <c r="AX380" s="1" t="n"/>
      <c r="AY380" s="1" t="n"/>
      <c r="AZ380" s="1" t="n"/>
      <c r="BA380" s="1" t="n"/>
    </row>
    <row r="381" ht="16.5" customHeight="1" s="220">
      <c r="A381" s="1" t="n"/>
      <c r="B381" s="1" t="n"/>
      <c r="C381" s="2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  <c r="AX381" s="1" t="n"/>
      <c r="AY381" s="1" t="n"/>
      <c r="AZ381" s="1" t="n"/>
      <c r="BA381" s="1" t="n"/>
    </row>
    <row r="382" ht="16.5" customHeight="1" s="220">
      <c r="A382" s="1" t="n"/>
      <c r="B382" s="1" t="n"/>
      <c r="C382" s="2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  <c r="AW382" s="1" t="n"/>
      <c r="AX382" s="1" t="n"/>
      <c r="AY382" s="1" t="n"/>
      <c r="AZ382" s="1" t="n"/>
      <c r="BA382" s="1" t="n"/>
    </row>
    <row r="383" ht="16.5" customHeight="1" s="220">
      <c r="A383" s="1" t="n"/>
      <c r="B383" s="1" t="n"/>
      <c r="C383" s="2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  <c r="AX383" s="1" t="n"/>
      <c r="AY383" s="1" t="n"/>
      <c r="AZ383" s="1" t="n"/>
      <c r="BA383" s="1" t="n"/>
    </row>
    <row r="384" ht="16.5" customHeight="1" s="220">
      <c r="A384" s="1" t="n"/>
      <c r="B384" s="1" t="n"/>
      <c r="C384" s="2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  <c r="AW384" s="1" t="n"/>
      <c r="AX384" s="1" t="n"/>
      <c r="AY384" s="1" t="n"/>
      <c r="AZ384" s="1" t="n"/>
      <c r="BA384" s="1" t="n"/>
    </row>
    <row r="385" ht="16.5" customHeight="1" s="220">
      <c r="A385" s="1" t="n"/>
      <c r="B385" s="1" t="n"/>
      <c r="C385" s="2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  <c r="AX385" s="1" t="n"/>
      <c r="AY385" s="1" t="n"/>
      <c r="AZ385" s="1" t="n"/>
      <c r="BA385" s="1" t="n"/>
    </row>
    <row r="386" ht="16.5" customHeight="1" s="220">
      <c r="A386" s="1" t="n"/>
      <c r="B386" s="1" t="n"/>
      <c r="C386" s="2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  <c r="BA386" s="1" t="n"/>
    </row>
    <row r="387" ht="16.5" customHeight="1" s="220">
      <c r="A387" s="1" t="n"/>
      <c r="B387" s="1" t="n"/>
      <c r="C387" s="2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  <c r="AX387" s="1" t="n"/>
      <c r="AY387" s="1" t="n"/>
      <c r="AZ387" s="1" t="n"/>
      <c r="BA387" s="1" t="n"/>
    </row>
    <row r="388" ht="16.5" customHeight="1" s="220">
      <c r="A388" s="1" t="n"/>
      <c r="B388" s="1" t="n"/>
      <c r="C388" s="2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  <c r="BA388" s="1" t="n"/>
    </row>
    <row r="389" ht="16.5" customHeight="1" s="220">
      <c r="A389" s="1" t="n"/>
      <c r="B389" s="1" t="n"/>
      <c r="C389" s="2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  <c r="AX389" s="1" t="n"/>
      <c r="AY389" s="1" t="n"/>
      <c r="AZ389" s="1" t="n"/>
      <c r="BA389" s="1" t="n"/>
    </row>
    <row r="390" ht="16.5" customHeight="1" s="220">
      <c r="A390" s="1" t="n"/>
      <c r="B390" s="1" t="n"/>
      <c r="C390" s="2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  <c r="AW390" s="1" t="n"/>
      <c r="AX390" s="1" t="n"/>
      <c r="AY390" s="1" t="n"/>
      <c r="AZ390" s="1" t="n"/>
      <c r="BA390" s="1" t="n"/>
    </row>
    <row r="391" ht="16.5" customHeight="1" s="220">
      <c r="A391" s="1" t="n"/>
      <c r="B391" s="1" t="n"/>
      <c r="C391" s="2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</row>
    <row r="392" ht="16.5" customHeight="1" s="220">
      <c r="A392" s="1" t="n"/>
      <c r="B392" s="1" t="n"/>
      <c r="C392" s="2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  <c r="AW392" s="1" t="n"/>
      <c r="AX392" s="1" t="n"/>
      <c r="AY392" s="1" t="n"/>
      <c r="AZ392" s="1" t="n"/>
      <c r="BA392" s="1" t="n"/>
    </row>
    <row r="393" ht="16.5" customHeight="1" s="220">
      <c r="A393" s="1" t="n"/>
      <c r="B393" s="1" t="n"/>
      <c r="C393" s="2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  <c r="AX393" s="1" t="n"/>
      <c r="AY393" s="1" t="n"/>
      <c r="AZ393" s="1" t="n"/>
      <c r="BA393" s="1" t="n"/>
    </row>
    <row r="394" ht="16.5" customHeight="1" s="220">
      <c r="A394" s="1" t="n"/>
      <c r="B394" s="1" t="n"/>
      <c r="C394" s="2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  <c r="AW394" s="1" t="n"/>
      <c r="AX394" s="1" t="n"/>
      <c r="AY394" s="1" t="n"/>
      <c r="AZ394" s="1" t="n"/>
      <c r="BA394" s="1" t="n"/>
    </row>
    <row r="395" ht="16.5" customHeight="1" s="220">
      <c r="A395" s="1" t="n"/>
      <c r="B395" s="1" t="n"/>
      <c r="C395" s="2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  <c r="AX395" s="1" t="n"/>
      <c r="AY395" s="1" t="n"/>
      <c r="AZ395" s="1" t="n"/>
      <c r="BA395" s="1" t="n"/>
    </row>
    <row r="396" ht="16.5" customHeight="1" s="220">
      <c r="A396" s="1" t="n"/>
      <c r="B396" s="1" t="n"/>
      <c r="C396" s="2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  <c r="BA396" s="1" t="n"/>
    </row>
    <row r="397" ht="16.5" customHeight="1" s="220">
      <c r="A397" s="1" t="n"/>
      <c r="B397" s="1" t="n"/>
      <c r="C397" s="2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  <c r="AX397" s="1" t="n"/>
      <c r="AY397" s="1" t="n"/>
      <c r="AZ397" s="1" t="n"/>
      <c r="BA397" s="1" t="n"/>
    </row>
    <row r="398" ht="16.5" customHeight="1" s="220">
      <c r="A398" s="1" t="n"/>
      <c r="B398" s="1" t="n"/>
      <c r="C398" s="2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  <c r="BA398" s="1" t="n"/>
    </row>
    <row r="399" ht="16.5" customHeight="1" s="220">
      <c r="A399" s="1" t="n"/>
      <c r="B399" s="1" t="n"/>
      <c r="C399" s="2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  <c r="AX399" s="1" t="n"/>
      <c r="AY399" s="1" t="n"/>
      <c r="AZ399" s="1" t="n"/>
      <c r="BA399" s="1" t="n"/>
    </row>
    <row r="400" ht="16.5" customHeight="1" s="220">
      <c r="A400" s="1" t="n"/>
      <c r="B400" s="1" t="n"/>
      <c r="C400" s="2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  <c r="AW400" s="1" t="n"/>
      <c r="AX400" s="1" t="n"/>
      <c r="AY400" s="1" t="n"/>
      <c r="AZ400" s="1" t="n"/>
      <c r="BA400" s="1" t="n"/>
    </row>
    <row r="401" ht="16.5" customHeight="1" s="220">
      <c r="A401" s="1" t="n"/>
      <c r="B401" s="1" t="n"/>
      <c r="C401" s="2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  <c r="AX401" s="1" t="n"/>
      <c r="AY401" s="1" t="n"/>
      <c r="AZ401" s="1" t="n"/>
      <c r="BA401" s="1" t="n"/>
    </row>
    <row r="402" ht="16.5" customHeight="1" s="220">
      <c r="A402" s="1" t="n"/>
      <c r="B402" s="1" t="n"/>
      <c r="C402" s="2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  <c r="AW402" s="1" t="n"/>
      <c r="AX402" s="1" t="n"/>
      <c r="AY402" s="1" t="n"/>
      <c r="AZ402" s="1" t="n"/>
      <c r="BA402" s="1" t="n"/>
    </row>
    <row r="403" ht="16.5" customHeight="1" s="220">
      <c r="A403" s="1" t="n"/>
      <c r="B403" s="1" t="n"/>
      <c r="C403" s="2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  <c r="AX403" s="1" t="n"/>
      <c r="AY403" s="1" t="n"/>
      <c r="AZ403" s="1" t="n"/>
      <c r="BA403" s="1" t="n"/>
    </row>
    <row r="404" ht="16.5" customHeight="1" s="220">
      <c r="A404" s="1" t="n"/>
      <c r="B404" s="1" t="n"/>
      <c r="C404" s="2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  <c r="AW404" s="1" t="n"/>
      <c r="AX404" s="1" t="n"/>
      <c r="AY404" s="1" t="n"/>
      <c r="AZ404" s="1" t="n"/>
      <c r="BA404" s="1" t="n"/>
    </row>
    <row r="405" ht="16.5" customHeight="1" s="220">
      <c r="A405" s="1" t="n"/>
      <c r="B405" s="1" t="n"/>
      <c r="C405" s="2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  <c r="AX405" s="1" t="n"/>
      <c r="AY405" s="1" t="n"/>
      <c r="AZ405" s="1" t="n"/>
      <c r="BA405" s="1" t="n"/>
    </row>
    <row r="406" ht="16.5" customHeight="1" s="220">
      <c r="A406" s="1" t="n"/>
      <c r="B406" s="1" t="n"/>
      <c r="C406" s="2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  <c r="AW406" s="1" t="n"/>
      <c r="AX406" s="1" t="n"/>
      <c r="AY406" s="1" t="n"/>
      <c r="AZ406" s="1" t="n"/>
      <c r="BA406" s="1" t="n"/>
    </row>
    <row r="407" ht="16.5" customHeight="1" s="220">
      <c r="A407" s="1" t="n"/>
      <c r="B407" s="1" t="n"/>
      <c r="C407" s="2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</row>
    <row r="408" ht="16.5" customHeight="1" s="220">
      <c r="A408" s="1" t="n"/>
      <c r="B408" s="1" t="n"/>
      <c r="C408" s="2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  <c r="AW408" s="1" t="n"/>
      <c r="AX408" s="1" t="n"/>
      <c r="AY408" s="1" t="n"/>
      <c r="AZ408" s="1" t="n"/>
      <c r="BA408" s="1" t="n"/>
    </row>
    <row r="409" ht="16.5" customHeight="1" s="220">
      <c r="A409" s="1" t="n"/>
      <c r="B409" s="1" t="n"/>
      <c r="C409" s="2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  <c r="AX409" s="1" t="n"/>
      <c r="AY409" s="1" t="n"/>
      <c r="AZ409" s="1" t="n"/>
      <c r="BA409" s="1" t="n"/>
    </row>
    <row r="410" ht="16.5" customHeight="1" s="220">
      <c r="A410" s="1" t="n"/>
      <c r="B410" s="1" t="n"/>
      <c r="C410" s="2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  <c r="AW410" s="1" t="n"/>
      <c r="AX410" s="1" t="n"/>
      <c r="AY410" s="1" t="n"/>
      <c r="AZ410" s="1" t="n"/>
      <c r="BA410" s="1" t="n"/>
    </row>
    <row r="411" ht="16.5" customHeight="1" s="220">
      <c r="A411" s="1" t="n"/>
      <c r="B411" s="1" t="n"/>
      <c r="C411" s="2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  <c r="AX411" s="1" t="n"/>
      <c r="AY411" s="1" t="n"/>
      <c r="AZ411" s="1" t="n"/>
      <c r="BA411" s="1" t="n"/>
    </row>
    <row r="412" ht="16.5" customHeight="1" s="220">
      <c r="A412" s="1" t="n"/>
      <c r="B412" s="1" t="n"/>
      <c r="C412" s="2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  <c r="AW412" s="1" t="n"/>
      <c r="AX412" s="1" t="n"/>
      <c r="AY412" s="1" t="n"/>
      <c r="AZ412" s="1" t="n"/>
      <c r="BA412" s="1" t="n"/>
    </row>
    <row r="413" ht="16.5" customHeight="1" s="220">
      <c r="A413" s="1" t="n"/>
      <c r="B413" s="1" t="n"/>
      <c r="C413" s="2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  <c r="AX413" s="1" t="n"/>
      <c r="AY413" s="1" t="n"/>
      <c r="AZ413" s="1" t="n"/>
      <c r="BA413" s="1" t="n"/>
    </row>
    <row r="414" ht="16.5" customHeight="1" s="220">
      <c r="A414" s="1" t="n"/>
      <c r="B414" s="1" t="n"/>
      <c r="C414" s="2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  <c r="AW414" s="1" t="n"/>
      <c r="AX414" s="1" t="n"/>
      <c r="AY414" s="1" t="n"/>
      <c r="AZ414" s="1" t="n"/>
      <c r="BA414" s="1" t="n"/>
    </row>
    <row r="415" ht="16.5" customHeight="1" s="220">
      <c r="A415" s="1" t="n"/>
      <c r="B415" s="1" t="n"/>
      <c r="C415" s="2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  <c r="AX415" s="1" t="n"/>
      <c r="AY415" s="1" t="n"/>
      <c r="AZ415" s="1" t="n"/>
      <c r="BA415" s="1" t="n"/>
    </row>
    <row r="416" ht="16.5" customHeight="1" s="220">
      <c r="A416" s="1" t="n"/>
      <c r="B416" s="1" t="n"/>
      <c r="C416" s="2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  <c r="AW416" s="1" t="n"/>
      <c r="AX416" s="1" t="n"/>
      <c r="AY416" s="1" t="n"/>
      <c r="AZ416" s="1" t="n"/>
      <c r="BA416" s="1" t="n"/>
    </row>
    <row r="417" ht="16.5" customHeight="1" s="220">
      <c r="A417" s="1" t="n"/>
      <c r="B417" s="1" t="n"/>
      <c r="C417" s="2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  <c r="AX417" s="1" t="n"/>
      <c r="AY417" s="1" t="n"/>
      <c r="AZ417" s="1" t="n"/>
      <c r="BA417" s="1" t="n"/>
    </row>
    <row r="418" ht="16.5" customHeight="1" s="220">
      <c r="A418" s="1" t="n"/>
      <c r="B418" s="1" t="n"/>
      <c r="C418" s="2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  <c r="AW418" s="1" t="n"/>
      <c r="AX418" s="1" t="n"/>
      <c r="AY418" s="1" t="n"/>
      <c r="AZ418" s="1" t="n"/>
      <c r="BA418" s="1" t="n"/>
    </row>
    <row r="419" ht="16.5" customHeight="1" s="220">
      <c r="A419" s="1" t="n"/>
      <c r="B419" s="1" t="n"/>
      <c r="C419" s="2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  <c r="AX419" s="1" t="n"/>
      <c r="AY419" s="1" t="n"/>
      <c r="AZ419" s="1" t="n"/>
      <c r="BA419" s="1" t="n"/>
    </row>
    <row r="420" ht="16.5" customHeight="1" s="220">
      <c r="A420" s="1" t="n"/>
      <c r="B420" s="1" t="n"/>
      <c r="C420" s="2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  <c r="AW420" s="1" t="n"/>
      <c r="AX420" s="1" t="n"/>
      <c r="AY420" s="1" t="n"/>
      <c r="AZ420" s="1" t="n"/>
      <c r="BA420" s="1" t="n"/>
    </row>
    <row r="421" ht="16.5" customHeight="1" s="220">
      <c r="A421" s="1" t="n"/>
      <c r="B421" s="1" t="n"/>
      <c r="C421" s="2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  <c r="AX421" s="1" t="n"/>
      <c r="AY421" s="1" t="n"/>
      <c r="AZ421" s="1" t="n"/>
      <c r="BA421" s="1" t="n"/>
    </row>
    <row r="422" ht="16.5" customHeight="1" s="220">
      <c r="A422" s="1" t="n"/>
      <c r="B422" s="1" t="n"/>
      <c r="C422" s="2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  <c r="AW422" s="1" t="n"/>
      <c r="AX422" s="1" t="n"/>
      <c r="AY422" s="1" t="n"/>
      <c r="AZ422" s="1" t="n"/>
      <c r="BA422" s="1" t="n"/>
    </row>
    <row r="423" ht="16.5" customHeight="1" s="220">
      <c r="A423" s="1" t="n"/>
      <c r="B423" s="1" t="n"/>
      <c r="C423" s="2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  <c r="AX423" s="1" t="n"/>
      <c r="AY423" s="1" t="n"/>
      <c r="AZ423" s="1" t="n"/>
      <c r="BA423" s="1" t="n"/>
    </row>
    <row r="424" ht="16.5" customHeight="1" s="220">
      <c r="A424" s="1" t="n"/>
      <c r="B424" s="1" t="n"/>
      <c r="C424" s="2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  <c r="AW424" s="1" t="n"/>
      <c r="AX424" s="1" t="n"/>
      <c r="AY424" s="1" t="n"/>
      <c r="AZ424" s="1" t="n"/>
      <c r="BA424" s="1" t="n"/>
    </row>
    <row r="425" ht="16.5" customHeight="1" s="220">
      <c r="A425" s="1" t="n"/>
      <c r="B425" s="1" t="n"/>
      <c r="C425" s="2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  <c r="AX425" s="1" t="n"/>
      <c r="AY425" s="1" t="n"/>
      <c r="AZ425" s="1" t="n"/>
      <c r="BA425" s="1" t="n"/>
    </row>
    <row r="426" ht="16.5" customHeight="1" s="220">
      <c r="A426" s="1" t="n"/>
      <c r="B426" s="1" t="n"/>
      <c r="C426" s="2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  <c r="AW426" s="1" t="n"/>
      <c r="AX426" s="1" t="n"/>
      <c r="AY426" s="1" t="n"/>
      <c r="AZ426" s="1" t="n"/>
      <c r="BA426" s="1" t="n"/>
    </row>
    <row r="427" ht="16.5" customHeight="1" s="220">
      <c r="A427" s="1" t="n"/>
      <c r="B427" s="1" t="n"/>
      <c r="C427" s="2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  <c r="AX427" s="1" t="n"/>
      <c r="AY427" s="1" t="n"/>
      <c r="AZ427" s="1" t="n"/>
      <c r="BA427" s="1" t="n"/>
    </row>
    <row r="428" ht="16.5" customHeight="1" s="220">
      <c r="A428" s="1" t="n"/>
      <c r="B428" s="1" t="n"/>
      <c r="C428" s="2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  <c r="AW428" s="1" t="n"/>
      <c r="AX428" s="1" t="n"/>
      <c r="AY428" s="1" t="n"/>
      <c r="AZ428" s="1" t="n"/>
      <c r="BA428" s="1" t="n"/>
    </row>
    <row r="429" ht="16.5" customHeight="1" s="220">
      <c r="A429" s="1" t="n"/>
      <c r="B429" s="1" t="n"/>
      <c r="C429" s="2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  <c r="AX429" s="1" t="n"/>
      <c r="AY429" s="1" t="n"/>
      <c r="AZ429" s="1" t="n"/>
      <c r="BA429" s="1" t="n"/>
    </row>
    <row r="430" ht="16.5" customHeight="1" s="220">
      <c r="A430" s="1" t="n"/>
      <c r="B430" s="1" t="n"/>
      <c r="C430" s="2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  <c r="AW430" s="1" t="n"/>
      <c r="AX430" s="1" t="n"/>
      <c r="AY430" s="1" t="n"/>
      <c r="AZ430" s="1" t="n"/>
      <c r="BA430" s="1" t="n"/>
    </row>
    <row r="431" ht="16.5" customHeight="1" s="220">
      <c r="A431" s="1" t="n"/>
      <c r="B431" s="1" t="n"/>
      <c r="C431" s="2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  <c r="AX431" s="1" t="n"/>
      <c r="AY431" s="1" t="n"/>
      <c r="AZ431" s="1" t="n"/>
      <c r="BA431" s="1" t="n"/>
    </row>
    <row r="432" ht="16.5" customHeight="1" s="220">
      <c r="A432" s="1" t="n"/>
      <c r="B432" s="1" t="n"/>
      <c r="C432" s="2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  <c r="AW432" s="1" t="n"/>
      <c r="AX432" s="1" t="n"/>
      <c r="AY432" s="1" t="n"/>
      <c r="AZ432" s="1" t="n"/>
      <c r="BA432" s="1" t="n"/>
    </row>
    <row r="433" ht="16.5" customHeight="1" s="220">
      <c r="A433" s="1" t="n"/>
      <c r="B433" s="1" t="n"/>
      <c r="C433" s="2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  <c r="AX433" s="1" t="n"/>
      <c r="AY433" s="1" t="n"/>
      <c r="AZ433" s="1" t="n"/>
      <c r="BA433" s="1" t="n"/>
    </row>
    <row r="434" ht="16.5" customHeight="1" s="220">
      <c r="A434" s="1" t="n"/>
      <c r="B434" s="1" t="n"/>
      <c r="C434" s="2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  <c r="AS434" s="1" t="n"/>
      <c r="AT434" s="1" t="n"/>
      <c r="AU434" s="1" t="n"/>
      <c r="AV434" s="1" t="n"/>
      <c r="AW434" s="1" t="n"/>
      <c r="AX434" s="1" t="n"/>
      <c r="AY434" s="1" t="n"/>
      <c r="AZ434" s="1" t="n"/>
      <c r="BA434" s="1" t="n"/>
    </row>
    <row r="435" ht="16.5" customHeight="1" s="220">
      <c r="A435" s="1" t="n"/>
      <c r="B435" s="1" t="n"/>
      <c r="C435" s="2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  <c r="AX435" s="1" t="n"/>
      <c r="AY435" s="1" t="n"/>
      <c r="AZ435" s="1" t="n"/>
      <c r="BA435" s="1" t="n"/>
    </row>
    <row r="436" ht="16.5" customHeight="1" s="220">
      <c r="A436" s="1" t="n"/>
      <c r="B436" s="1" t="n"/>
      <c r="C436" s="2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  <c r="AW436" s="1" t="n"/>
      <c r="AX436" s="1" t="n"/>
      <c r="AY436" s="1" t="n"/>
      <c r="AZ436" s="1" t="n"/>
      <c r="BA436" s="1" t="n"/>
    </row>
    <row r="437" ht="16.5" customHeight="1" s="220">
      <c r="A437" s="1" t="n"/>
      <c r="B437" s="1" t="n"/>
      <c r="C437" s="2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  <c r="AX437" s="1" t="n"/>
      <c r="AY437" s="1" t="n"/>
      <c r="AZ437" s="1" t="n"/>
      <c r="BA437" s="1" t="n"/>
    </row>
    <row r="438" ht="16.5" customHeight="1" s="220">
      <c r="A438" s="1" t="n"/>
      <c r="B438" s="1" t="n"/>
      <c r="C438" s="2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  <c r="AW438" s="1" t="n"/>
      <c r="AX438" s="1" t="n"/>
      <c r="AY438" s="1" t="n"/>
      <c r="AZ438" s="1" t="n"/>
      <c r="BA438" s="1" t="n"/>
    </row>
    <row r="439" ht="16.5" customHeight="1" s="220">
      <c r="A439" s="1" t="n"/>
      <c r="B439" s="1" t="n"/>
      <c r="C439" s="2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  <c r="AX439" s="1" t="n"/>
      <c r="AY439" s="1" t="n"/>
      <c r="AZ439" s="1" t="n"/>
      <c r="BA439" s="1" t="n"/>
    </row>
    <row r="440" ht="16.5" customHeight="1" s="220">
      <c r="A440" s="1" t="n"/>
      <c r="B440" s="1" t="n"/>
      <c r="C440" s="2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  <c r="AW440" s="1" t="n"/>
      <c r="AX440" s="1" t="n"/>
      <c r="AY440" s="1" t="n"/>
      <c r="AZ440" s="1" t="n"/>
      <c r="BA440" s="1" t="n"/>
    </row>
    <row r="441" ht="16.5" customHeight="1" s="220">
      <c r="A441" s="1" t="n"/>
      <c r="B441" s="1" t="n"/>
      <c r="C441" s="2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  <c r="AX441" s="1" t="n"/>
      <c r="AY441" s="1" t="n"/>
      <c r="AZ441" s="1" t="n"/>
      <c r="BA441" s="1" t="n"/>
    </row>
    <row r="442" ht="16.5" customHeight="1" s="220">
      <c r="A442" s="1" t="n"/>
      <c r="B442" s="1" t="n"/>
      <c r="C442" s="2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  <c r="AW442" s="1" t="n"/>
      <c r="AX442" s="1" t="n"/>
      <c r="AY442" s="1" t="n"/>
      <c r="AZ442" s="1" t="n"/>
      <c r="BA442" s="1" t="n"/>
    </row>
    <row r="443" ht="16.5" customHeight="1" s="220">
      <c r="A443" s="1" t="n"/>
      <c r="B443" s="1" t="n"/>
      <c r="C443" s="2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  <c r="AX443" s="1" t="n"/>
      <c r="AY443" s="1" t="n"/>
      <c r="AZ443" s="1" t="n"/>
      <c r="BA443" s="1" t="n"/>
    </row>
    <row r="444" ht="16.5" customHeight="1" s="220">
      <c r="A444" s="1" t="n"/>
      <c r="B444" s="1" t="n"/>
      <c r="C444" s="2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  <c r="AW444" s="1" t="n"/>
      <c r="AX444" s="1" t="n"/>
      <c r="AY444" s="1" t="n"/>
      <c r="AZ444" s="1" t="n"/>
      <c r="BA444" s="1" t="n"/>
    </row>
    <row r="445" ht="16.5" customHeight="1" s="220">
      <c r="A445" s="1" t="n"/>
      <c r="B445" s="1" t="n"/>
      <c r="C445" s="2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  <c r="AW445" s="1" t="n"/>
      <c r="AX445" s="1" t="n"/>
      <c r="AY445" s="1" t="n"/>
      <c r="AZ445" s="1" t="n"/>
      <c r="BA445" s="1" t="n"/>
    </row>
    <row r="446" ht="16.5" customHeight="1" s="220">
      <c r="A446" s="1" t="n"/>
      <c r="B446" s="1" t="n"/>
      <c r="C446" s="2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  <c r="AW446" s="1" t="n"/>
      <c r="AX446" s="1" t="n"/>
      <c r="AY446" s="1" t="n"/>
      <c r="AZ446" s="1" t="n"/>
      <c r="BA446" s="1" t="n"/>
    </row>
    <row r="447" ht="16.5" customHeight="1" s="220">
      <c r="A447" s="1" t="n"/>
      <c r="B447" s="1" t="n"/>
      <c r="C447" s="2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  <c r="AX447" s="1" t="n"/>
      <c r="AY447" s="1" t="n"/>
      <c r="AZ447" s="1" t="n"/>
      <c r="BA447" s="1" t="n"/>
    </row>
    <row r="448" ht="16.5" customHeight="1" s="220">
      <c r="A448" s="1" t="n"/>
      <c r="B448" s="1" t="n"/>
      <c r="C448" s="2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  <c r="AW448" s="1" t="n"/>
      <c r="AX448" s="1" t="n"/>
      <c r="AY448" s="1" t="n"/>
      <c r="AZ448" s="1" t="n"/>
      <c r="BA448" s="1" t="n"/>
    </row>
    <row r="449" ht="16.5" customHeight="1" s="220">
      <c r="A449" s="1" t="n"/>
      <c r="B449" s="1" t="n"/>
      <c r="C449" s="2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  <c r="AX449" s="1" t="n"/>
      <c r="AY449" s="1" t="n"/>
      <c r="AZ449" s="1" t="n"/>
      <c r="BA449" s="1" t="n"/>
    </row>
    <row r="450" ht="16.5" customHeight="1" s="220">
      <c r="A450" s="1" t="n"/>
      <c r="B450" s="1" t="n"/>
      <c r="C450" s="2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  <c r="AS450" s="1" t="n"/>
      <c r="AT450" s="1" t="n"/>
      <c r="AU450" s="1" t="n"/>
      <c r="AV450" s="1" t="n"/>
      <c r="AW450" s="1" t="n"/>
      <c r="AX450" s="1" t="n"/>
      <c r="AY450" s="1" t="n"/>
      <c r="AZ450" s="1" t="n"/>
      <c r="BA450" s="1" t="n"/>
    </row>
    <row r="451" ht="16.5" customHeight="1" s="220">
      <c r="A451" s="1" t="n"/>
      <c r="B451" s="1" t="n"/>
      <c r="C451" s="2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  <c r="AW451" s="1" t="n"/>
      <c r="AX451" s="1" t="n"/>
      <c r="AY451" s="1" t="n"/>
      <c r="AZ451" s="1" t="n"/>
      <c r="BA451" s="1" t="n"/>
    </row>
    <row r="452" ht="16.5" customHeight="1" s="220">
      <c r="A452" s="1" t="n"/>
      <c r="B452" s="1" t="n"/>
      <c r="C452" s="2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  <c r="AS452" s="1" t="n"/>
      <c r="AT452" s="1" t="n"/>
      <c r="AU452" s="1" t="n"/>
      <c r="AV452" s="1" t="n"/>
      <c r="AW452" s="1" t="n"/>
      <c r="AX452" s="1" t="n"/>
      <c r="AY452" s="1" t="n"/>
      <c r="AZ452" s="1" t="n"/>
      <c r="BA452" s="1" t="n"/>
    </row>
    <row r="453" ht="16.5" customHeight="1" s="220">
      <c r="A453" s="1" t="n"/>
      <c r="B453" s="1" t="n"/>
      <c r="C453" s="2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  <c r="AW453" s="1" t="n"/>
      <c r="AX453" s="1" t="n"/>
      <c r="AY453" s="1" t="n"/>
      <c r="AZ453" s="1" t="n"/>
      <c r="BA453" s="1" t="n"/>
    </row>
    <row r="454" ht="16.5" customHeight="1" s="220">
      <c r="A454" s="1" t="n"/>
      <c r="B454" s="1" t="n"/>
      <c r="C454" s="2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  <c r="AS454" s="1" t="n"/>
      <c r="AT454" s="1" t="n"/>
      <c r="AU454" s="1" t="n"/>
      <c r="AV454" s="1" t="n"/>
      <c r="AW454" s="1" t="n"/>
      <c r="AX454" s="1" t="n"/>
      <c r="AY454" s="1" t="n"/>
      <c r="AZ454" s="1" t="n"/>
      <c r="BA454" s="1" t="n"/>
    </row>
    <row r="455" ht="16.5" customHeight="1" s="220">
      <c r="A455" s="1" t="n"/>
      <c r="B455" s="1" t="n"/>
      <c r="C455" s="2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  <c r="AW455" s="1" t="n"/>
      <c r="AX455" s="1" t="n"/>
      <c r="AY455" s="1" t="n"/>
      <c r="AZ455" s="1" t="n"/>
      <c r="BA455" s="1" t="n"/>
    </row>
    <row r="456" ht="16.5" customHeight="1" s="220">
      <c r="A456" s="1" t="n"/>
      <c r="B456" s="1" t="n"/>
      <c r="C456" s="2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  <c r="AS456" s="1" t="n"/>
      <c r="AT456" s="1" t="n"/>
      <c r="AU456" s="1" t="n"/>
      <c r="AV456" s="1" t="n"/>
      <c r="AW456" s="1" t="n"/>
      <c r="AX456" s="1" t="n"/>
      <c r="AY456" s="1" t="n"/>
      <c r="AZ456" s="1" t="n"/>
      <c r="BA456" s="1" t="n"/>
    </row>
    <row r="457" ht="16.5" customHeight="1" s="220">
      <c r="A457" s="1" t="n"/>
      <c r="B457" s="1" t="n"/>
      <c r="C457" s="2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  <c r="AW457" s="1" t="n"/>
      <c r="AX457" s="1" t="n"/>
      <c r="AY457" s="1" t="n"/>
      <c r="AZ457" s="1" t="n"/>
      <c r="BA457" s="1" t="n"/>
    </row>
    <row r="458" ht="16.5" customHeight="1" s="220">
      <c r="A458" s="1" t="n"/>
      <c r="B458" s="1" t="n"/>
      <c r="C458" s="2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  <c r="AS458" s="1" t="n"/>
      <c r="AT458" s="1" t="n"/>
      <c r="AU458" s="1" t="n"/>
      <c r="AV458" s="1" t="n"/>
      <c r="AW458" s="1" t="n"/>
      <c r="AX458" s="1" t="n"/>
      <c r="AY458" s="1" t="n"/>
      <c r="AZ458" s="1" t="n"/>
      <c r="BA458" s="1" t="n"/>
    </row>
    <row r="459" ht="16.5" customHeight="1" s="220">
      <c r="A459" s="1" t="n"/>
      <c r="B459" s="1" t="n"/>
      <c r="C459" s="2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  <c r="AW459" s="1" t="n"/>
      <c r="AX459" s="1" t="n"/>
      <c r="AY459" s="1" t="n"/>
      <c r="AZ459" s="1" t="n"/>
      <c r="BA459" s="1" t="n"/>
    </row>
    <row r="460" ht="16.5" customHeight="1" s="220">
      <c r="A460" s="1" t="n"/>
      <c r="B460" s="1" t="n"/>
      <c r="C460" s="2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  <c r="AS460" s="1" t="n"/>
      <c r="AT460" s="1" t="n"/>
      <c r="AU460" s="1" t="n"/>
      <c r="AV460" s="1" t="n"/>
      <c r="AW460" s="1" t="n"/>
      <c r="AX460" s="1" t="n"/>
      <c r="AY460" s="1" t="n"/>
      <c r="AZ460" s="1" t="n"/>
      <c r="BA460" s="1" t="n"/>
    </row>
    <row r="461" ht="16.5" customHeight="1" s="220">
      <c r="A461" s="1" t="n"/>
      <c r="B461" s="1" t="n"/>
      <c r="C461" s="2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  <c r="AW461" s="1" t="n"/>
      <c r="AX461" s="1" t="n"/>
      <c r="AY461" s="1" t="n"/>
      <c r="AZ461" s="1" t="n"/>
      <c r="BA461" s="1" t="n"/>
    </row>
    <row r="462" ht="16.5" customHeight="1" s="220">
      <c r="A462" s="1" t="n"/>
      <c r="B462" s="1" t="n"/>
      <c r="C462" s="2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  <c r="AS462" s="1" t="n"/>
      <c r="AT462" s="1" t="n"/>
      <c r="AU462" s="1" t="n"/>
      <c r="AV462" s="1" t="n"/>
      <c r="AW462" s="1" t="n"/>
      <c r="AX462" s="1" t="n"/>
      <c r="AY462" s="1" t="n"/>
      <c r="AZ462" s="1" t="n"/>
      <c r="BA462" s="1" t="n"/>
    </row>
    <row r="463" ht="16.5" customHeight="1" s="220">
      <c r="A463" s="1" t="n"/>
      <c r="B463" s="1" t="n"/>
      <c r="C463" s="2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  <c r="AW463" s="1" t="n"/>
      <c r="AX463" s="1" t="n"/>
      <c r="AY463" s="1" t="n"/>
      <c r="AZ463" s="1" t="n"/>
      <c r="BA463" s="1" t="n"/>
    </row>
    <row r="464" ht="16.5" customHeight="1" s="220">
      <c r="A464" s="1" t="n"/>
      <c r="B464" s="1" t="n"/>
      <c r="C464" s="2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  <c r="AS464" s="1" t="n"/>
      <c r="AT464" s="1" t="n"/>
      <c r="AU464" s="1" t="n"/>
      <c r="AV464" s="1" t="n"/>
      <c r="AW464" s="1" t="n"/>
      <c r="AX464" s="1" t="n"/>
      <c r="AY464" s="1" t="n"/>
      <c r="AZ464" s="1" t="n"/>
      <c r="BA464" s="1" t="n"/>
    </row>
    <row r="465" ht="16.5" customHeight="1" s="220">
      <c r="A465" s="1" t="n"/>
      <c r="B465" s="1" t="n"/>
      <c r="C465" s="2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  <c r="AW465" s="1" t="n"/>
      <c r="AX465" s="1" t="n"/>
      <c r="AY465" s="1" t="n"/>
      <c r="AZ465" s="1" t="n"/>
      <c r="BA465" s="1" t="n"/>
    </row>
    <row r="466" ht="16.5" customHeight="1" s="220">
      <c r="A466" s="1" t="n"/>
      <c r="B466" s="1" t="n"/>
      <c r="C466" s="2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  <c r="AS466" s="1" t="n"/>
      <c r="AT466" s="1" t="n"/>
      <c r="AU466" s="1" t="n"/>
      <c r="AV466" s="1" t="n"/>
      <c r="AW466" s="1" t="n"/>
      <c r="AX466" s="1" t="n"/>
      <c r="AY466" s="1" t="n"/>
      <c r="AZ466" s="1" t="n"/>
      <c r="BA466" s="1" t="n"/>
    </row>
    <row r="467" ht="16.5" customHeight="1" s="220">
      <c r="A467" s="1" t="n"/>
      <c r="B467" s="1" t="n"/>
      <c r="C467" s="2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  <c r="AW467" s="1" t="n"/>
      <c r="AX467" s="1" t="n"/>
      <c r="AY467" s="1" t="n"/>
      <c r="AZ467" s="1" t="n"/>
      <c r="BA467" s="1" t="n"/>
    </row>
    <row r="468" ht="16.5" customHeight="1" s="220">
      <c r="A468" s="1" t="n"/>
      <c r="B468" s="1" t="n"/>
      <c r="C468" s="2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  <c r="AS468" s="1" t="n"/>
      <c r="AT468" s="1" t="n"/>
      <c r="AU468" s="1" t="n"/>
      <c r="AV468" s="1" t="n"/>
      <c r="AW468" s="1" t="n"/>
      <c r="AX468" s="1" t="n"/>
      <c r="AY468" s="1" t="n"/>
      <c r="AZ468" s="1" t="n"/>
      <c r="BA468" s="1" t="n"/>
    </row>
    <row r="469" ht="16.5" customHeight="1" s="220">
      <c r="A469" s="1" t="n"/>
      <c r="B469" s="1" t="n"/>
      <c r="C469" s="2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  <c r="AW469" s="1" t="n"/>
      <c r="AX469" s="1" t="n"/>
      <c r="AY469" s="1" t="n"/>
      <c r="AZ469" s="1" t="n"/>
      <c r="BA469" s="1" t="n"/>
    </row>
    <row r="470" ht="16.5" customHeight="1" s="220">
      <c r="A470" s="1" t="n"/>
      <c r="B470" s="1" t="n"/>
      <c r="C470" s="2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  <c r="AS470" s="1" t="n"/>
      <c r="AT470" s="1" t="n"/>
      <c r="AU470" s="1" t="n"/>
      <c r="AV470" s="1" t="n"/>
      <c r="AW470" s="1" t="n"/>
      <c r="AX470" s="1" t="n"/>
      <c r="AY470" s="1" t="n"/>
      <c r="AZ470" s="1" t="n"/>
      <c r="BA470" s="1" t="n"/>
    </row>
    <row r="471" ht="16.5" customHeight="1" s="220">
      <c r="A471" s="1" t="n"/>
      <c r="B471" s="1" t="n"/>
      <c r="C471" s="2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  <c r="AW471" s="1" t="n"/>
      <c r="AX471" s="1" t="n"/>
      <c r="AY471" s="1" t="n"/>
      <c r="AZ471" s="1" t="n"/>
      <c r="BA471" s="1" t="n"/>
    </row>
    <row r="472" ht="16.5" customHeight="1" s="220">
      <c r="A472" s="1" t="n"/>
      <c r="B472" s="1" t="n"/>
      <c r="C472" s="2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  <c r="AS472" s="1" t="n"/>
      <c r="AT472" s="1" t="n"/>
      <c r="AU472" s="1" t="n"/>
      <c r="AV472" s="1" t="n"/>
      <c r="AW472" s="1" t="n"/>
      <c r="AX472" s="1" t="n"/>
      <c r="AY472" s="1" t="n"/>
      <c r="AZ472" s="1" t="n"/>
      <c r="BA472" s="1" t="n"/>
    </row>
    <row r="473" ht="16.5" customHeight="1" s="220">
      <c r="A473" s="1" t="n"/>
      <c r="B473" s="1" t="n"/>
      <c r="C473" s="2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  <c r="AW473" s="1" t="n"/>
      <c r="AX473" s="1" t="n"/>
      <c r="AY473" s="1" t="n"/>
      <c r="AZ473" s="1" t="n"/>
      <c r="BA473" s="1" t="n"/>
    </row>
    <row r="474" ht="16.5" customHeight="1" s="220">
      <c r="A474" s="1" t="n"/>
      <c r="B474" s="1" t="n"/>
      <c r="C474" s="2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  <c r="AS474" s="1" t="n"/>
      <c r="AT474" s="1" t="n"/>
      <c r="AU474" s="1" t="n"/>
      <c r="AV474" s="1" t="n"/>
      <c r="AW474" s="1" t="n"/>
      <c r="AX474" s="1" t="n"/>
      <c r="AY474" s="1" t="n"/>
      <c r="AZ474" s="1" t="n"/>
      <c r="BA474" s="1" t="n"/>
    </row>
    <row r="475" ht="16.5" customHeight="1" s="220">
      <c r="A475" s="1" t="n"/>
      <c r="B475" s="1" t="n"/>
      <c r="C475" s="2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  <c r="AW475" s="1" t="n"/>
      <c r="AX475" s="1" t="n"/>
      <c r="AY475" s="1" t="n"/>
      <c r="AZ475" s="1" t="n"/>
      <c r="BA475" s="1" t="n"/>
    </row>
    <row r="476" ht="16.5" customHeight="1" s="220">
      <c r="A476" s="1" t="n"/>
      <c r="B476" s="1" t="n"/>
      <c r="C476" s="2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  <c r="AS476" s="1" t="n"/>
      <c r="AT476" s="1" t="n"/>
      <c r="AU476" s="1" t="n"/>
      <c r="AV476" s="1" t="n"/>
      <c r="AW476" s="1" t="n"/>
      <c r="AX476" s="1" t="n"/>
      <c r="AY476" s="1" t="n"/>
      <c r="AZ476" s="1" t="n"/>
      <c r="BA476" s="1" t="n"/>
    </row>
    <row r="477" ht="16.5" customHeight="1" s="220">
      <c r="A477" s="1" t="n"/>
      <c r="B477" s="1" t="n"/>
      <c r="C477" s="2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  <c r="AW477" s="1" t="n"/>
      <c r="AX477" s="1" t="n"/>
      <c r="AY477" s="1" t="n"/>
      <c r="AZ477" s="1" t="n"/>
      <c r="BA477" s="1" t="n"/>
    </row>
    <row r="478" ht="16.5" customHeight="1" s="220">
      <c r="A478" s="1" t="n"/>
      <c r="B478" s="1" t="n"/>
      <c r="C478" s="2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  <c r="AS478" s="1" t="n"/>
      <c r="AT478" s="1" t="n"/>
      <c r="AU478" s="1" t="n"/>
      <c r="AV478" s="1" t="n"/>
      <c r="AW478" s="1" t="n"/>
      <c r="AX478" s="1" t="n"/>
      <c r="AY478" s="1" t="n"/>
      <c r="AZ478" s="1" t="n"/>
      <c r="BA478" s="1" t="n"/>
    </row>
    <row r="479" ht="16.5" customHeight="1" s="220">
      <c r="A479" s="1" t="n"/>
      <c r="B479" s="1" t="n"/>
      <c r="C479" s="2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  <c r="AW479" s="1" t="n"/>
      <c r="AX479" s="1" t="n"/>
      <c r="AY479" s="1" t="n"/>
      <c r="AZ479" s="1" t="n"/>
      <c r="BA479" s="1" t="n"/>
    </row>
    <row r="480" ht="16.5" customHeight="1" s="220">
      <c r="A480" s="1" t="n"/>
      <c r="B480" s="1" t="n"/>
      <c r="C480" s="2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  <c r="AS480" s="1" t="n"/>
      <c r="AT480" s="1" t="n"/>
      <c r="AU480" s="1" t="n"/>
      <c r="AV480" s="1" t="n"/>
      <c r="AW480" s="1" t="n"/>
      <c r="AX480" s="1" t="n"/>
      <c r="AY480" s="1" t="n"/>
      <c r="AZ480" s="1" t="n"/>
      <c r="BA480" s="1" t="n"/>
    </row>
    <row r="481" ht="16.5" customHeight="1" s="220">
      <c r="A481" s="1" t="n"/>
      <c r="B481" s="1" t="n"/>
      <c r="C481" s="2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  <c r="AW481" s="1" t="n"/>
      <c r="AX481" s="1" t="n"/>
      <c r="AY481" s="1" t="n"/>
      <c r="AZ481" s="1" t="n"/>
      <c r="BA481" s="1" t="n"/>
    </row>
    <row r="482" ht="16.5" customHeight="1" s="220">
      <c r="A482" s="1" t="n"/>
      <c r="B482" s="1" t="n"/>
      <c r="C482" s="2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  <c r="AR482" s="1" t="n"/>
      <c r="AS482" s="1" t="n"/>
      <c r="AT482" s="1" t="n"/>
      <c r="AU482" s="1" t="n"/>
      <c r="AV482" s="1" t="n"/>
      <c r="AW482" s="1" t="n"/>
      <c r="AX482" s="1" t="n"/>
      <c r="AY482" s="1" t="n"/>
      <c r="AZ482" s="1" t="n"/>
      <c r="BA482" s="1" t="n"/>
    </row>
    <row r="483" ht="16.5" customHeight="1" s="220">
      <c r="A483" s="1" t="n"/>
      <c r="B483" s="1" t="n"/>
      <c r="C483" s="2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  <c r="AW483" s="1" t="n"/>
      <c r="AX483" s="1" t="n"/>
      <c r="AY483" s="1" t="n"/>
      <c r="AZ483" s="1" t="n"/>
      <c r="BA483" s="1" t="n"/>
    </row>
    <row r="484" ht="16.5" customHeight="1" s="220">
      <c r="A484" s="1" t="n"/>
      <c r="B484" s="1" t="n"/>
      <c r="C484" s="2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  <c r="AS484" s="1" t="n"/>
      <c r="AT484" s="1" t="n"/>
      <c r="AU484" s="1" t="n"/>
      <c r="AV484" s="1" t="n"/>
      <c r="AW484" s="1" t="n"/>
      <c r="AX484" s="1" t="n"/>
      <c r="AY484" s="1" t="n"/>
      <c r="AZ484" s="1" t="n"/>
      <c r="BA484" s="1" t="n"/>
    </row>
    <row r="485" ht="16.5" customHeight="1" s="220">
      <c r="A485" s="1" t="n"/>
      <c r="B485" s="1" t="n"/>
      <c r="C485" s="2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  <c r="AW485" s="1" t="n"/>
      <c r="AX485" s="1" t="n"/>
      <c r="AY485" s="1" t="n"/>
      <c r="AZ485" s="1" t="n"/>
      <c r="BA485" s="1" t="n"/>
    </row>
    <row r="486" ht="16.5" customHeight="1" s="220">
      <c r="A486" s="1" t="n"/>
      <c r="B486" s="1" t="n"/>
      <c r="C486" s="2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  <c r="AS486" s="1" t="n"/>
      <c r="AT486" s="1" t="n"/>
      <c r="AU486" s="1" t="n"/>
      <c r="AV486" s="1" t="n"/>
      <c r="AW486" s="1" t="n"/>
      <c r="AX486" s="1" t="n"/>
      <c r="AY486" s="1" t="n"/>
      <c r="AZ486" s="1" t="n"/>
      <c r="BA486" s="1" t="n"/>
    </row>
    <row r="487" ht="16.5" customHeight="1" s="220">
      <c r="A487" s="1" t="n"/>
      <c r="B487" s="1" t="n"/>
      <c r="C487" s="2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  <c r="AW487" s="1" t="n"/>
      <c r="AX487" s="1" t="n"/>
      <c r="AY487" s="1" t="n"/>
      <c r="AZ487" s="1" t="n"/>
      <c r="BA487" s="1" t="n"/>
    </row>
    <row r="488" ht="16.5" customHeight="1" s="220">
      <c r="A488" s="1" t="n"/>
      <c r="B488" s="1" t="n"/>
      <c r="C488" s="2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  <c r="AS488" s="1" t="n"/>
      <c r="AT488" s="1" t="n"/>
      <c r="AU488" s="1" t="n"/>
      <c r="AV488" s="1" t="n"/>
      <c r="AW488" s="1" t="n"/>
      <c r="AX488" s="1" t="n"/>
      <c r="AY488" s="1" t="n"/>
      <c r="AZ488" s="1" t="n"/>
      <c r="BA488" s="1" t="n"/>
    </row>
    <row r="489" ht="16.5" customHeight="1" s="220">
      <c r="A489" s="1" t="n"/>
      <c r="B489" s="1" t="n"/>
      <c r="C489" s="2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  <c r="AW489" s="1" t="n"/>
      <c r="AX489" s="1" t="n"/>
      <c r="AY489" s="1" t="n"/>
      <c r="AZ489" s="1" t="n"/>
      <c r="BA489" s="1" t="n"/>
    </row>
    <row r="490" ht="16.5" customHeight="1" s="220">
      <c r="A490" s="1" t="n"/>
      <c r="B490" s="1" t="n"/>
      <c r="C490" s="2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  <c r="AS490" s="1" t="n"/>
      <c r="AT490" s="1" t="n"/>
      <c r="AU490" s="1" t="n"/>
      <c r="AV490" s="1" t="n"/>
      <c r="AW490" s="1" t="n"/>
      <c r="AX490" s="1" t="n"/>
      <c r="AY490" s="1" t="n"/>
      <c r="AZ490" s="1" t="n"/>
      <c r="BA490" s="1" t="n"/>
    </row>
    <row r="491" ht="16.5" customHeight="1" s="220">
      <c r="A491" s="1" t="n"/>
      <c r="B491" s="1" t="n"/>
      <c r="C491" s="2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  <c r="AW491" s="1" t="n"/>
      <c r="AX491" s="1" t="n"/>
      <c r="AY491" s="1" t="n"/>
      <c r="AZ491" s="1" t="n"/>
      <c r="BA491" s="1" t="n"/>
    </row>
    <row r="492" ht="16.5" customHeight="1" s="220">
      <c r="A492" s="1" t="n"/>
      <c r="B492" s="1" t="n"/>
      <c r="C492" s="2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  <c r="AS492" s="1" t="n"/>
      <c r="AT492" s="1" t="n"/>
      <c r="AU492" s="1" t="n"/>
      <c r="AV492" s="1" t="n"/>
      <c r="AW492" s="1" t="n"/>
      <c r="AX492" s="1" t="n"/>
      <c r="AY492" s="1" t="n"/>
      <c r="AZ492" s="1" t="n"/>
      <c r="BA492" s="1" t="n"/>
    </row>
    <row r="493" ht="16.5" customHeight="1" s="220">
      <c r="A493" s="1" t="n"/>
      <c r="B493" s="1" t="n"/>
      <c r="C493" s="2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  <c r="AW493" s="1" t="n"/>
      <c r="AX493" s="1" t="n"/>
      <c r="AY493" s="1" t="n"/>
      <c r="AZ493" s="1" t="n"/>
      <c r="BA493" s="1" t="n"/>
    </row>
    <row r="494" ht="16.5" customHeight="1" s="220">
      <c r="A494" s="1" t="n"/>
      <c r="B494" s="1" t="n"/>
      <c r="C494" s="2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  <c r="AS494" s="1" t="n"/>
      <c r="AT494" s="1" t="n"/>
      <c r="AU494" s="1" t="n"/>
      <c r="AV494" s="1" t="n"/>
      <c r="AW494" s="1" t="n"/>
      <c r="AX494" s="1" t="n"/>
      <c r="AY494" s="1" t="n"/>
      <c r="AZ494" s="1" t="n"/>
      <c r="BA494" s="1" t="n"/>
    </row>
    <row r="495" ht="16.5" customHeight="1" s="220">
      <c r="A495" s="1" t="n"/>
      <c r="B495" s="1" t="n"/>
      <c r="C495" s="2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  <c r="AW495" s="1" t="n"/>
      <c r="AX495" s="1" t="n"/>
      <c r="AY495" s="1" t="n"/>
      <c r="AZ495" s="1" t="n"/>
      <c r="BA495" s="1" t="n"/>
    </row>
    <row r="496" ht="16.5" customHeight="1" s="220">
      <c r="A496" s="1" t="n"/>
      <c r="B496" s="1" t="n"/>
      <c r="C496" s="2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  <c r="AS496" s="1" t="n"/>
      <c r="AT496" s="1" t="n"/>
      <c r="AU496" s="1" t="n"/>
      <c r="AV496" s="1" t="n"/>
      <c r="AW496" s="1" t="n"/>
      <c r="AX496" s="1" t="n"/>
      <c r="AY496" s="1" t="n"/>
      <c r="AZ496" s="1" t="n"/>
      <c r="BA496" s="1" t="n"/>
    </row>
    <row r="497" ht="16.5" customHeight="1" s="220">
      <c r="A497" s="1" t="n"/>
      <c r="B497" s="1" t="n"/>
      <c r="C497" s="2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  <c r="AW497" s="1" t="n"/>
      <c r="AX497" s="1" t="n"/>
      <c r="AY497" s="1" t="n"/>
      <c r="AZ497" s="1" t="n"/>
      <c r="BA497" s="1" t="n"/>
    </row>
    <row r="498" ht="16.5" customHeight="1" s="220">
      <c r="A498" s="1" t="n"/>
      <c r="B498" s="1" t="n"/>
      <c r="C498" s="2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  <c r="AS498" s="1" t="n"/>
      <c r="AT498" s="1" t="n"/>
      <c r="AU498" s="1" t="n"/>
      <c r="AV498" s="1" t="n"/>
      <c r="AW498" s="1" t="n"/>
      <c r="AX498" s="1" t="n"/>
      <c r="AY498" s="1" t="n"/>
      <c r="AZ498" s="1" t="n"/>
      <c r="BA498" s="1" t="n"/>
    </row>
    <row r="499" ht="16.5" customHeight="1" s="220">
      <c r="A499" s="1" t="n"/>
      <c r="B499" s="1" t="n"/>
      <c r="C499" s="2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  <c r="AW499" s="1" t="n"/>
      <c r="AX499" s="1" t="n"/>
      <c r="AY499" s="1" t="n"/>
      <c r="AZ499" s="1" t="n"/>
      <c r="BA499" s="1" t="n"/>
    </row>
    <row r="500" ht="16.5" customHeight="1" s="220">
      <c r="A500" s="1" t="n"/>
      <c r="B500" s="1" t="n"/>
      <c r="C500" s="2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  <c r="AR500" s="1" t="n"/>
      <c r="AS500" s="1" t="n"/>
      <c r="AT500" s="1" t="n"/>
      <c r="AU500" s="1" t="n"/>
      <c r="AV500" s="1" t="n"/>
      <c r="AW500" s="1" t="n"/>
      <c r="AX500" s="1" t="n"/>
      <c r="AY500" s="1" t="n"/>
      <c r="AZ500" s="1" t="n"/>
      <c r="BA500" s="1" t="n"/>
    </row>
    <row r="501" ht="16.5" customHeight="1" s="220">
      <c r="A501" s="1" t="n"/>
      <c r="B501" s="1" t="n"/>
      <c r="C501" s="2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  <c r="AR501" s="1" t="n"/>
      <c r="AS501" s="1" t="n"/>
      <c r="AT501" s="1" t="n"/>
      <c r="AU501" s="1" t="n"/>
      <c r="AV501" s="1" t="n"/>
      <c r="AW501" s="1" t="n"/>
      <c r="AX501" s="1" t="n"/>
      <c r="AY501" s="1" t="n"/>
      <c r="AZ501" s="1" t="n"/>
      <c r="BA501" s="1" t="n"/>
    </row>
    <row r="502" ht="16.5" customHeight="1" s="220">
      <c r="A502" s="1" t="n"/>
      <c r="B502" s="1" t="n"/>
      <c r="C502" s="2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  <c r="AR502" s="1" t="n"/>
      <c r="AS502" s="1" t="n"/>
      <c r="AT502" s="1" t="n"/>
      <c r="AU502" s="1" t="n"/>
      <c r="AV502" s="1" t="n"/>
      <c r="AW502" s="1" t="n"/>
      <c r="AX502" s="1" t="n"/>
      <c r="AY502" s="1" t="n"/>
      <c r="AZ502" s="1" t="n"/>
      <c r="BA502" s="1" t="n"/>
    </row>
    <row r="503" ht="16.5" customHeight="1" s="220">
      <c r="A503" s="1" t="n"/>
      <c r="B503" s="1" t="n"/>
      <c r="C503" s="2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  <c r="AR503" s="1" t="n"/>
      <c r="AS503" s="1" t="n"/>
      <c r="AT503" s="1" t="n"/>
      <c r="AU503" s="1" t="n"/>
      <c r="AV503" s="1" t="n"/>
      <c r="AW503" s="1" t="n"/>
      <c r="AX503" s="1" t="n"/>
      <c r="AY503" s="1" t="n"/>
      <c r="AZ503" s="1" t="n"/>
      <c r="BA503" s="1" t="n"/>
    </row>
    <row r="504" ht="16.5" customHeight="1" s="220">
      <c r="A504" s="1" t="n"/>
      <c r="B504" s="1" t="n"/>
      <c r="C504" s="2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  <c r="AR504" s="1" t="n"/>
      <c r="AS504" s="1" t="n"/>
      <c r="AT504" s="1" t="n"/>
      <c r="AU504" s="1" t="n"/>
      <c r="AV504" s="1" t="n"/>
      <c r="AW504" s="1" t="n"/>
      <c r="AX504" s="1" t="n"/>
      <c r="AY504" s="1" t="n"/>
      <c r="AZ504" s="1" t="n"/>
      <c r="BA504" s="1" t="n"/>
    </row>
    <row r="505" ht="16.5" customHeight="1" s="220">
      <c r="A505" s="1" t="n"/>
      <c r="B505" s="1" t="n"/>
      <c r="C505" s="2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  <c r="AR505" s="1" t="n"/>
      <c r="AS505" s="1" t="n"/>
      <c r="AT505" s="1" t="n"/>
      <c r="AU505" s="1" t="n"/>
      <c r="AV505" s="1" t="n"/>
      <c r="AW505" s="1" t="n"/>
      <c r="AX505" s="1" t="n"/>
      <c r="AY505" s="1" t="n"/>
      <c r="AZ505" s="1" t="n"/>
      <c r="BA505" s="1" t="n"/>
    </row>
    <row r="506" ht="16.5" customHeight="1" s="220">
      <c r="A506" s="1" t="n"/>
      <c r="B506" s="1" t="n"/>
      <c r="C506" s="2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  <c r="AR506" s="1" t="n"/>
      <c r="AS506" s="1" t="n"/>
      <c r="AT506" s="1" t="n"/>
      <c r="AU506" s="1" t="n"/>
      <c r="AV506" s="1" t="n"/>
      <c r="AW506" s="1" t="n"/>
      <c r="AX506" s="1" t="n"/>
      <c r="AY506" s="1" t="n"/>
      <c r="AZ506" s="1" t="n"/>
      <c r="BA506" s="1" t="n"/>
    </row>
    <row r="507" ht="16.5" customHeight="1" s="220">
      <c r="A507" s="1" t="n"/>
      <c r="B507" s="1" t="n"/>
      <c r="C507" s="2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  <c r="AR507" s="1" t="n"/>
      <c r="AS507" s="1" t="n"/>
      <c r="AT507" s="1" t="n"/>
      <c r="AU507" s="1" t="n"/>
      <c r="AV507" s="1" t="n"/>
      <c r="AW507" s="1" t="n"/>
      <c r="AX507" s="1" t="n"/>
      <c r="AY507" s="1" t="n"/>
      <c r="AZ507" s="1" t="n"/>
      <c r="BA507" s="1" t="n"/>
    </row>
    <row r="508" ht="16.5" customHeight="1" s="220">
      <c r="A508" s="1" t="n"/>
      <c r="B508" s="1" t="n"/>
      <c r="C508" s="2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  <c r="AR508" s="1" t="n"/>
      <c r="AS508" s="1" t="n"/>
      <c r="AT508" s="1" t="n"/>
      <c r="AU508" s="1" t="n"/>
      <c r="AV508" s="1" t="n"/>
      <c r="AW508" s="1" t="n"/>
      <c r="AX508" s="1" t="n"/>
      <c r="AY508" s="1" t="n"/>
      <c r="AZ508" s="1" t="n"/>
      <c r="BA508" s="1" t="n"/>
    </row>
    <row r="509" ht="16.5" customHeight="1" s="220">
      <c r="A509" s="1" t="n"/>
      <c r="B509" s="1" t="n"/>
      <c r="C509" s="2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  <c r="AR509" s="1" t="n"/>
      <c r="AS509" s="1" t="n"/>
      <c r="AT509" s="1" t="n"/>
      <c r="AU509" s="1" t="n"/>
      <c r="AV509" s="1" t="n"/>
      <c r="AW509" s="1" t="n"/>
      <c r="AX509" s="1" t="n"/>
      <c r="AY509" s="1" t="n"/>
      <c r="AZ509" s="1" t="n"/>
      <c r="BA509" s="1" t="n"/>
    </row>
    <row r="510" ht="16.5" customHeight="1" s="220">
      <c r="A510" s="1" t="n"/>
      <c r="B510" s="1" t="n"/>
      <c r="C510" s="2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  <c r="AR510" s="1" t="n"/>
      <c r="AS510" s="1" t="n"/>
      <c r="AT510" s="1" t="n"/>
      <c r="AU510" s="1" t="n"/>
      <c r="AV510" s="1" t="n"/>
      <c r="AW510" s="1" t="n"/>
      <c r="AX510" s="1" t="n"/>
      <c r="AY510" s="1" t="n"/>
      <c r="AZ510" s="1" t="n"/>
      <c r="BA510" s="1" t="n"/>
    </row>
    <row r="511" ht="16.5" customHeight="1" s="220">
      <c r="A511" s="1" t="n"/>
      <c r="B511" s="1" t="n"/>
      <c r="C511" s="2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  <c r="AR511" s="1" t="n"/>
      <c r="AS511" s="1" t="n"/>
      <c r="AT511" s="1" t="n"/>
      <c r="AU511" s="1" t="n"/>
      <c r="AV511" s="1" t="n"/>
      <c r="AW511" s="1" t="n"/>
      <c r="AX511" s="1" t="n"/>
      <c r="AY511" s="1" t="n"/>
      <c r="AZ511" s="1" t="n"/>
      <c r="BA511" s="1" t="n"/>
    </row>
    <row r="512" ht="16.5" customHeight="1" s="220">
      <c r="A512" s="1" t="n"/>
      <c r="B512" s="1" t="n"/>
      <c r="C512" s="2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  <c r="AR512" s="1" t="n"/>
      <c r="AS512" s="1" t="n"/>
      <c r="AT512" s="1" t="n"/>
      <c r="AU512" s="1" t="n"/>
      <c r="AV512" s="1" t="n"/>
      <c r="AW512" s="1" t="n"/>
      <c r="AX512" s="1" t="n"/>
      <c r="AY512" s="1" t="n"/>
      <c r="AZ512" s="1" t="n"/>
      <c r="BA512" s="1" t="n"/>
    </row>
    <row r="513" ht="16.5" customHeight="1" s="220">
      <c r="A513" s="1" t="n"/>
      <c r="B513" s="1" t="n"/>
      <c r="C513" s="2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  <c r="AR513" s="1" t="n"/>
      <c r="AS513" s="1" t="n"/>
      <c r="AT513" s="1" t="n"/>
      <c r="AU513" s="1" t="n"/>
      <c r="AV513" s="1" t="n"/>
      <c r="AW513" s="1" t="n"/>
      <c r="AX513" s="1" t="n"/>
      <c r="AY513" s="1" t="n"/>
      <c r="AZ513" s="1" t="n"/>
      <c r="BA513" s="1" t="n"/>
    </row>
    <row r="514" ht="16.5" customHeight="1" s="220">
      <c r="A514" s="1" t="n"/>
      <c r="B514" s="1" t="n"/>
      <c r="C514" s="2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  <c r="AR514" s="1" t="n"/>
      <c r="AS514" s="1" t="n"/>
      <c r="AT514" s="1" t="n"/>
      <c r="AU514" s="1" t="n"/>
      <c r="AV514" s="1" t="n"/>
      <c r="AW514" s="1" t="n"/>
      <c r="AX514" s="1" t="n"/>
      <c r="AY514" s="1" t="n"/>
      <c r="AZ514" s="1" t="n"/>
      <c r="BA514" s="1" t="n"/>
    </row>
    <row r="515" ht="16.5" customHeight="1" s="220">
      <c r="A515" s="1" t="n"/>
      <c r="B515" s="1" t="n"/>
      <c r="C515" s="2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  <c r="AR515" s="1" t="n"/>
      <c r="AS515" s="1" t="n"/>
      <c r="AT515" s="1" t="n"/>
      <c r="AU515" s="1" t="n"/>
      <c r="AV515" s="1" t="n"/>
      <c r="AW515" s="1" t="n"/>
      <c r="AX515" s="1" t="n"/>
      <c r="AY515" s="1" t="n"/>
      <c r="AZ515" s="1" t="n"/>
      <c r="BA515" s="1" t="n"/>
    </row>
    <row r="516" ht="16.5" customHeight="1" s="220">
      <c r="A516" s="1" t="n"/>
      <c r="B516" s="1" t="n"/>
      <c r="C516" s="2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  <c r="AR516" s="1" t="n"/>
      <c r="AS516" s="1" t="n"/>
      <c r="AT516" s="1" t="n"/>
      <c r="AU516" s="1" t="n"/>
      <c r="AV516" s="1" t="n"/>
      <c r="AW516" s="1" t="n"/>
      <c r="AX516" s="1" t="n"/>
      <c r="AY516" s="1" t="n"/>
      <c r="AZ516" s="1" t="n"/>
      <c r="BA516" s="1" t="n"/>
    </row>
    <row r="517" ht="16.5" customHeight="1" s="220">
      <c r="A517" s="1" t="n"/>
      <c r="B517" s="1" t="n"/>
      <c r="C517" s="2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  <c r="AR517" s="1" t="n"/>
      <c r="AS517" s="1" t="n"/>
      <c r="AT517" s="1" t="n"/>
      <c r="AU517" s="1" t="n"/>
      <c r="AV517" s="1" t="n"/>
      <c r="AW517" s="1" t="n"/>
      <c r="AX517" s="1" t="n"/>
      <c r="AY517" s="1" t="n"/>
      <c r="AZ517" s="1" t="n"/>
      <c r="BA517" s="1" t="n"/>
    </row>
    <row r="518" ht="16.5" customHeight="1" s="220">
      <c r="A518" s="1" t="n"/>
      <c r="B518" s="1" t="n"/>
      <c r="C518" s="2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  <c r="AR518" s="1" t="n"/>
      <c r="AS518" s="1" t="n"/>
      <c r="AT518" s="1" t="n"/>
      <c r="AU518" s="1" t="n"/>
      <c r="AV518" s="1" t="n"/>
      <c r="AW518" s="1" t="n"/>
      <c r="AX518" s="1" t="n"/>
      <c r="AY518" s="1" t="n"/>
      <c r="AZ518" s="1" t="n"/>
      <c r="BA518" s="1" t="n"/>
    </row>
    <row r="519" ht="16.5" customHeight="1" s="220">
      <c r="A519" s="1" t="n"/>
      <c r="B519" s="1" t="n"/>
      <c r="C519" s="2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  <c r="AR519" s="1" t="n"/>
      <c r="AS519" s="1" t="n"/>
      <c r="AT519" s="1" t="n"/>
      <c r="AU519" s="1" t="n"/>
      <c r="AV519" s="1" t="n"/>
      <c r="AW519" s="1" t="n"/>
      <c r="AX519" s="1" t="n"/>
      <c r="AY519" s="1" t="n"/>
      <c r="AZ519" s="1" t="n"/>
      <c r="BA519" s="1" t="n"/>
    </row>
    <row r="520" ht="16.5" customHeight="1" s="220">
      <c r="A520" s="1" t="n"/>
      <c r="B520" s="1" t="n"/>
      <c r="C520" s="2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  <c r="AR520" s="1" t="n"/>
      <c r="AS520" s="1" t="n"/>
      <c r="AT520" s="1" t="n"/>
      <c r="AU520" s="1" t="n"/>
      <c r="AV520" s="1" t="n"/>
      <c r="AW520" s="1" t="n"/>
      <c r="AX520" s="1" t="n"/>
      <c r="AY520" s="1" t="n"/>
      <c r="AZ520" s="1" t="n"/>
      <c r="BA520" s="1" t="n"/>
    </row>
    <row r="521" ht="16.5" customHeight="1" s="220">
      <c r="A521" s="1" t="n"/>
      <c r="B521" s="1" t="n"/>
      <c r="C521" s="2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  <c r="AR521" s="1" t="n"/>
      <c r="AS521" s="1" t="n"/>
      <c r="AT521" s="1" t="n"/>
      <c r="AU521" s="1" t="n"/>
      <c r="AV521" s="1" t="n"/>
      <c r="AW521" s="1" t="n"/>
      <c r="AX521" s="1" t="n"/>
      <c r="AY521" s="1" t="n"/>
      <c r="AZ521" s="1" t="n"/>
      <c r="BA521" s="1" t="n"/>
    </row>
    <row r="522" ht="16.5" customHeight="1" s="220">
      <c r="A522" s="1" t="n"/>
      <c r="B522" s="1" t="n"/>
      <c r="C522" s="2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  <c r="AR522" s="1" t="n"/>
      <c r="AS522" s="1" t="n"/>
      <c r="AT522" s="1" t="n"/>
      <c r="AU522" s="1" t="n"/>
      <c r="AV522" s="1" t="n"/>
      <c r="AW522" s="1" t="n"/>
      <c r="AX522" s="1" t="n"/>
      <c r="AY522" s="1" t="n"/>
      <c r="AZ522" s="1" t="n"/>
      <c r="BA522" s="1" t="n"/>
    </row>
    <row r="523" ht="16.5" customHeight="1" s="220">
      <c r="A523" s="1" t="n"/>
      <c r="B523" s="1" t="n"/>
      <c r="C523" s="2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  <c r="AR523" s="1" t="n"/>
      <c r="AS523" s="1" t="n"/>
      <c r="AT523" s="1" t="n"/>
      <c r="AU523" s="1" t="n"/>
      <c r="AV523" s="1" t="n"/>
      <c r="AW523" s="1" t="n"/>
      <c r="AX523" s="1" t="n"/>
      <c r="AY523" s="1" t="n"/>
      <c r="AZ523" s="1" t="n"/>
      <c r="BA523" s="1" t="n"/>
    </row>
    <row r="524" ht="16.5" customHeight="1" s="220">
      <c r="A524" s="1" t="n"/>
      <c r="B524" s="1" t="n"/>
      <c r="C524" s="2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  <c r="AR524" s="1" t="n"/>
      <c r="AS524" s="1" t="n"/>
      <c r="AT524" s="1" t="n"/>
      <c r="AU524" s="1" t="n"/>
      <c r="AV524" s="1" t="n"/>
      <c r="AW524" s="1" t="n"/>
      <c r="AX524" s="1" t="n"/>
      <c r="AY524" s="1" t="n"/>
      <c r="AZ524" s="1" t="n"/>
      <c r="BA524" s="1" t="n"/>
    </row>
    <row r="525" ht="16.5" customHeight="1" s="220">
      <c r="A525" s="1" t="n"/>
      <c r="B525" s="1" t="n"/>
      <c r="C525" s="2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  <c r="AR525" s="1" t="n"/>
      <c r="AS525" s="1" t="n"/>
      <c r="AT525" s="1" t="n"/>
      <c r="AU525" s="1" t="n"/>
      <c r="AV525" s="1" t="n"/>
      <c r="AW525" s="1" t="n"/>
      <c r="AX525" s="1" t="n"/>
      <c r="AY525" s="1" t="n"/>
      <c r="AZ525" s="1" t="n"/>
      <c r="BA525" s="1" t="n"/>
    </row>
    <row r="526" ht="16.5" customHeight="1" s="220">
      <c r="A526" s="1" t="n"/>
      <c r="B526" s="1" t="n"/>
      <c r="C526" s="2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  <c r="AR526" s="1" t="n"/>
      <c r="AS526" s="1" t="n"/>
      <c r="AT526" s="1" t="n"/>
      <c r="AU526" s="1" t="n"/>
      <c r="AV526" s="1" t="n"/>
      <c r="AW526" s="1" t="n"/>
      <c r="AX526" s="1" t="n"/>
      <c r="AY526" s="1" t="n"/>
      <c r="AZ526" s="1" t="n"/>
      <c r="BA526" s="1" t="n"/>
    </row>
    <row r="527" ht="16.5" customHeight="1" s="220">
      <c r="A527" s="1" t="n"/>
      <c r="B527" s="1" t="n"/>
      <c r="C527" s="2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  <c r="AR527" s="1" t="n"/>
      <c r="AS527" s="1" t="n"/>
      <c r="AT527" s="1" t="n"/>
      <c r="AU527" s="1" t="n"/>
      <c r="AV527" s="1" t="n"/>
      <c r="AW527" s="1" t="n"/>
      <c r="AX527" s="1" t="n"/>
      <c r="AY527" s="1" t="n"/>
      <c r="AZ527" s="1" t="n"/>
      <c r="BA527" s="1" t="n"/>
    </row>
    <row r="528" ht="16.5" customHeight="1" s="220">
      <c r="A528" s="1" t="n"/>
      <c r="B528" s="1" t="n"/>
      <c r="C528" s="2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  <c r="AR528" s="1" t="n"/>
      <c r="AS528" s="1" t="n"/>
      <c r="AT528" s="1" t="n"/>
      <c r="AU528" s="1" t="n"/>
      <c r="AV528" s="1" t="n"/>
      <c r="AW528" s="1" t="n"/>
      <c r="AX528" s="1" t="n"/>
      <c r="AY528" s="1" t="n"/>
      <c r="AZ528" s="1" t="n"/>
      <c r="BA528" s="1" t="n"/>
    </row>
    <row r="529" ht="16.5" customHeight="1" s="220">
      <c r="A529" s="1" t="n"/>
      <c r="B529" s="1" t="n"/>
      <c r="C529" s="2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  <c r="AR529" s="1" t="n"/>
      <c r="AS529" s="1" t="n"/>
      <c r="AT529" s="1" t="n"/>
      <c r="AU529" s="1" t="n"/>
      <c r="AV529" s="1" t="n"/>
      <c r="AW529" s="1" t="n"/>
      <c r="AX529" s="1" t="n"/>
      <c r="AY529" s="1" t="n"/>
      <c r="AZ529" s="1" t="n"/>
      <c r="BA529" s="1" t="n"/>
    </row>
    <row r="530" ht="16.5" customHeight="1" s="220">
      <c r="A530" s="1" t="n"/>
      <c r="B530" s="1" t="n"/>
      <c r="C530" s="2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  <c r="AR530" s="1" t="n"/>
      <c r="AS530" s="1" t="n"/>
      <c r="AT530" s="1" t="n"/>
      <c r="AU530" s="1" t="n"/>
      <c r="AV530" s="1" t="n"/>
      <c r="AW530" s="1" t="n"/>
      <c r="AX530" s="1" t="n"/>
      <c r="AY530" s="1" t="n"/>
      <c r="AZ530" s="1" t="n"/>
      <c r="BA530" s="1" t="n"/>
    </row>
    <row r="531" ht="16.5" customHeight="1" s="220">
      <c r="A531" s="1" t="n"/>
      <c r="B531" s="1" t="n"/>
      <c r="C531" s="2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  <c r="AR531" s="1" t="n"/>
      <c r="AS531" s="1" t="n"/>
      <c r="AT531" s="1" t="n"/>
      <c r="AU531" s="1" t="n"/>
      <c r="AV531" s="1" t="n"/>
      <c r="AW531" s="1" t="n"/>
      <c r="AX531" s="1" t="n"/>
      <c r="AY531" s="1" t="n"/>
      <c r="AZ531" s="1" t="n"/>
      <c r="BA531" s="1" t="n"/>
    </row>
    <row r="532" ht="16.5" customHeight="1" s="220">
      <c r="A532" s="1" t="n"/>
      <c r="B532" s="1" t="n"/>
      <c r="C532" s="2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  <c r="AR532" s="1" t="n"/>
      <c r="AS532" s="1" t="n"/>
      <c r="AT532" s="1" t="n"/>
      <c r="AU532" s="1" t="n"/>
      <c r="AV532" s="1" t="n"/>
      <c r="AW532" s="1" t="n"/>
      <c r="AX532" s="1" t="n"/>
      <c r="AY532" s="1" t="n"/>
      <c r="AZ532" s="1" t="n"/>
      <c r="BA532" s="1" t="n"/>
    </row>
    <row r="533" ht="16.5" customHeight="1" s="220">
      <c r="A533" s="1" t="n"/>
      <c r="B533" s="1" t="n"/>
      <c r="C533" s="2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  <c r="AR533" s="1" t="n"/>
      <c r="AS533" s="1" t="n"/>
      <c r="AT533" s="1" t="n"/>
      <c r="AU533" s="1" t="n"/>
      <c r="AV533" s="1" t="n"/>
      <c r="AW533" s="1" t="n"/>
      <c r="AX533" s="1" t="n"/>
      <c r="AY533" s="1" t="n"/>
      <c r="AZ533" s="1" t="n"/>
      <c r="BA533" s="1" t="n"/>
    </row>
    <row r="534" ht="16.5" customHeight="1" s="220">
      <c r="A534" s="1" t="n"/>
      <c r="B534" s="1" t="n"/>
      <c r="C534" s="2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  <c r="AR534" s="1" t="n"/>
      <c r="AS534" s="1" t="n"/>
      <c r="AT534" s="1" t="n"/>
      <c r="AU534" s="1" t="n"/>
      <c r="AV534" s="1" t="n"/>
      <c r="AW534" s="1" t="n"/>
      <c r="AX534" s="1" t="n"/>
      <c r="AY534" s="1" t="n"/>
      <c r="AZ534" s="1" t="n"/>
      <c r="BA534" s="1" t="n"/>
    </row>
    <row r="535" ht="16.5" customHeight="1" s="220">
      <c r="A535" s="1" t="n"/>
      <c r="B535" s="1" t="n"/>
      <c r="C535" s="2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  <c r="AR535" s="1" t="n"/>
      <c r="AS535" s="1" t="n"/>
      <c r="AT535" s="1" t="n"/>
      <c r="AU535" s="1" t="n"/>
      <c r="AV535" s="1" t="n"/>
      <c r="AW535" s="1" t="n"/>
      <c r="AX535" s="1" t="n"/>
      <c r="AY535" s="1" t="n"/>
      <c r="AZ535" s="1" t="n"/>
      <c r="BA535" s="1" t="n"/>
    </row>
    <row r="536" ht="16.5" customHeight="1" s="220">
      <c r="A536" s="1" t="n"/>
      <c r="B536" s="1" t="n"/>
      <c r="C536" s="2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  <c r="AR536" s="1" t="n"/>
      <c r="AS536" s="1" t="n"/>
      <c r="AT536" s="1" t="n"/>
      <c r="AU536" s="1" t="n"/>
      <c r="AV536" s="1" t="n"/>
      <c r="AW536" s="1" t="n"/>
      <c r="AX536" s="1" t="n"/>
      <c r="AY536" s="1" t="n"/>
      <c r="AZ536" s="1" t="n"/>
      <c r="BA536" s="1" t="n"/>
    </row>
    <row r="537" ht="16.5" customHeight="1" s="220">
      <c r="A537" s="1" t="n"/>
      <c r="B537" s="1" t="n"/>
      <c r="C537" s="2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  <c r="AR537" s="1" t="n"/>
      <c r="AS537" s="1" t="n"/>
      <c r="AT537" s="1" t="n"/>
      <c r="AU537" s="1" t="n"/>
      <c r="AV537" s="1" t="n"/>
      <c r="AW537" s="1" t="n"/>
      <c r="AX537" s="1" t="n"/>
      <c r="AY537" s="1" t="n"/>
      <c r="AZ537" s="1" t="n"/>
      <c r="BA537" s="1" t="n"/>
    </row>
    <row r="538" ht="16.5" customHeight="1" s="220">
      <c r="A538" s="1" t="n"/>
      <c r="B538" s="1" t="n"/>
      <c r="C538" s="2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  <c r="AR538" s="1" t="n"/>
      <c r="AS538" s="1" t="n"/>
      <c r="AT538" s="1" t="n"/>
      <c r="AU538" s="1" t="n"/>
      <c r="AV538" s="1" t="n"/>
      <c r="AW538" s="1" t="n"/>
      <c r="AX538" s="1" t="n"/>
      <c r="AY538" s="1" t="n"/>
      <c r="AZ538" s="1" t="n"/>
      <c r="BA538" s="1" t="n"/>
    </row>
    <row r="539" ht="16.5" customHeight="1" s="220">
      <c r="A539" s="1" t="n"/>
      <c r="B539" s="1" t="n"/>
      <c r="C539" s="2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  <c r="AR539" s="1" t="n"/>
      <c r="AS539" s="1" t="n"/>
      <c r="AT539" s="1" t="n"/>
      <c r="AU539" s="1" t="n"/>
      <c r="AV539" s="1" t="n"/>
      <c r="AW539" s="1" t="n"/>
      <c r="AX539" s="1" t="n"/>
      <c r="AY539" s="1" t="n"/>
      <c r="AZ539" s="1" t="n"/>
      <c r="BA539" s="1" t="n"/>
    </row>
    <row r="540" ht="16.5" customHeight="1" s="220">
      <c r="A540" s="1" t="n"/>
      <c r="B540" s="1" t="n"/>
      <c r="C540" s="2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  <c r="AR540" s="1" t="n"/>
      <c r="AS540" s="1" t="n"/>
      <c r="AT540" s="1" t="n"/>
      <c r="AU540" s="1" t="n"/>
      <c r="AV540" s="1" t="n"/>
      <c r="AW540" s="1" t="n"/>
      <c r="AX540" s="1" t="n"/>
      <c r="AY540" s="1" t="n"/>
      <c r="AZ540" s="1" t="n"/>
      <c r="BA540" s="1" t="n"/>
    </row>
    <row r="541" ht="16.5" customHeight="1" s="220">
      <c r="A541" s="1" t="n"/>
      <c r="B541" s="1" t="n"/>
      <c r="C541" s="2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  <c r="AR541" s="1" t="n"/>
      <c r="AS541" s="1" t="n"/>
      <c r="AT541" s="1" t="n"/>
      <c r="AU541" s="1" t="n"/>
      <c r="AV541" s="1" t="n"/>
      <c r="AW541" s="1" t="n"/>
      <c r="AX541" s="1" t="n"/>
      <c r="AY541" s="1" t="n"/>
      <c r="AZ541" s="1" t="n"/>
      <c r="BA541" s="1" t="n"/>
    </row>
    <row r="542" ht="16.5" customHeight="1" s="220">
      <c r="A542" s="1" t="n"/>
      <c r="B542" s="1" t="n"/>
      <c r="C542" s="2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  <c r="AR542" s="1" t="n"/>
      <c r="AS542" s="1" t="n"/>
      <c r="AT542" s="1" t="n"/>
      <c r="AU542" s="1" t="n"/>
      <c r="AV542" s="1" t="n"/>
      <c r="AW542" s="1" t="n"/>
      <c r="AX542" s="1" t="n"/>
      <c r="AY542" s="1" t="n"/>
      <c r="AZ542" s="1" t="n"/>
      <c r="BA542" s="1" t="n"/>
    </row>
    <row r="543" ht="16.5" customHeight="1" s="220">
      <c r="A543" s="1" t="n"/>
      <c r="B543" s="1" t="n"/>
      <c r="C543" s="2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  <c r="AR543" s="1" t="n"/>
      <c r="AS543" s="1" t="n"/>
      <c r="AT543" s="1" t="n"/>
      <c r="AU543" s="1" t="n"/>
      <c r="AV543" s="1" t="n"/>
      <c r="AW543" s="1" t="n"/>
      <c r="AX543" s="1" t="n"/>
      <c r="AY543" s="1" t="n"/>
      <c r="AZ543" s="1" t="n"/>
      <c r="BA543" s="1" t="n"/>
    </row>
    <row r="544" ht="16.5" customHeight="1" s="220">
      <c r="A544" s="1" t="n"/>
      <c r="B544" s="1" t="n"/>
      <c r="C544" s="2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  <c r="AR544" s="1" t="n"/>
      <c r="AS544" s="1" t="n"/>
      <c r="AT544" s="1" t="n"/>
      <c r="AU544" s="1" t="n"/>
      <c r="AV544" s="1" t="n"/>
      <c r="AW544" s="1" t="n"/>
      <c r="AX544" s="1" t="n"/>
      <c r="AY544" s="1" t="n"/>
      <c r="AZ544" s="1" t="n"/>
      <c r="BA544" s="1" t="n"/>
    </row>
    <row r="545" ht="16.5" customHeight="1" s="220">
      <c r="A545" s="1" t="n"/>
      <c r="B545" s="1" t="n"/>
      <c r="C545" s="2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  <c r="AR545" s="1" t="n"/>
      <c r="AS545" s="1" t="n"/>
      <c r="AT545" s="1" t="n"/>
      <c r="AU545" s="1" t="n"/>
      <c r="AV545" s="1" t="n"/>
      <c r="AW545" s="1" t="n"/>
      <c r="AX545" s="1" t="n"/>
      <c r="AY545" s="1" t="n"/>
      <c r="AZ545" s="1" t="n"/>
      <c r="BA545" s="1" t="n"/>
    </row>
    <row r="546" ht="16.5" customHeight="1" s="220">
      <c r="A546" s="1" t="n"/>
      <c r="B546" s="1" t="n"/>
      <c r="C546" s="2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  <c r="AR546" s="1" t="n"/>
      <c r="AS546" s="1" t="n"/>
      <c r="AT546" s="1" t="n"/>
      <c r="AU546" s="1" t="n"/>
      <c r="AV546" s="1" t="n"/>
      <c r="AW546" s="1" t="n"/>
      <c r="AX546" s="1" t="n"/>
      <c r="AY546" s="1" t="n"/>
      <c r="AZ546" s="1" t="n"/>
      <c r="BA546" s="1" t="n"/>
    </row>
    <row r="547" ht="16.5" customHeight="1" s="220">
      <c r="A547" s="1" t="n"/>
      <c r="B547" s="1" t="n"/>
      <c r="C547" s="2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  <c r="AR547" s="1" t="n"/>
      <c r="AS547" s="1" t="n"/>
      <c r="AT547" s="1" t="n"/>
      <c r="AU547" s="1" t="n"/>
      <c r="AV547" s="1" t="n"/>
      <c r="AW547" s="1" t="n"/>
      <c r="AX547" s="1" t="n"/>
      <c r="AY547" s="1" t="n"/>
      <c r="AZ547" s="1" t="n"/>
      <c r="BA547" s="1" t="n"/>
    </row>
    <row r="548" ht="16.5" customHeight="1" s="220">
      <c r="A548" s="1" t="n"/>
      <c r="B548" s="1" t="n"/>
      <c r="C548" s="2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  <c r="AR548" s="1" t="n"/>
      <c r="AS548" s="1" t="n"/>
      <c r="AT548" s="1" t="n"/>
      <c r="AU548" s="1" t="n"/>
      <c r="AV548" s="1" t="n"/>
      <c r="AW548" s="1" t="n"/>
      <c r="AX548" s="1" t="n"/>
      <c r="AY548" s="1" t="n"/>
      <c r="AZ548" s="1" t="n"/>
      <c r="BA548" s="1" t="n"/>
    </row>
    <row r="549" ht="16.5" customHeight="1" s="220">
      <c r="A549" s="1" t="n"/>
      <c r="B549" s="1" t="n"/>
      <c r="C549" s="2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  <c r="AR549" s="1" t="n"/>
      <c r="AS549" s="1" t="n"/>
      <c r="AT549" s="1" t="n"/>
      <c r="AU549" s="1" t="n"/>
      <c r="AV549" s="1" t="n"/>
      <c r="AW549" s="1" t="n"/>
      <c r="AX549" s="1" t="n"/>
      <c r="AY549" s="1" t="n"/>
      <c r="AZ549" s="1" t="n"/>
      <c r="BA549" s="1" t="n"/>
    </row>
    <row r="550" ht="16.5" customHeight="1" s="220">
      <c r="A550" s="1" t="n"/>
      <c r="B550" s="1" t="n"/>
      <c r="C550" s="2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  <c r="AR550" s="1" t="n"/>
      <c r="AS550" s="1" t="n"/>
      <c r="AT550" s="1" t="n"/>
      <c r="AU550" s="1" t="n"/>
      <c r="AV550" s="1" t="n"/>
      <c r="AW550" s="1" t="n"/>
      <c r="AX550" s="1" t="n"/>
      <c r="AY550" s="1" t="n"/>
      <c r="AZ550" s="1" t="n"/>
      <c r="BA550" s="1" t="n"/>
    </row>
    <row r="551" ht="16.5" customHeight="1" s="220">
      <c r="A551" s="1" t="n"/>
      <c r="B551" s="1" t="n"/>
      <c r="C551" s="2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  <c r="AR551" s="1" t="n"/>
      <c r="AS551" s="1" t="n"/>
      <c r="AT551" s="1" t="n"/>
      <c r="AU551" s="1" t="n"/>
      <c r="AV551" s="1" t="n"/>
      <c r="AW551" s="1" t="n"/>
      <c r="AX551" s="1" t="n"/>
      <c r="AY551" s="1" t="n"/>
      <c r="AZ551" s="1" t="n"/>
      <c r="BA551" s="1" t="n"/>
    </row>
    <row r="552" ht="16.5" customHeight="1" s="220">
      <c r="A552" s="1" t="n"/>
      <c r="B552" s="1" t="n"/>
      <c r="C552" s="2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  <c r="AR552" s="1" t="n"/>
      <c r="AS552" s="1" t="n"/>
      <c r="AT552" s="1" t="n"/>
      <c r="AU552" s="1" t="n"/>
      <c r="AV552" s="1" t="n"/>
      <c r="AW552" s="1" t="n"/>
      <c r="AX552" s="1" t="n"/>
      <c r="AY552" s="1" t="n"/>
      <c r="AZ552" s="1" t="n"/>
      <c r="BA552" s="1" t="n"/>
    </row>
    <row r="553" ht="16.5" customHeight="1" s="220">
      <c r="A553" s="1" t="n"/>
      <c r="B553" s="1" t="n"/>
      <c r="C553" s="2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  <c r="AR553" s="1" t="n"/>
      <c r="AS553" s="1" t="n"/>
      <c r="AT553" s="1" t="n"/>
      <c r="AU553" s="1" t="n"/>
      <c r="AV553" s="1" t="n"/>
      <c r="AW553" s="1" t="n"/>
      <c r="AX553" s="1" t="n"/>
      <c r="AY553" s="1" t="n"/>
      <c r="AZ553" s="1" t="n"/>
      <c r="BA553" s="1" t="n"/>
    </row>
    <row r="554" ht="16.5" customHeight="1" s="220">
      <c r="A554" s="1" t="n"/>
      <c r="B554" s="1" t="n"/>
      <c r="C554" s="2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  <c r="AR554" s="1" t="n"/>
      <c r="AS554" s="1" t="n"/>
      <c r="AT554" s="1" t="n"/>
      <c r="AU554" s="1" t="n"/>
      <c r="AV554" s="1" t="n"/>
      <c r="AW554" s="1" t="n"/>
      <c r="AX554" s="1" t="n"/>
      <c r="AY554" s="1" t="n"/>
      <c r="AZ554" s="1" t="n"/>
      <c r="BA554" s="1" t="n"/>
    </row>
    <row r="555" ht="16.5" customHeight="1" s="220">
      <c r="A555" s="1" t="n"/>
      <c r="B555" s="1" t="n"/>
      <c r="C555" s="2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  <c r="AR555" s="1" t="n"/>
      <c r="AS555" s="1" t="n"/>
      <c r="AT555" s="1" t="n"/>
      <c r="AU555" s="1" t="n"/>
      <c r="AV555" s="1" t="n"/>
      <c r="AW555" s="1" t="n"/>
      <c r="AX555" s="1" t="n"/>
      <c r="AY555" s="1" t="n"/>
      <c r="AZ555" s="1" t="n"/>
      <c r="BA555" s="1" t="n"/>
    </row>
    <row r="556" ht="16.5" customHeight="1" s="220">
      <c r="A556" s="1" t="n"/>
      <c r="B556" s="1" t="n"/>
      <c r="C556" s="2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  <c r="AR556" s="1" t="n"/>
      <c r="AS556" s="1" t="n"/>
      <c r="AT556" s="1" t="n"/>
      <c r="AU556" s="1" t="n"/>
      <c r="AV556" s="1" t="n"/>
      <c r="AW556" s="1" t="n"/>
      <c r="AX556" s="1" t="n"/>
      <c r="AY556" s="1" t="n"/>
      <c r="AZ556" s="1" t="n"/>
      <c r="BA556" s="1" t="n"/>
    </row>
    <row r="557" ht="16.5" customHeight="1" s="220">
      <c r="A557" s="1" t="n"/>
      <c r="B557" s="1" t="n"/>
      <c r="C557" s="2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  <c r="AR557" s="1" t="n"/>
      <c r="AS557" s="1" t="n"/>
      <c r="AT557" s="1" t="n"/>
      <c r="AU557" s="1" t="n"/>
      <c r="AV557" s="1" t="n"/>
      <c r="AW557" s="1" t="n"/>
      <c r="AX557" s="1" t="n"/>
      <c r="AY557" s="1" t="n"/>
      <c r="AZ557" s="1" t="n"/>
      <c r="BA557" s="1" t="n"/>
    </row>
    <row r="558" ht="16.5" customHeight="1" s="220">
      <c r="A558" s="1" t="n"/>
      <c r="B558" s="1" t="n"/>
      <c r="C558" s="2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  <c r="AR558" s="1" t="n"/>
      <c r="AS558" s="1" t="n"/>
      <c r="AT558" s="1" t="n"/>
      <c r="AU558" s="1" t="n"/>
      <c r="AV558" s="1" t="n"/>
      <c r="AW558" s="1" t="n"/>
      <c r="AX558" s="1" t="n"/>
      <c r="AY558" s="1" t="n"/>
      <c r="AZ558" s="1" t="n"/>
      <c r="BA558" s="1" t="n"/>
    </row>
    <row r="559" ht="16.5" customHeight="1" s="220">
      <c r="A559" s="1" t="n"/>
      <c r="B559" s="1" t="n"/>
      <c r="C559" s="2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  <c r="AR559" s="1" t="n"/>
      <c r="AS559" s="1" t="n"/>
      <c r="AT559" s="1" t="n"/>
      <c r="AU559" s="1" t="n"/>
      <c r="AV559" s="1" t="n"/>
      <c r="AW559" s="1" t="n"/>
      <c r="AX559" s="1" t="n"/>
      <c r="AY559" s="1" t="n"/>
      <c r="AZ559" s="1" t="n"/>
      <c r="BA559" s="1" t="n"/>
    </row>
    <row r="560" ht="16.5" customHeight="1" s="220">
      <c r="A560" s="1" t="n"/>
      <c r="B560" s="1" t="n"/>
      <c r="C560" s="2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  <c r="AR560" s="1" t="n"/>
      <c r="AS560" s="1" t="n"/>
      <c r="AT560" s="1" t="n"/>
      <c r="AU560" s="1" t="n"/>
      <c r="AV560" s="1" t="n"/>
      <c r="AW560" s="1" t="n"/>
      <c r="AX560" s="1" t="n"/>
      <c r="AY560" s="1" t="n"/>
      <c r="AZ560" s="1" t="n"/>
      <c r="BA560" s="1" t="n"/>
    </row>
    <row r="561" ht="16.5" customHeight="1" s="220">
      <c r="A561" s="1" t="n"/>
      <c r="B561" s="1" t="n"/>
      <c r="C561" s="2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  <c r="AR561" s="1" t="n"/>
      <c r="AS561" s="1" t="n"/>
      <c r="AT561" s="1" t="n"/>
      <c r="AU561" s="1" t="n"/>
      <c r="AV561" s="1" t="n"/>
      <c r="AW561" s="1" t="n"/>
      <c r="AX561" s="1" t="n"/>
      <c r="AY561" s="1" t="n"/>
      <c r="AZ561" s="1" t="n"/>
      <c r="BA561" s="1" t="n"/>
    </row>
    <row r="562" ht="16.5" customHeight="1" s="220">
      <c r="A562" s="1" t="n"/>
      <c r="B562" s="1" t="n"/>
      <c r="C562" s="2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  <c r="AR562" s="1" t="n"/>
      <c r="AS562" s="1" t="n"/>
      <c r="AT562" s="1" t="n"/>
      <c r="AU562" s="1" t="n"/>
      <c r="AV562" s="1" t="n"/>
      <c r="AW562" s="1" t="n"/>
      <c r="AX562" s="1" t="n"/>
      <c r="AY562" s="1" t="n"/>
      <c r="AZ562" s="1" t="n"/>
      <c r="BA562" s="1" t="n"/>
    </row>
    <row r="563" ht="16.5" customHeight="1" s="220">
      <c r="A563" s="1" t="n"/>
      <c r="B563" s="1" t="n"/>
      <c r="C563" s="2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  <c r="AR563" s="1" t="n"/>
      <c r="AS563" s="1" t="n"/>
      <c r="AT563" s="1" t="n"/>
      <c r="AU563" s="1" t="n"/>
      <c r="AV563" s="1" t="n"/>
      <c r="AW563" s="1" t="n"/>
      <c r="AX563" s="1" t="n"/>
      <c r="AY563" s="1" t="n"/>
      <c r="AZ563" s="1" t="n"/>
      <c r="BA563" s="1" t="n"/>
    </row>
    <row r="564" ht="16.5" customHeight="1" s="220">
      <c r="A564" s="1" t="n"/>
      <c r="B564" s="1" t="n"/>
      <c r="C564" s="2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Q564" s="1" t="n"/>
      <c r="AR564" s="1" t="n"/>
      <c r="AS564" s="1" t="n"/>
      <c r="AT564" s="1" t="n"/>
      <c r="AU564" s="1" t="n"/>
      <c r="AV564" s="1" t="n"/>
      <c r="AW564" s="1" t="n"/>
      <c r="AX564" s="1" t="n"/>
      <c r="AY564" s="1" t="n"/>
      <c r="AZ564" s="1" t="n"/>
      <c r="BA564" s="1" t="n"/>
    </row>
    <row r="565" ht="16.5" customHeight="1" s="220">
      <c r="A565" s="1" t="n"/>
      <c r="B565" s="1" t="n"/>
      <c r="C565" s="2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  <c r="AR565" s="1" t="n"/>
      <c r="AS565" s="1" t="n"/>
      <c r="AT565" s="1" t="n"/>
      <c r="AU565" s="1" t="n"/>
      <c r="AV565" s="1" t="n"/>
      <c r="AW565" s="1" t="n"/>
      <c r="AX565" s="1" t="n"/>
      <c r="AY565" s="1" t="n"/>
      <c r="AZ565" s="1" t="n"/>
      <c r="BA565" s="1" t="n"/>
    </row>
    <row r="566" ht="16.5" customHeight="1" s="220">
      <c r="A566" s="1" t="n"/>
      <c r="B566" s="1" t="n"/>
      <c r="C566" s="2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  <c r="AR566" s="1" t="n"/>
      <c r="AS566" s="1" t="n"/>
      <c r="AT566" s="1" t="n"/>
      <c r="AU566" s="1" t="n"/>
      <c r="AV566" s="1" t="n"/>
      <c r="AW566" s="1" t="n"/>
      <c r="AX566" s="1" t="n"/>
      <c r="AY566" s="1" t="n"/>
      <c r="AZ566" s="1" t="n"/>
      <c r="BA566" s="1" t="n"/>
    </row>
    <row r="567" ht="16.5" customHeight="1" s="220">
      <c r="A567" s="1" t="n"/>
      <c r="B567" s="1" t="n"/>
      <c r="C567" s="2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  <c r="AR567" s="1" t="n"/>
      <c r="AS567" s="1" t="n"/>
      <c r="AT567" s="1" t="n"/>
      <c r="AU567" s="1" t="n"/>
      <c r="AV567" s="1" t="n"/>
      <c r="AW567" s="1" t="n"/>
      <c r="AX567" s="1" t="n"/>
      <c r="AY567" s="1" t="n"/>
      <c r="AZ567" s="1" t="n"/>
      <c r="BA567" s="1" t="n"/>
    </row>
    <row r="568" ht="16.5" customHeight="1" s="220">
      <c r="A568" s="1" t="n"/>
      <c r="B568" s="1" t="n"/>
      <c r="C568" s="2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  <c r="AR568" s="1" t="n"/>
      <c r="AS568" s="1" t="n"/>
      <c r="AT568" s="1" t="n"/>
      <c r="AU568" s="1" t="n"/>
      <c r="AV568" s="1" t="n"/>
      <c r="AW568" s="1" t="n"/>
      <c r="AX568" s="1" t="n"/>
      <c r="AY568" s="1" t="n"/>
      <c r="AZ568" s="1" t="n"/>
      <c r="BA568" s="1" t="n"/>
    </row>
    <row r="569" ht="16.5" customHeight="1" s="220">
      <c r="A569" s="1" t="n"/>
      <c r="B569" s="1" t="n"/>
      <c r="C569" s="2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  <c r="AR569" s="1" t="n"/>
      <c r="AS569" s="1" t="n"/>
      <c r="AT569" s="1" t="n"/>
      <c r="AU569" s="1" t="n"/>
      <c r="AV569" s="1" t="n"/>
      <c r="AW569" s="1" t="n"/>
      <c r="AX569" s="1" t="n"/>
      <c r="AY569" s="1" t="n"/>
      <c r="AZ569" s="1" t="n"/>
      <c r="BA569" s="1" t="n"/>
    </row>
    <row r="570" ht="16.5" customHeight="1" s="220">
      <c r="A570" s="1" t="n"/>
      <c r="B570" s="1" t="n"/>
      <c r="C570" s="2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Q570" s="1" t="n"/>
      <c r="AR570" s="1" t="n"/>
      <c r="AS570" s="1" t="n"/>
      <c r="AT570" s="1" t="n"/>
      <c r="AU570" s="1" t="n"/>
      <c r="AV570" s="1" t="n"/>
      <c r="AW570" s="1" t="n"/>
      <c r="AX570" s="1" t="n"/>
      <c r="AY570" s="1" t="n"/>
      <c r="AZ570" s="1" t="n"/>
      <c r="BA570" s="1" t="n"/>
    </row>
    <row r="571" ht="16.5" customHeight="1" s="220">
      <c r="A571" s="1" t="n"/>
      <c r="B571" s="1" t="n"/>
      <c r="C571" s="2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  <c r="AR571" s="1" t="n"/>
      <c r="AS571" s="1" t="n"/>
      <c r="AT571" s="1" t="n"/>
      <c r="AU571" s="1" t="n"/>
      <c r="AV571" s="1" t="n"/>
      <c r="AW571" s="1" t="n"/>
      <c r="AX571" s="1" t="n"/>
      <c r="AY571" s="1" t="n"/>
      <c r="AZ571" s="1" t="n"/>
      <c r="BA571" s="1" t="n"/>
    </row>
    <row r="572" ht="16.5" customHeight="1" s="220">
      <c r="A572" s="1" t="n"/>
      <c r="B572" s="1" t="n"/>
      <c r="C572" s="2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Q572" s="1" t="n"/>
      <c r="AR572" s="1" t="n"/>
      <c r="AS572" s="1" t="n"/>
      <c r="AT572" s="1" t="n"/>
      <c r="AU572" s="1" t="n"/>
      <c r="AV572" s="1" t="n"/>
      <c r="AW572" s="1" t="n"/>
      <c r="AX572" s="1" t="n"/>
      <c r="AY572" s="1" t="n"/>
      <c r="AZ572" s="1" t="n"/>
      <c r="BA572" s="1" t="n"/>
    </row>
    <row r="573" ht="16.5" customHeight="1" s="220">
      <c r="A573" s="1" t="n"/>
      <c r="B573" s="1" t="n"/>
      <c r="C573" s="2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  <c r="AR573" s="1" t="n"/>
      <c r="AS573" s="1" t="n"/>
      <c r="AT573" s="1" t="n"/>
      <c r="AU573" s="1" t="n"/>
      <c r="AV573" s="1" t="n"/>
      <c r="AW573" s="1" t="n"/>
      <c r="AX573" s="1" t="n"/>
      <c r="AY573" s="1" t="n"/>
      <c r="AZ573" s="1" t="n"/>
      <c r="BA573" s="1" t="n"/>
    </row>
    <row r="574" ht="16.5" customHeight="1" s="220">
      <c r="A574" s="1" t="n"/>
      <c r="B574" s="1" t="n"/>
      <c r="C574" s="2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  <c r="AR574" s="1" t="n"/>
      <c r="AS574" s="1" t="n"/>
      <c r="AT574" s="1" t="n"/>
      <c r="AU574" s="1" t="n"/>
      <c r="AV574" s="1" t="n"/>
      <c r="AW574" s="1" t="n"/>
      <c r="AX574" s="1" t="n"/>
      <c r="AY574" s="1" t="n"/>
      <c r="AZ574" s="1" t="n"/>
      <c r="BA574" s="1" t="n"/>
    </row>
    <row r="575" ht="16.5" customHeight="1" s="220">
      <c r="A575" s="1" t="n"/>
      <c r="B575" s="1" t="n"/>
      <c r="C575" s="2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  <c r="AR575" s="1" t="n"/>
      <c r="AS575" s="1" t="n"/>
      <c r="AT575" s="1" t="n"/>
      <c r="AU575" s="1" t="n"/>
      <c r="AV575" s="1" t="n"/>
      <c r="AW575" s="1" t="n"/>
      <c r="AX575" s="1" t="n"/>
      <c r="AY575" s="1" t="n"/>
      <c r="AZ575" s="1" t="n"/>
      <c r="BA575" s="1" t="n"/>
    </row>
    <row r="576" ht="16.5" customHeight="1" s="220">
      <c r="A576" s="1" t="n"/>
      <c r="B576" s="1" t="n"/>
      <c r="C576" s="2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  <c r="AR576" s="1" t="n"/>
      <c r="AS576" s="1" t="n"/>
      <c r="AT576" s="1" t="n"/>
      <c r="AU576" s="1" t="n"/>
      <c r="AV576" s="1" t="n"/>
      <c r="AW576" s="1" t="n"/>
      <c r="AX576" s="1" t="n"/>
      <c r="AY576" s="1" t="n"/>
      <c r="AZ576" s="1" t="n"/>
      <c r="BA576" s="1" t="n"/>
    </row>
    <row r="577" ht="16.5" customHeight="1" s="220">
      <c r="A577" s="1" t="n"/>
      <c r="B577" s="1" t="n"/>
      <c r="C577" s="2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  <c r="AR577" s="1" t="n"/>
      <c r="AS577" s="1" t="n"/>
      <c r="AT577" s="1" t="n"/>
      <c r="AU577" s="1" t="n"/>
      <c r="AV577" s="1" t="n"/>
      <c r="AW577" s="1" t="n"/>
      <c r="AX577" s="1" t="n"/>
      <c r="AY577" s="1" t="n"/>
      <c r="AZ577" s="1" t="n"/>
      <c r="BA577" s="1" t="n"/>
    </row>
    <row r="578" ht="16.5" customHeight="1" s="220">
      <c r="A578" s="1" t="n"/>
      <c r="B578" s="1" t="n"/>
      <c r="C578" s="2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  <c r="AR578" s="1" t="n"/>
      <c r="AS578" s="1" t="n"/>
      <c r="AT578" s="1" t="n"/>
      <c r="AU578" s="1" t="n"/>
      <c r="AV578" s="1" t="n"/>
      <c r="AW578" s="1" t="n"/>
      <c r="AX578" s="1" t="n"/>
      <c r="AY578" s="1" t="n"/>
      <c r="AZ578" s="1" t="n"/>
      <c r="BA578" s="1" t="n"/>
    </row>
    <row r="579" ht="16.5" customHeight="1" s="220">
      <c r="A579" s="1" t="n"/>
      <c r="B579" s="1" t="n"/>
      <c r="C579" s="2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  <c r="AR579" s="1" t="n"/>
      <c r="AS579" s="1" t="n"/>
      <c r="AT579" s="1" t="n"/>
      <c r="AU579" s="1" t="n"/>
      <c r="AV579" s="1" t="n"/>
      <c r="AW579" s="1" t="n"/>
      <c r="AX579" s="1" t="n"/>
      <c r="AY579" s="1" t="n"/>
      <c r="AZ579" s="1" t="n"/>
      <c r="BA579" s="1" t="n"/>
    </row>
    <row r="580" ht="16.5" customHeight="1" s="220">
      <c r="A580" s="1" t="n"/>
      <c r="B580" s="1" t="n"/>
      <c r="C580" s="2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  <c r="AR580" s="1" t="n"/>
      <c r="AS580" s="1" t="n"/>
      <c r="AT580" s="1" t="n"/>
      <c r="AU580" s="1" t="n"/>
      <c r="AV580" s="1" t="n"/>
      <c r="AW580" s="1" t="n"/>
      <c r="AX580" s="1" t="n"/>
      <c r="AY580" s="1" t="n"/>
      <c r="AZ580" s="1" t="n"/>
      <c r="BA580" s="1" t="n"/>
    </row>
    <row r="581" ht="16.5" customHeight="1" s="220">
      <c r="A581" s="1" t="n"/>
      <c r="B581" s="1" t="n"/>
      <c r="C581" s="2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  <c r="AR581" s="1" t="n"/>
      <c r="AS581" s="1" t="n"/>
      <c r="AT581" s="1" t="n"/>
      <c r="AU581" s="1" t="n"/>
      <c r="AV581" s="1" t="n"/>
      <c r="AW581" s="1" t="n"/>
      <c r="AX581" s="1" t="n"/>
      <c r="AY581" s="1" t="n"/>
      <c r="AZ581" s="1" t="n"/>
      <c r="BA581" s="1" t="n"/>
    </row>
    <row r="582" ht="16.5" customHeight="1" s="220">
      <c r="A582" s="1" t="n"/>
      <c r="B582" s="1" t="n"/>
      <c r="C582" s="2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Q582" s="1" t="n"/>
      <c r="AR582" s="1" t="n"/>
      <c r="AS582" s="1" t="n"/>
      <c r="AT582" s="1" t="n"/>
      <c r="AU582" s="1" t="n"/>
      <c r="AV582" s="1" t="n"/>
      <c r="AW582" s="1" t="n"/>
      <c r="AX582" s="1" t="n"/>
      <c r="AY582" s="1" t="n"/>
      <c r="AZ582" s="1" t="n"/>
      <c r="BA582" s="1" t="n"/>
    </row>
    <row r="583" ht="16.5" customHeight="1" s="220">
      <c r="A583" s="1" t="n"/>
      <c r="B583" s="1" t="n"/>
      <c r="C583" s="2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  <c r="AR583" s="1" t="n"/>
      <c r="AS583" s="1" t="n"/>
      <c r="AT583" s="1" t="n"/>
      <c r="AU583" s="1" t="n"/>
      <c r="AV583" s="1" t="n"/>
      <c r="AW583" s="1" t="n"/>
      <c r="AX583" s="1" t="n"/>
      <c r="AY583" s="1" t="n"/>
      <c r="AZ583" s="1" t="n"/>
      <c r="BA583" s="1" t="n"/>
    </row>
    <row r="584" ht="16.5" customHeight="1" s="220">
      <c r="A584" s="1" t="n"/>
      <c r="B584" s="1" t="n"/>
      <c r="C584" s="2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  <c r="AR584" s="1" t="n"/>
      <c r="AS584" s="1" t="n"/>
      <c r="AT584" s="1" t="n"/>
      <c r="AU584" s="1" t="n"/>
      <c r="AV584" s="1" t="n"/>
      <c r="AW584" s="1" t="n"/>
      <c r="AX584" s="1" t="n"/>
      <c r="AY584" s="1" t="n"/>
      <c r="AZ584" s="1" t="n"/>
      <c r="BA584" s="1" t="n"/>
    </row>
    <row r="585" ht="16.5" customHeight="1" s="220">
      <c r="A585" s="1" t="n"/>
      <c r="B585" s="1" t="n"/>
      <c r="C585" s="2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  <c r="AR585" s="1" t="n"/>
      <c r="AS585" s="1" t="n"/>
      <c r="AT585" s="1" t="n"/>
      <c r="AU585" s="1" t="n"/>
      <c r="AV585" s="1" t="n"/>
      <c r="AW585" s="1" t="n"/>
      <c r="AX585" s="1" t="n"/>
      <c r="AY585" s="1" t="n"/>
      <c r="AZ585" s="1" t="n"/>
      <c r="BA585" s="1" t="n"/>
    </row>
    <row r="586" ht="16.5" customHeight="1" s="220">
      <c r="A586" s="1" t="n"/>
      <c r="B586" s="1" t="n"/>
      <c r="C586" s="2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  <c r="AR586" s="1" t="n"/>
      <c r="AS586" s="1" t="n"/>
      <c r="AT586" s="1" t="n"/>
      <c r="AU586" s="1" t="n"/>
      <c r="AV586" s="1" t="n"/>
      <c r="AW586" s="1" t="n"/>
      <c r="AX586" s="1" t="n"/>
      <c r="AY586" s="1" t="n"/>
      <c r="AZ586" s="1" t="n"/>
      <c r="BA586" s="1" t="n"/>
    </row>
    <row r="587" ht="16.5" customHeight="1" s="220">
      <c r="A587" s="1" t="n"/>
      <c r="B587" s="1" t="n"/>
      <c r="C587" s="2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  <c r="AR587" s="1" t="n"/>
      <c r="AS587" s="1" t="n"/>
      <c r="AT587" s="1" t="n"/>
      <c r="AU587" s="1" t="n"/>
      <c r="AV587" s="1" t="n"/>
      <c r="AW587" s="1" t="n"/>
      <c r="AX587" s="1" t="n"/>
      <c r="AY587" s="1" t="n"/>
      <c r="AZ587" s="1" t="n"/>
      <c r="BA587" s="1" t="n"/>
    </row>
    <row r="588" ht="16.5" customHeight="1" s="220">
      <c r="A588" s="1" t="n"/>
      <c r="B588" s="1" t="n"/>
      <c r="C588" s="2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Q588" s="1" t="n"/>
      <c r="AR588" s="1" t="n"/>
      <c r="AS588" s="1" t="n"/>
      <c r="AT588" s="1" t="n"/>
      <c r="AU588" s="1" t="n"/>
      <c r="AV588" s="1" t="n"/>
      <c r="AW588" s="1" t="n"/>
      <c r="AX588" s="1" t="n"/>
      <c r="AY588" s="1" t="n"/>
      <c r="AZ588" s="1" t="n"/>
      <c r="BA588" s="1" t="n"/>
    </row>
    <row r="589" ht="16.5" customHeight="1" s="220">
      <c r="A589" s="1" t="n"/>
      <c r="B589" s="1" t="n"/>
      <c r="C589" s="2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  <c r="AR589" s="1" t="n"/>
      <c r="AS589" s="1" t="n"/>
      <c r="AT589" s="1" t="n"/>
      <c r="AU589" s="1" t="n"/>
      <c r="AV589" s="1" t="n"/>
      <c r="AW589" s="1" t="n"/>
      <c r="AX589" s="1" t="n"/>
      <c r="AY589" s="1" t="n"/>
      <c r="AZ589" s="1" t="n"/>
      <c r="BA589" s="1" t="n"/>
    </row>
    <row r="590" ht="16.5" customHeight="1" s="220">
      <c r="A590" s="1" t="n"/>
      <c r="B590" s="1" t="n"/>
      <c r="C590" s="2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  <c r="AR590" s="1" t="n"/>
      <c r="AS590" s="1" t="n"/>
      <c r="AT590" s="1" t="n"/>
      <c r="AU590" s="1" t="n"/>
      <c r="AV590" s="1" t="n"/>
      <c r="AW590" s="1" t="n"/>
      <c r="AX590" s="1" t="n"/>
      <c r="AY590" s="1" t="n"/>
      <c r="AZ590" s="1" t="n"/>
      <c r="BA590" s="1" t="n"/>
    </row>
    <row r="591" ht="16.5" customHeight="1" s="220">
      <c r="A591" s="1" t="n"/>
      <c r="B591" s="1" t="n"/>
      <c r="C591" s="2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  <c r="AR591" s="1" t="n"/>
      <c r="AS591" s="1" t="n"/>
      <c r="AT591" s="1" t="n"/>
      <c r="AU591" s="1" t="n"/>
      <c r="AV591" s="1" t="n"/>
      <c r="AW591" s="1" t="n"/>
      <c r="AX591" s="1" t="n"/>
      <c r="AY591" s="1" t="n"/>
      <c r="AZ591" s="1" t="n"/>
      <c r="BA591" s="1" t="n"/>
    </row>
    <row r="592" ht="16.5" customHeight="1" s="220">
      <c r="A592" s="1" t="n"/>
      <c r="B592" s="1" t="n"/>
      <c r="C592" s="2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Q592" s="1" t="n"/>
      <c r="AR592" s="1" t="n"/>
      <c r="AS592" s="1" t="n"/>
      <c r="AT592" s="1" t="n"/>
      <c r="AU592" s="1" t="n"/>
      <c r="AV592" s="1" t="n"/>
      <c r="AW592" s="1" t="n"/>
      <c r="AX592" s="1" t="n"/>
      <c r="AY592" s="1" t="n"/>
      <c r="AZ592" s="1" t="n"/>
      <c r="BA592" s="1" t="n"/>
    </row>
    <row r="593" ht="16.5" customHeight="1" s="220">
      <c r="A593" s="1" t="n"/>
      <c r="B593" s="1" t="n"/>
      <c r="C593" s="2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  <c r="AR593" s="1" t="n"/>
      <c r="AS593" s="1" t="n"/>
      <c r="AT593" s="1" t="n"/>
      <c r="AU593" s="1" t="n"/>
      <c r="AV593" s="1" t="n"/>
      <c r="AW593" s="1" t="n"/>
      <c r="AX593" s="1" t="n"/>
      <c r="AY593" s="1" t="n"/>
      <c r="AZ593" s="1" t="n"/>
      <c r="BA593" s="1" t="n"/>
    </row>
    <row r="594" ht="16.5" customHeight="1" s="220">
      <c r="A594" s="1" t="n"/>
      <c r="B594" s="1" t="n"/>
      <c r="C594" s="2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Q594" s="1" t="n"/>
      <c r="AR594" s="1" t="n"/>
      <c r="AS594" s="1" t="n"/>
      <c r="AT594" s="1" t="n"/>
      <c r="AU594" s="1" t="n"/>
      <c r="AV594" s="1" t="n"/>
      <c r="AW594" s="1" t="n"/>
      <c r="AX594" s="1" t="n"/>
      <c r="AY594" s="1" t="n"/>
      <c r="AZ594" s="1" t="n"/>
      <c r="BA594" s="1" t="n"/>
    </row>
    <row r="595" ht="16.5" customHeight="1" s="220">
      <c r="A595" s="1" t="n"/>
      <c r="B595" s="1" t="n"/>
      <c r="C595" s="2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  <c r="AR595" s="1" t="n"/>
      <c r="AS595" s="1" t="n"/>
      <c r="AT595" s="1" t="n"/>
      <c r="AU595" s="1" t="n"/>
      <c r="AV595" s="1" t="n"/>
      <c r="AW595" s="1" t="n"/>
      <c r="AX595" s="1" t="n"/>
      <c r="AY595" s="1" t="n"/>
      <c r="AZ595" s="1" t="n"/>
      <c r="BA595" s="1" t="n"/>
    </row>
    <row r="596" ht="16.5" customHeight="1" s="220">
      <c r="A596" s="1" t="n"/>
      <c r="B596" s="1" t="n"/>
      <c r="C596" s="2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  <c r="AR596" s="1" t="n"/>
      <c r="AS596" s="1" t="n"/>
      <c r="AT596" s="1" t="n"/>
      <c r="AU596" s="1" t="n"/>
      <c r="AV596" s="1" t="n"/>
      <c r="AW596" s="1" t="n"/>
      <c r="AX596" s="1" t="n"/>
      <c r="AY596" s="1" t="n"/>
      <c r="AZ596" s="1" t="n"/>
      <c r="BA596" s="1" t="n"/>
    </row>
    <row r="597" ht="16.5" customHeight="1" s="220">
      <c r="A597" s="1" t="n"/>
      <c r="B597" s="1" t="n"/>
      <c r="C597" s="2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  <c r="AR597" s="1" t="n"/>
      <c r="AS597" s="1" t="n"/>
      <c r="AT597" s="1" t="n"/>
      <c r="AU597" s="1" t="n"/>
      <c r="AV597" s="1" t="n"/>
      <c r="AW597" s="1" t="n"/>
      <c r="AX597" s="1" t="n"/>
      <c r="AY597" s="1" t="n"/>
      <c r="AZ597" s="1" t="n"/>
      <c r="BA597" s="1" t="n"/>
    </row>
    <row r="598" ht="16.5" customHeight="1" s="220">
      <c r="A598" s="1" t="n"/>
      <c r="B598" s="1" t="n"/>
      <c r="C598" s="2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Q598" s="1" t="n"/>
      <c r="AR598" s="1" t="n"/>
      <c r="AS598" s="1" t="n"/>
      <c r="AT598" s="1" t="n"/>
      <c r="AU598" s="1" t="n"/>
      <c r="AV598" s="1" t="n"/>
      <c r="AW598" s="1" t="n"/>
      <c r="AX598" s="1" t="n"/>
      <c r="AY598" s="1" t="n"/>
      <c r="AZ598" s="1" t="n"/>
      <c r="BA598" s="1" t="n"/>
    </row>
    <row r="599" ht="16.5" customHeight="1" s="220">
      <c r="A599" s="1" t="n"/>
      <c r="B599" s="1" t="n"/>
      <c r="C599" s="2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  <c r="AR599" s="1" t="n"/>
      <c r="AS599" s="1" t="n"/>
      <c r="AT599" s="1" t="n"/>
      <c r="AU599" s="1" t="n"/>
      <c r="AV599" s="1" t="n"/>
      <c r="AW599" s="1" t="n"/>
      <c r="AX599" s="1" t="n"/>
      <c r="AY599" s="1" t="n"/>
      <c r="AZ599" s="1" t="n"/>
      <c r="BA599" s="1" t="n"/>
    </row>
    <row r="600" ht="16.5" customHeight="1" s="220">
      <c r="A600" s="1" t="n"/>
      <c r="B600" s="1" t="n"/>
      <c r="C600" s="2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Q600" s="1" t="n"/>
      <c r="AR600" s="1" t="n"/>
      <c r="AS600" s="1" t="n"/>
      <c r="AT600" s="1" t="n"/>
      <c r="AU600" s="1" t="n"/>
      <c r="AV600" s="1" t="n"/>
      <c r="AW600" s="1" t="n"/>
      <c r="AX600" s="1" t="n"/>
      <c r="AY600" s="1" t="n"/>
      <c r="AZ600" s="1" t="n"/>
      <c r="BA600" s="1" t="n"/>
    </row>
    <row r="601" ht="16.5" customHeight="1" s="220">
      <c r="A601" s="1" t="n"/>
      <c r="B601" s="1" t="n"/>
      <c r="C601" s="2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  <c r="AR601" s="1" t="n"/>
      <c r="AS601" s="1" t="n"/>
      <c r="AT601" s="1" t="n"/>
      <c r="AU601" s="1" t="n"/>
      <c r="AV601" s="1" t="n"/>
      <c r="AW601" s="1" t="n"/>
      <c r="AX601" s="1" t="n"/>
      <c r="AY601" s="1" t="n"/>
      <c r="AZ601" s="1" t="n"/>
      <c r="BA601" s="1" t="n"/>
    </row>
    <row r="602" ht="16.5" customHeight="1" s="220">
      <c r="A602" s="1" t="n"/>
      <c r="B602" s="1" t="n"/>
      <c r="C602" s="2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Q602" s="1" t="n"/>
      <c r="AR602" s="1" t="n"/>
      <c r="AS602" s="1" t="n"/>
      <c r="AT602" s="1" t="n"/>
      <c r="AU602" s="1" t="n"/>
      <c r="AV602" s="1" t="n"/>
      <c r="AW602" s="1" t="n"/>
      <c r="AX602" s="1" t="n"/>
      <c r="AY602" s="1" t="n"/>
      <c r="AZ602" s="1" t="n"/>
      <c r="BA602" s="1" t="n"/>
    </row>
    <row r="603" ht="16.5" customHeight="1" s="220">
      <c r="A603" s="1" t="n"/>
      <c r="B603" s="1" t="n"/>
      <c r="C603" s="2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  <c r="AR603" s="1" t="n"/>
      <c r="AS603" s="1" t="n"/>
      <c r="AT603" s="1" t="n"/>
      <c r="AU603" s="1" t="n"/>
      <c r="AV603" s="1" t="n"/>
      <c r="AW603" s="1" t="n"/>
      <c r="AX603" s="1" t="n"/>
      <c r="AY603" s="1" t="n"/>
      <c r="AZ603" s="1" t="n"/>
      <c r="BA603" s="1" t="n"/>
    </row>
    <row r="604" ht="16.5" customHeight="1" s="220">
      <c r="A604" s="1" t="n"/>
      <c r="B604" s="1" t="n"/>
      <c r="C604" s="2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  <c r="AR604" s="1" t="n"/>
      <c r="AS604" s="1" t="n"/>
      <c r="AT604" s="1" t="n"/>
      <c r="AU604" s="1" t="n"/>
      <c r="AV604" s="1" t="n"/>
      <c r="AW604" s="1" t="n"/>
      <c r="AX604" s="1" t="n"/>
      <c r="AY604" s="1" t="n"/>
      <c r="AZ604" s="1" t="n"/>
      <c r="BA604" s="1" t="n"/>
    </row>
    <row r="605" ht="16.5" customHeight="1" s="220">
      <c r="A605" s="1" t="n"/>
      <c r="B605" s="1" t="n"/>
      <c r="C605" s="2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  <c r="AR605" s="1" t="n"/>
      <c r="AS605" s="1" t="n"/>
      <c r="AT605" s="1" t="n"/>
      <c r="AU605" s="1" t="n"/>
      <c r="AV605" s="1" t="n"/>
      <c r="AW605" s="1" t="n"/>
      <c r="AX605" s="1" t="n"/>
      <c r="AY605" s="1" t="n"/>
      <c r="AZ605" s="1" t="n"/>
      <c r="BA605" s="1" t="n"/>
    </row>
    <row r="606" ht="16.5" customHeight="1" s="220">
      <c r="A606" s="1" t="n"/>
      <c r="B606" s="1" t="n"/>
      <c r="C606" s="2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  <c r="AR606" s="1" t="n"/>
      <c r="AS606" s="1" t="n"/>
      <c r="AT606" s="1" t="n"/>
      <c r="AU606" s="1" t="n"/>
      <c r="AV606" s="1" t="n"/>
      <c r="AW606" s="1" t="n"/>
      <c r="AX606" s="1" t="n"/>
      <c r="AY606" s="1" t="n"/>
      <c r="AZ606" s="1" t="n"/>
      <c r="BA606" s="1" t="n"/>
    </row>
    <row r="607" ht="16.5" customHeight="1" s="220">
      <c r="A607" s="1" t="n"/>
      <c r="B607" s="1" t="n"/>
      <c r="C607" s="2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  <c r="AR607" s="1" t="n"/>
      <c r="AS607" s="1" t="n"/>
      <c r="AT607" s="1" t="n"/>
      <c r="AU607" s="1" t="n"/>
      <c r="AV607" s="1" t="n"/>
      <c r="AW607" s="1" t="n"/>
      <c r="AX607" s="1" t="n"/>
      <c r="AY607" s="1" t="n"/>
      <c r="AZ607" s="1" t="n"/>
      <c r="BA607" s="1" t="n"/>
    </row>
    <row r="608" ht="16.5" customHeight="1" s="220">
      <c r="A608" s="1" t="n"/>
      <c r="B608" s="1" t="n"/>
      <c r="C608" s="2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  <c r="AR608" s="1" t="n"/>
      <c r="AS608" s="1" t="n"/>
      <c r="AT608" s="1" t="n"/>
      <c r="AU608" s="1" t="n"/>
      <c r="AV608" s="1" t="n"/>
      <c r="AW608" s="1" t="n"/>
      <c r="AX608" s="1" t="n"/>
      <c r="AY608" s="1" t="n"/>
      <c r="AZ608" s="1" t="n"/>
      <c r="BA608" s="1" t="n"/>
    </row>
    <row r="609" ht="16.5" customHeight="1" s="220">
      <c r="A609" s="1" t="n"/>
      <c r="B609" s="1" t="n"/>
      <c r="C609" s="2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  <c r="AR609" s="1" t="n"/>
      <c r="AS609" s="1" t="n"/>
      <c r="AT609" s="1" t="n"/>
      <c r="AU609" s="1" t="n"/>
      <c r="AV609" s="1" t="n"/>
      <c r="AW609" s="1" t="n"/>
      <c r="AX609" s="1" t="n"/>
      <c r="AY609" s="1" t="n"/>
      <c r="AZ609" s="1" t="n"/>
      <c r="BA609" s="1" t="n"/>
    </row>
    <row r="610" ht="16.5" customHeight="1" s="220">
      <c r="A610" s="1" t="n"/>
      <c r="B610" s="1" t="n"/>
      <c r="C610" s="2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  <c r="AR610" s="1" t="n"/>
      <c r="AS610" s="1" t="n"/>
      <c r="AT610" s="1" t="n"/>
      <c r="AU610" s="1" t="n"/>
      <c r="AV610" s="1" t="n"/>
      <c r="AW610" s="1" t="n"/>
      <c r="AX610" s="1" t="n"/>
      <c r="AY610" s="1" t="n"/>
      <c r="AZ610" s="1" t="n"/>
      <c r="BA610" s="1" t="n"/>
    </row>
    <row r="611" ht="16.5" customHeight="1" s="220">
      <c r="A611" s="1" t="n"/>
      <c r="B611" s="1" t="n"/>
      <c r="C611" s="2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  <c r="AR611" s="1" t="n"/>
      <c r="AS611" s="1" t="n"/>
      <c r="AT611" s="1" t="n"/>
      <c r="AU611" s="1" t="n"/>
      <c r="AV611" s="1" t="n"/>
      <c r="AW611" s="1" t="n"/>
      <c r="AX611" s="1" t="n"/>
      <c r="AY611" s="1" t="n"/>
      <c r="AZ611" s="1" t="n"/>
      <c r="BA611" s="1" t="n"/>
    </row>
    <row r="612" ht="16.5" customHeight="1" s="220">
      <c r="A612" s="1" t="n"/>
      <c r="B612" s="1" t="n"/>
      <c r="C612" s="2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  <c r="AR612" s="1" t="n"/>
      <c r="AS612" s="1" t="n"/>
      <c r="AT612" s="1" t="n"/>
      <c r="AU612" s="1" t="n"/>
      <c r="AV612" s="1" t="n"/>
      <c r="AW612" s="1" t="n"/>
      <c r="AX612" s="1" t="n"/>
      <c r="AY612" s="1" t="n"/>
      <c r="AZ612" s="1" t="n"/>
      <c r="BA612" s="1" t="n"/>
    </row>
    <row r="613" ht="16.5" customHeight="1" s="220">
      <c r="A613" s="1" t="n"/>
      <c r="B613" s="1" t="n"/>
      <c r="C613" s="2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  <c r="AR613" s="1" t="n"/>
      <c r="AS613" s="1" t="n"/>
      <c r="AT613" s="1" t="n"/>
      <c r="AU613" s="1" t="n"/>
      <c r="AV613" s="1" t="n"/>
      <c r="AW613" s="1" t="n"/>
      <c r="AX613" s="1" t="n"/>
      <c r="AY613" s="1" t="n"/>
      <c r="AZ613" s="1" t="n"/>
      <c r="BA613" s="1" t="n"/>
    </row>
    <row r="614" ht="16.5" customHeight="1" s="220">
      <c r="A614" s="1" t="n"/>
      <c r="B614" s="1" t="n"/>
      <c r="C614" s="2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  <c r="AR614" s="1" t="n"/>
      <c r="AS614" s="1" t="n"/>
      <c r="AT614" s="1" t="n"/>
      <c r="AU614" s="1" t="n"/>
      <c r="AV614" s="1" t="n"/>
      <c r="AW614" s="1" t="n"/>
      <c r="AX614" s="1" t="n"/>
      <c r="AY614" s="1" t="n"/>
      <c r="AZ614" s="1" t="n"/>
      <c r="BA614" s="1" t="n"/>
    </row>
    <row r="615" ht="16.5" customHeight="1" s="220">
      <c r="A615" s="1" t="n"/>
      <c r="B615" s="1" t="n"/>
      <c r="C615" s="2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  <c r="AR615" s="1" t="n"/>
      <c r="AS615" s="1" t="n"/>
      <c r="AT615" s="1" t="n"/>
      <c r="AU615" s="1" t="n"/>
      <c r="AV615" s="1" t="n"/>
      <c r="AW615" s="1" t="n"/>
      <c r="AX615" s="1" t="n"/>
      <c r="AY615" s="1" t="n"/>
      <c r="AZ615" s="1" t="n"/>
      <c r="BA615" s="1" t="n"/>
    </row>
    <row r="616" ht="16.5" customHeight="1" s="220">
      <c r="A616" s="1" t="n"/>
      <c r="B616" s="1" t="n"/>
      <c r="C616" s="2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  <c r="AR616" s="1" t="n"/>
      <c r="AS616" s="1" t="n"/>
      <c r="AT616" s="1" t="n"/>
      <c r="AU616" s="1" t="n"/>
      <c r="AV616" s="1" t="n"/>
      <c r="AW616" s="1" t="n"/>
      <c r="AX616" s="1" t="n"/>
      <c r="AY616" s="1" t="n"/>
      <c r="AZ616" s="1" t="n"/>
      <c r="BA616" s="1" t="n"/>
    </row>
    <row r="617" ht="16.5" customHeight="1" s="220">
      <c r="A617" s="1" t="n"/>
      <c r="B617" s="1" t="n"/>
      <c r="C617" s="2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  <c r="AR617" s="1" t="n"/>
      <c r="AS617" s="1" t="n"/>
      <c r="AT617" s="1" t="n"/>
      <c r="AU617" s="1" t="n"/>
      <c r="AV617" s="1" t="n"/>
      <c r="AW617" s="1" t="n"/>
      <c r="AX617" s="1" t="n"/>
      <c r="AY617" s="1" t="n"/>
      <c r="AZ617" s="1" t="n"/>
      <c r="BA617" s="1" t="n"/>
    </row>
    <row r="618" ht="16.5" customHeight="1" s="220">
      <c r="A618" s="1" t="n"/>
      <c r="B618" s="1" t="n"/>
      <c r="C618" s="2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  <c r="AR618" s="1" t="n"/>
      <c r="AS618" s="1" t="n"/>
      <c r="AT618" s="1" t="n"/>
      <c r="AU618" s="1" t="n"/>
      <c r="AV618" s="1" t="n"/>
      <c r="AW618" s="1" t="n"/>
      <c r="AX618" s="1" t="n"/>
      <c r="AY618" s="1" t="n"/>
      <c r="AZ618" s="1" t="n"/>
      <c r="BA618" s="1" t="n"/>
    </row>
    <row r="619" ht="16.5" customHeight="1" s="220">
      <c r="A619" s="1" t="n"/>
      <c r="B619" s="1" t="n"/>
      <c r="C619" s="2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  <c r="AR619" s="1" t="n"/>
      <c r="AS619" s="1" t="n"/>
      <c r="AT619" s="1" t="n"/>
      <c r="AU619" s="1" t="n"/>
      <c r="AV619" s="1" t="n"/>
      <c r="AW619" s="1" t="n"/>
      <c r="AX619" s="1" t="n"/>
      <c r="AY619" s="1" t="n"/>
      <c r="AZ619" s="1" t="n"/>
      <c r="BA619" s="1" t="n"/>
    </row>
    <row r="620" ht="16.5" customHeight="1" s="220">
      <c r="A620" s="1" t="n"/>
      <c r="B620" s="1" t="n"/>
      <c r="C620" s="2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Q620" s="1" t="n"/>
      <c r="AR620" s="1" t="n"/>
      <c r="AS620" s="1" t="n"/>
      <c r="AT620" s="1" t="n"/>
      <c r="AU620" s="1" t="n"/>
      <c r="AV620" s="1" t="n"/>
      <c r="AW620" s="1" t="n"/>
      <c r="AX620" s="1" t="n"/>
      <c r="AY620" s="1" t="n"/>
      <c r="AZ620" s="1" t="n"/>
      <c r="BA620" s="1" t="n"/>
    </row>
    <row r="621" ht="16.5" customHeight="1" s="220">
      <c r="A621" s="1" t="n"/>
      <c r="B621" s="1" t="n"/>
      <c r="C621" s="2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  <c r="AR621" s="1" t="n"/>
      <c r="AS621" s="1" t="n"/>
      <c r="AT621" s="1" t="n"/>
      <c r="AU621" s="1" t="n"/>
      <c r="AV621" s="1" t="n"/>
      <c r="AW621" s="1" t="n"/>
      <c r="AX621" s="1" t="n"/>
      <c r="AY621" s="1" t="n"/>
      <c r="AZ621" s="1" t="n"/>
      <c r="BA621" s="1" t="n"/>
    </row>
    <row r="622" ht="16.5" customHeight="1" s="220">
      <c r="A622" s="1" t="n"/>
      <c r="B622" s="1" t="n"/>
      <c r="C622" s="2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  <c r="AR622" s="1" t="n"/>
      <c r="AS622" s="1" t="n"/>
      <c r="AT622" s="1" t="n"/>
      <c r="AU622" s="1" t="n"/>
      <c r="AV622" s="1" t="n"/>
      <c r="AW622" s="1" t="n"/>
      <c r="AX622" s="1" t="n"/>
      <c r="AY622" s="1" t="n"/>
      <c r="AZ622" s="1" t="n"/>
      <c r="BA622" s="1" t="n"/>
    </row>
    <row r="623" ht="16.5" customHeight="1" s="220">
      <c r="A623" s="1" t="n"/>
      <c r="B623" s="1" t="n"/>
      <c r="C623" s="2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  <c r="AR623" s="1" t="n"/>
      <c r="AS623" s="1" t="n"/>
      <c r="AT623" s="1" t="n"/>
      <c r="AU623" s="1" t="n"/>
      <c r="AV623" s="1" t="n"/>
      <c r="AW623" s="1" t="n"/>
      <c r="AX623" s="1" t="n"/>
      <c r="AY623" s="1" t="n"/>
      <c r="AZ623" s="1" t="n"/>
      <c r="BA623" s="1" t="n"/>
    </row>
    <row r="624" ht="16.5" customHeight="1" s="220">
      <c r="A624" s="1" t="n"/>
      <c r="B624" s="1" t="n"/>
      <c r="C624" s="2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  <c r="AR624" s="1" t="n"/>
      <c r="AS624" s="1" t="n"/>
      <c r="AT624" s="1" t="n"/>
      <c r="AU624" s="1" t="n"/>
      <c r="AV624" s="1" t="n"/>
      <c r="AW624" s="1" t="n"/>
      <c r="AX624" s="1" t="n"/>
      <c r="AY624" s="1" t="n"/>
      <c r="AZ624" s="1" t="n"/>
      <c r="BA624" s="1" t="n"/>
    </row>
    <row r="625" ht="16.5" customHeight="1" s="220">
      <c r="A625" s="1" t="n"/>
      <c r="B625" s="1" t="n"/>
      <c r="C625" s="2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  <c r="AR625" s="1" t="n"/>
      <c r="AS625" s="1" t="n"/>
      <c r="AT625" s="1" t="n"/>
      <c r="AU625" s="1" t="n"/>
      <c r="AV625" s="1" t="n"/>
      <c r="AW625" s="1" t="n"/>
      <c r="AX625" s="1" t="n"/>
      <c r="AY625" s="1" t="n"/>
      <c r="AZ625" s="1" t="n"/>
      <c r="BA625" s="1" t="n"/>
    </row>
    <row r="626" ht="16.5" customHeight="1" s="220">
      <c r="A626" s="1" t="n"/>
      <c r="B626" s="1" t="n"/>
      <c r="C626" s="2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  <c r="AR626" s="1" t="n"/>
      <c r="AS626" s="1" t="n"/>
      <c r="AT626" s="1" t="n"/>
      <c r="AU626" s="1" t="n"/>
      <c r="AV626" s="1" t="n"/>
      <c r="AW626" s="1" t="n"/>
      <c r="AX626" s="1" t="n"/>
      <c r="AY626" s="1" t="n"/>
      <c r="AZ626" s="1" t="n"/>
      <c r="BA626" s="1" t="n"/>
    </row>
    <row r="627" ht="16.5" customHeight="1" s="220">
      <c r="A627" s="1" t="n"/>
      <c r="B627" s="1" t="n"/>
      <c r="C627" s="2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  <c r="AR627" s="1" t="n"/>
      <c r="AS627" s="1" t="n"/>
      <c r="AT627" s="1" t="n"/>
      <c r="AU627" s="1" t="n"/>
      <c r="AV627" s="1" t="n"/>
      <c r="AW627" s="1" t="n"/>
      <c r="AX627" s="1" t="n"/>
      <c r="AY627" s="1" t="n"/>
      <c r="AZ627" s="1" t="n"/>
      <c r="BA627" s="1" t="n"/>
    </row>
    <row r="628" ht="16.5" customHeight="1" s="220">
      <c r="A628" s="1" t="n"/>
      <c r="B628" s="1" t="n"/>
      <c r="C628" s="2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  <c r="AR628" s="1" t="n"/>
      <c r="AS628" s="1" t="n"/>
      <c r="AT628" s="1" t="n"/>
      <c r="AU628" s="1" t="n"/>
      <c r="AV628" s="1" t="n"/>
      <c r="AW628" s="1" t="n"/>
      <c r="AX628" s="1" t="n"/>
      <c r="AY628" s="1" t="n"/>
      <c r="AZ628" s="1" t="n"/>
      <c r="BA628" s="1" t="n"/>
    </row>
    <row r="629" ht="16.5" customHeight="1" s="220">
      <c r="A629" s="1" t="n"/>
      <c r="B629" s="1" t="n"/>
      <c r="C629" s="2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  <c r="AR629" s="1" t="n"/>
      <c r="AS629" s="1" t="n"/>
      <c r="AT629" s="1" t="n"/>
      <c r="AU629" s="1" t="n"/>
      <c r="AV629" s="1" t="n"/>
      <c r="AW629" s="1" t="n"/>
      <c r="AX629" s="1" t="n"/>
      <c r="AY629" s="1" t="n"/>
      <c r="AZ629" s="1" t="n"/>
      <c r="BA629" s="1" t="n"/>
    </row>
    <row r="630" ht="16.5" customHeight="1" s="220">
      <c r="A630" s="1" t="n"/>
      <c r="B630" s="1" t="n"/>
      <c r="C630" s="2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  <c r="AR630" s="1" t="n"/>
      <c r="AS630" s="1" t="n"/>
      <c r="AT630" s="1" t="n"/>
      <c r="AU630" s="1" t="n"/>
      <c r="AV630" s="1" t="n"/>
      <c r="AW630" s="1" t="n"/>
      <c r="AX630" s="1" t="n"/>
      <c r="AY630" s="1" t="n"/>
      <c r="AZ630" s="1" t="n"/>
      <c r="BA630" s="1" t="n"/>
    </row>
    <row r="631" ht="16.5" customHeight="1" s="220">
      <c r="A631" s="1" t="n"/>
      <c r="B631" s="1" t="n"/>
      <c r="C631" s="2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  <c r="AR631" s="1" t="n"/>
      <c r="AS631" s="1" t="n"/>
      <c r="AT631" s="1" t="n"/>
      <c r="AU631" s="1" t="n"/>
      <c r="AV631" s="1" t="n"/>
      <c r="AW631" s="1" t="n"/>
      <c r="AX631" s="1" t="n"/>
      <c r="AY631" s="1" t="n"/>
      <c r="AZ631" s="1" t="n"/>
      <c r="BA631" s="1" t="n"/>
    </row>
    <row r="632" ht="16.5" customHeight="1" s="220">
      <c r="A632" s="1" t="n"/>
      <c r="B632" s="1" t="n"/>
      <c r="C632" s="2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  <c r="AR632" s="1" t="n"/>
      <c r="AS632" s="1" t="n"/>
      <c r="AT632" s="1" t="n"/>
      <c r="AU632" s="1" t="n"/>
      <c r="AV632" s="1" t="n"/>
      <c r="AW632" s="1" t="n"/>
      <c r="AX632" s="1" t="n"/>
      <c r="AY632" s="1" t="n"/>
      <c r="AZ632" s="1" t="n"/>
      <c r="BA632" s="1" t="n"/>
    </row>
    <row r="633" ht="16.5" customHeight="1" s="220">
      <c r="A633" s="1" t="n"/>
      <c r="B633" s="1" t="n"/>
      <c r="C633" s="2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  <c r="AR633" s="1" t="n"/>
      <c r="AS633" s="1" t="n"/>
      <c r="AT633" s="1" t="n"/>
      <c r="AU633" s="1" t="n"/>
      <c r="AV633" s="1" t="n"/>
      <c r="AW633" s="1" t="n"/>
      <c r="AX633" s="1" t="n"/>
      <c r="AY633" s="1" t="n"/>
      <c r="AZ633" s="1" t="n"/>
      <c r="BA633" s="1" t="n"/>
    </row>
    <row r="634" ht="16.5" customHeight="1" s="220">
      <c r="A634" s="1" t="n"/>
      <c r="B634" s="1" t="n"/>
      <c r="C634" s="2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Q634" s="1" t="n"/>
      <c r="AR634" s="1" t="n"/>
      <c r="AS634" s="1" t="n"/>
      <c r="AT634" s="1" t="n"/>
      <c r="AU634" s="1" t="n"/>
      <c r="AV634" s="1" t="n"/>
      <c r="AW634" s="1" t="n"/>
      <c r="AX634" s="1" t="n"/>
      <c r="AY634" s="1" t="n"/>
      <c r="AZ634" s="1" t="n"/>
      <c r="BA634" s="1" t="n"/>
    </row>
    <row r="635" ht="16.5" customHeight="1" s="220">
      <c r="A635" s="1" t="n"/>
      <c r="B635" s="1" t="n"/>
      <c r="C635" s="2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  <c r="AR635" s="1" t="n"/>
      <c r="AS635" s="1" t="n"/>
      <c r="AT635" s="1" t="n"/>
      <c r="AU635" s="1" t="n"/>
      <c r="AV635" s="1" t="n"/>
      <c r="AW635" s="1" t="n"/>
      <c r="AX635" s="1" t="n"/>
      <c r="AY635" s="1" t="n"/>
      <c r="AZ635" s="1" t="n"/>
      <c r="BA635" s="1" t="n"/>
    </row>
    <row r="636" ht="16.5" customHeight="1" s="220">
      <c r="A636" s="1" t="n"/>
      <c r="B636" s="1" t="n"/>
      <c r="C636" s="2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Q636" s="1" t="n"/>
      <c r="AR636" s="1" t="n"/>
      <c r="AS636" s="1" t="n"/>
      <c r="AT636" s="1" t="n"/>
      <c r="AU636" s="1" t="n"/>
      <c r="AV636" s="1" t="n"/>
      <c r="AW636" s="1" t="n"/>
      <c r="AX636" s="1" t="n"/>
      <c r="AY636" s="1" t="n"/>
      <c r="AZ636" s="1" t="n"/>
      <c r="BA636" s="1" t="n"/>
    </row>
    <row r="637" ht="16.5" customHeight="1" s="220">
      <c r="A637" s="1" t="n"/>
      <c r="B637" s="1" t="n"/>
      <c r="C637" s="2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  <c r="AR637" s="1" t="n"/>
      <c r="AS637" s="1" t="n"/>
      <c r="AT637" s="1" t="n"/>
      <c r="AU637" s="1" t="n"/>
      <c r="AV637" s="1" t="n"/>
      <c r="AW637" s="1" t="n"/>
      <c r="AX637" s="1" t="n"/>
      <c r="AY637" s="1" t="n"/>
      <c r="AZ637" s="1" t="n"/>
      <c r="BA637" s="1" t="n"/>
    </row>
    <row r="638" ht="16.5" customHeight="1" s="220">
      <c r="A638" s="1" t="n"/>
      <c r="B638" s="1" t="n"/>
      <c r="C638" s="2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  <c r="AR638" s="1" t="n"/>
      <c r="AS638" s="1" t="n"/>
      <c r="AT638" s="1" t="n"/>
      <c r="AU638" s="1" t="n"/>
      <c r="AV638" s="1" t="n"/>
      <c r="AW638" s="1" t="n"/>
      <c r="AX638" s="1" t="n"/>
      <c r="AY638" s="1" t="n"/>
      <c r="AZ638" s="1" t="n"/>
      <c r="BA638" s="1" t="n"/>
    </row>
    <row r="639" ht="16.5" customHeight="1" s="220">
      <c r="A639" s="1" t="n"/>
      <c r="B639" s="1" t="n"/>
      <c r="C639" s="2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  <c r="AR639" s="1" t="n"/>
      <c r="AS639" s="1" t="n"/>
      <c r="AT639" s="1" t="n"/>
      <c r="AU639" s="1" t="n"/>
      <c r="AV639" s="1" t="n"/>
      <c r="AW639" s="1" t="n"/>
      <c r="AX639" s="1" t="n"/>
      <c r="AY639" s="1" t="n"/>
      <c r="AZ639" s="1" t="n"/>
      <c r="BA639" s="1" t="n"/>
    </row>
    <row r="640" ht="16.5" customHeight="1" s="220">
      <c r="A640" s="1" t="n"/>
      <c r="B640" s="1" t="n"/>
      <c r="C640" s="2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  <c r="AR640" s="1" t="n"/>
      <c r="AS640" s="1" t="n"/>
      <c r="AT640" s="1" t="n"/>
      <c r="AU640" s="1" t="n"/>
      <c r="AV640" s="1" t="n"/>
      <c r="AW640" s="1" t="n"/>
      <c r="AX640" s="1" t="n"/>
      <c r="AY640" s="1" t="n"/>
      <c r="AZ640" s="1" t="n"/>
      <c r="BA640" s="1" t="n"/>
    </row>
    <row r="641" ht="16.5" customHeight="1" s="220">
      <c r="A641" s="1" t="n"/>
      <c r="B641" s="1" t="n"/>
      <c r="C641" s="2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  <c r="AR641" s="1" t="n"/>
      <c r="AS641" s="1" t="n"/>
      <c r="AT641" s="1" t="n"/>
      <c r="AU641" s="1" t="n"/>
      <c r="AV641" s="1" t="n"/>
      <c r="AW641" s="1" t="n"/>
      <c r="AX641" s="1" t="n"/>
      <c r="AY641" s="1" t="n"/>
      <c r="AZ641" s="1" t="n"/>
      <c r="BA641" s="1" t="n"/>
    </row>
    <row r="642" ht="16.5" customHeight="1" s="220">
      <c r="A642" s="1" t="n"/>
      <c r="B642" s="1" t="n"/>
      <c r="C642" s="2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  <c r="AR642" s="1" t="n"/>
      <c r="AS642" s="1" t="n"/>
      <c r="AT642" s="1" t="n"/>
      <c r="AU642" s="1" t="n"/>
      <c r="AV642" s="1" t="n"/>
      <c r="AW642" s="1" t="n"/>
      <c r="AX642" s="1" t="n"/>
      <c r="AY642" s="1" t="n"/>
      <c r="AZ642" s="1" t="n"/>
      <c r="BA642" s="1" t="n"/>
    </row>
    <row r="643" ht="16.5" customHeight="1" s="220">
      <c r="A643" s="1" t="n"/>
      <c r="B643" s="1" t="n"/>
      <c r="C643" s="2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  <c r="AR643" s="1" t="n"/>
      <c r="AS643" s="1" t="n"/>
      <c r="AT643" s="1" t="n"/>
      <c r="AU643" s="1" t="n"/>
      <c r="AV643" s="1" t="n"/>
      <c r="AW643" s="1" t="n"/>
      <c r="AX643" s="1" t="n"/>
      <c r="AY643" s="1" t="n"/>
      <c r="AZ643" s="1" t="n"/>
      <c r="BA643" s="1" t="n"/>
    </row>
    <row r="644" ht="16.5" customHeight="1" s="220">
      <c r="A644" s="1" t="n"/>
      <c r="B644" s="1" t="n"/>
      <c r="C644" s="2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  <c r="AR644" s="1" t="n"/>
      <c r="AS644" s="1" t="n"/>
      <c r="AT644" s="1" t="n"/>
      <c r="AU644" s="1" t="n"/>
      <c r="AV644" s="1" t="n"/>
      <c r="AW644" s="1" t="n"/>
      <c r="AX644" s="1" t="n"/>
      <c r="AY644" s="1" t="n"/>
      <c r="AZ644" s="1" t="n"/>
      <c r="BA644" s="1" t="n"/>
    </row>
    <row r="645" ht="16.5" customHeight="1" s="220">
      <c r="A645" s="1" t="n"/>
      <c r="B645" s="1" t="n"/>
      <c r="C645" s="2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  <c r="AR645" s="1" t="n"/>
      <c r="AS645" s="1" t="n"/>
      <c r="AT645" s="1" t="n"/>
      <c r="AU645" s="1" t="n"/>
      <c r="AV645" s="1" t="n"/>
      <c r="AW645" s="1" t="n"/>
      <c r="AX645" s="1" t="n"/>
      <c r="AY645" s="1" t="n"/>
      <c r="AZ645" s="1" t="n"/>
      <c r="BA645" s="1" t="n"/>
    </row>
    <row r="646" ht="16.5" customHeight="1" s="220">
      <c r="A646" s="1" t="n"/>
      <c r="B646" s="1" t="n"/>
      <c r="C646" s="2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  <c r="AR646" s="1" t="n"/>
      <c r="AS646" s="1" t="n"/>
      <c r="AT646" s="1" t="n"/>
      <c r="AU646" s="1" t="n"/>
      <c r="AV646" s="1" t="n"/>
      <c r="AW646" s="1" t="n"/>
      <c r="AX646" s="1" t="n"/>
      <c r="AY646" s="1" t="n"/>
      <c r="AZ646" s="1" t="n"/>
      <c r="BA646" s="1" t="n"/>
    </row>
    <row r="647" ht="16.5" customHeight="1" s="220">
      <c r="A647" s="1" t="n"/>
      <c r="B647" s="1" t="n"/>
      <c r="C647" s="2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  <c r="AR647" s="1" t="n"/>
      <c r="AS647" s="1" t="n"/>
      <c r="AT647" s="1" t="n"/>
      <c r="AU647" s="1" t="n"/>
      <c r="AV647" s="1" t="n"/>
      <c r="AW647" s="1" t="n"/>
      <c r="AX647" s="1" t="n"/>
      <c r="AY647" s="1" t="n"/>
      <c r="AZ647" s="1" t="n"/>
      <c r="BA647" s="1" t="n"/>
    </row>
    <row r="648" ht="16.5" customHeight="1" s="220">
      <c r="A648" s="1" t="n"/>
      <c r="B648" s="1" t="n"/>
      <c r="C648" s="2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  <c r="AR648" s="1" t="n"/>
      <c r="AS648" s="1" t="n"/>
      <c r="AT648" s="1" t="n"/>
      <c r="AU648" s="1" t="n"/>
      <c r="AV648" s="1" t="n"/>
      <c r="AW648" s="1" t="n"/>
      <c r="AX648" s="1" t="n"/>
      <c r="AY648" s="1" t="n"/>
      <c r="AZ648" s="1" t="n"/>
      <c r="BA648" s="1" t="n"/>
    </row>
    <row r="649" ht="16.5" customHeight="1" s="220">
      <c r="A649" s="1" t="n"/>
      <c r="B649" s="1" t="n"/>
      <c r="C649" s="2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  <c r="AR649" s="1" t="n"/>
      <c r="AS649" s="1" t="n"/>
      <c r="AT649" s="1" t="n"/>
      <c r="AU649" s="1" t="n"/>
      <c r="AV649" s="1" t="n"/>
      <c r="AW649" s="1" t="n"/>
      <c r="AX649" s="1" t="n"/>
      <c r="AY649" s="1" t="n"/>
      <c r="AZ649" s="1" t="n"/>
      <c r="BA649" s="1" t="n"/>
    </row>
    <row r="650" ht="16.5" customHeight="1" s="220">
      <c r="A650" s="1" t="n"/>
      <c r="B650" s="1" t="n"/>
      <c r="C650" s="2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  <c r="AR650" s="1" t="n"/>
      <c r="AS650" s="1" t="n"/>
      <c r="AT650" s="1" t="n"/>
      <c r="AU650" s="1" t="n"/>
      <c r="AV650" s="1" t="n"/>
      <c r="AW650" s="1" t="n"/>
      <c r="AX650" s="1" t="n"/>
      <c r="AY650" s="1" t="n"/>
      <c r="AZ650" s="1" t="n"/>
      <c r="BA650" s="1" t="n"/>
    </row>
    <row r="651" ht="16.5" customHeight="1" s="220">
      <c r="A651" s="1" t="n"/>
      <c r="B651" s="1" t="n"/>
      <c r="C651" s="2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  <c r="AR651" s="1" t="n"/>
      <c r="AS651" s="1" t="n"/>
      <c r="AT651" s="1" t="n"/>
      <c r="AU651" s="1" t="n"/>
      <c r="AV651" s="1" t="n"/>
      <c r="AW651" s="1" t="n"/>
      <c r="AX651" s="1" t="n"/>
      <c r="AY651" s="1" t="n"/>
      <c r="AZ651" s="1" t="n"/>
      <c r="BA651" s="1" t="n"/>
    </row>
    <row r="652" ht="16.5" customHeight="1" s="220">
      <c r="A652" s="1" t="n"/>
      <c r="B652" s="1" t="n"/>
      <c r="C652" s="2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  <c r="AR652" s="1" t="n"/>
      <c r="AS652" s="1" t="n"/>
      <c r="AT652" s="1" t="n"/>
      <c r="AU652" s="1" t="n"/>
      <c r="AV652" s="1" t="n"/>
      <c r="AW652" s="1" t="n"/>
      <c r="AX652" s="1" t="n"/>
      <c r="AY652" s="1" t="n"/>
      <c r="AZ652" s="1" t="n"/>
      <c r="BA652" s="1" t="n"/>
    </row>
    <row r="653" ht="16.5" customHeight="1" s="220">
      <c r="A653" s="1" t="n"/>
      <c r="B653" s="1" t="n"/>
      <c r="C653" s="2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  <c r="AR653" s="1" t="n"/>
      <c r="AS653" s="1" t="n"/>
      <c r="AT653" s="1" t="n"/>
      <c r="AU653" s="1" t="n"/>
      <c r="AV653" s="1" t="n"/>
      <c r="AW653" s="1" t="n"/>
      <c r="AX653" s="1" t="n"/>
      <c r="AY653" s="1" t="n"/>
      <c r="AZ653" s="1" t="n"/>
      <c r="BA653" s="1" t="n"/>
    </row>
    <row r="654" ht="16.5" customHeight="1" s="220">
      <c r="A654" s="1" t="n"/>
      <c r="B654" s="1" t="n"/>
      <c r="C654" s="2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  <c r="AR654" s="1" t="n"/>
      <c r="AS654" s="1" t="n"/>
      <c r="AT654" s="1" t="n"/>
      <c r="AU654" s="1" t="n"/>
      <c r="AV654" s="1" t="n"/>
      <c r="AW654" s="1" t="n"/>
      <c r="AX654" s="1" t="n"/>
      <c r="AY654" s="1" t="n"/>
      <c r="AZ654" s="1" t="n"/>
      <c r="BA654" s="1" t="n"/>
    </row>
    <row r="655" ht="16.5" customHeight="1" s="220">
      <c r="A655" s="1" t="n"/>
      <c r="B655" s="1" t="n"/>
      <c r="C655" s="2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  <c r="AR655" s="1" t="n"/>
      <c r="AS655" s="1" t="n"/>
      <c r="AT655" s="1" t="n"/>
      <c r="AU655" s="1" t="n"/>
      <c r="AV655" s="1" t="n"/>
      <c r="AW655" s="1" t="n"/>
      <c r="AX655" s="1" t="n"/>
      <c r="AY655" s="1" t="n"/>
      <c r="AZ655" s="1" t="n"/>
      <c r="BA655" s="1" t="n"/>
    </row>
    <row r="656" ht="16.5" customHeight="1" s="220">
      <c r="A656" s="1" t="n"/>
      <c r="B656" s="1" t="n"/>
      <c r="C656" s="2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  <c r="AR656" s="1" t="n"/>
      <c r="AS656" s="1" t="n"/>
      <c r="AT656" s="1" t="n"/>
      <c r="AU656" s="1" t="n"/>
      <c r="AV656" s="1" t="n"/>
      <c r="AW656" s="1" t="n"/>
      <c r="AX656" s="1" t="n"/>
      <c r="AY656" s="1" t="n"/>
      <c r="AZ656" s="1" t="n"/>
      <c r="BA656" s="1" t="n"/>
    </row>
    <row r="657" ht="16.5" customHeight="1" s="220">
      <c r="A657" s="1" t="n"/>
      <c r="B657" s="1" t="n"/>
      <c r="C657" s="2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  <c r="AW657" s="1" t="n"/>
      <c r="AX657" s="1" t="n"/>
      <c r="AY657" s="1" t="n"/>
      <c r="AZ657" s="1" t="n"/>
      <c r="BA657" s="1" t="n"/>
    </row>
    <row r="658" ht="16.5" customHeight="1" s="220">
      <c r="A658" s="1" t="n"/>
      <c r="B658" s="1" t="n"/>
      <c r="C658" s="2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</row>
    <row r="659" ht="16.5" customHeight="1" s="220">
      <c r="A659" s="1" t="n"/>
      <c r="B659" s="1" t="n"/>
      <c r="C659" s="2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</row>
    <row r="660" ht="16.5" customHeight="1" s="220">
      <c r="A660" s="1" t="n"/>
      <c r="B660" s="1" t="n"/>
      <c r="C660" s="2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</row>
    <row r="661" ht="16.5" customHeight="1" s="220">
      <c r="A661" s="1" t="n"/>
      <c r="B661" s="1" t="n"/>
      <c r="C661" s="2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</row>
    <row r="662" ht="16.5" customHeight="1" s="220">
      <c r="A662" s="1" t="n"/>
      <c r="B662" s="1" t="n"/>
      <c r="C662" s="2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  <c r="AY662" s="1" t="n"/>
      <c r="AZ662" s="1" t="n"/>
      <c r="BA662" s="1" t="n"/>
    </row>
    <row r="663" ht="16.5" customHeight="1" s="220">
      <c r="A663" s="1" t="n"/>
      <c r="B663" s="1" t="n"/>
      <c r="C663" s="2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  <c r="AR663" s="1" t="n"/>
      <c r="AS663" s="1" t="n"/>
      <c r="AT663" s="1" t="n"/>
      <c r="AU663" s="1" t="n"/>
      <c r="AV663" s="1" t="n"/>
      <c r="AW663" s="1" t="n"/>
      <c r="AX663" s="1" t="n"/>
      <c r="AY663" s="1" t="n"/>
      <c r="AZ663" s="1" t="n"/>
      <c r="BA663" s="1" t="n"/>
    </row>
    <row r="664" ht="16.5" customHeight="1" s="220">
      <c r="A664" s="1" t="n"/>
      <c r="B664" s="1" t="n"/>
      <c r="C664" s="2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  <c r="AR664" s="1" t="n"/>
      <c r="AS664" s="1" t="n"/>
      <c r="AT664" s="1" t="n"/>
      <c r="AU664" s="1" t="n"/>
      <c r="AV664" s="1" t="n"/>
      <c r="AW664" s="1" t="n"/>
      <c r="AX664" s="1" t="n"/>
      <c r="AY664" s="1" t="n"/>
      <c r="AZ664" s="1" t="n"/>
      <c r="BA664" s="1" t="n"/>
    </row>
    <row r="665" ht="16.5" customHeight="1" s="220">
      <c r="A665" s="1" t="n"/>
      <c r="B665" s="1" t="n"/>
      <c r="C665" s="2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  <c r="AR665" s="1" t="n"/>
      <c r="AS665" s="1" t="n"/>
      <c r="AT665" s="1" t="n"/>
      <c r="AU665" s="1" t="n"/>
      <c r="AV665" s="1" t="n"/>
      <c r="AW665" s="1" t="n"/>
      <c r="AX665" s="1" t="n"/>
      <c r="AY665" s="1" t="n"/>
      <c r="AZ665" s="1" t="n"/>
      <c r="BA665" s="1" t="n"/>
    </row>
    <row r="666" ht="16.5" customHeight="1" s="220">
      <c r="A666" s="1" t="n"/>
      <c r="B666" s="1" t="n"/>
      <c r="C666" s="2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  <c r="AR666" s="1" t="n"/>
      <c r="AS666" s="1" t="n"/>
      <c r="AT666" s="1" t="n"/>
      <c r="AU666" s="1" t="n"/>
      <c r="AV666" s="1" t="n"/>
      <c r="AW666" s="1" t="n"/>
      <c r="AX666" s="1" t="n"/>
      <c r="AY666" s="1" t="n"/>
      <c r="AZ666" s="1" t="n"/>
      <c r="BA666" s="1" t="n"/>
    </row>
    <row r="667" ht="16.5" customHeight="1" s="220">
      <c r="A667" s="1" t="n"/>
      <c r="B667" s="1" t="n"/>
      <c r="C667" s="2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  <c r="AR667" s="1" t="n"/>
      <c r="AS667" s="1" t="n"/>
      <c r="AT667" s="1" t="n"/>
      <c r="AU667" s="1" t="n"/>
      <c r="AV667" s="1" t="n"/>
      <c r="AW667" s="1" t="n"/>
      <c r="AX667" s="1" t="n"/>
      <c r="AY667" s="1" t="n"/>
      <c r="AZ667" s="1" t="n"/>
      <c r="BA667" s="1" t="n"/>
    </row>
    <row r="668" ht="16.5" customHeight="1" s="220">
      <c r="A668" s="1" t="n"/>
      <c r="B668" s="1" t="n"/>
      <c r="C668" s="2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  <c r="AR668" s="1" t="n"/>
      <c r="AS668" s="1" t="n"/>
      <c r="AT668" s="1" t="n"/>
      <c r="AU668" s="1" t="n"/>
      <c r="AV668" s="1" t="n"/>
      <c r="AW668" s="1" t="n"/>
      <c r="AX668" s="1" t="n"/>
      <c r="AY668" s="1" t="n"/>
      <c r="AZ668" s="1" t="n"/>
      <c r="BA668" s="1" t="n"/>
    </row>
    <row r="669" ht="16.5" customHeight="1" s="220">
      <c r="A669" s="1" t="n"/>
      <c r="B669" s="1" t="n"/>
      <c r="C669" s="2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  <c r="AR669" s="1" t="n"/>
      <c r="AS669" s="1" t="n"/>
      <c r="AT669" s="1" t="n"/>
      <c r="AU669" s="1" t="n"/>
      <c r="AV669" s="1" t="n"/>
      <c r="AW669" s="1" t="n"/>
      <c r="AX669" s="1" t="n"/>
      <c r="AY669" s="1" t="n"/>
      <c r="AZ669" s="1" t="n"/>
      <c r="BA669" s="1" t="n"/>
    </row>
    <row r="670" ht="16.5" customHeight="1" s="220">
      <c r="A670" s="1" t="n"/>
      <c r="B670" s="1" t="n"/>
      <c r="C670" s="2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  <c r="AR670" s="1" t="n"/>
      <c r="AS670" s="1" t="n"/>
      <c r="AT670" s="1" t="n"/>
      <c r="AU670" s="1" t="n"/>
      <c r="AV670" s="1" t="n"/>
      <c r="AW670" s="1" t="n"/>
      <c r="AX670" s="1" t="n"/>
      <c r="AY670" s="1" t="n"/>
      <c r="AZ670" s="1" t="n"/>
      <c r="BA670" s="1" t="n"/>
    </row>
    <row r="671" ht="16.5" customHeight="1" s="220">
      <c r="A671" s="1" t="n"/>
      <c r="B671" s="1" t="n"/>
      <c r="C671" s="2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  <c r="AR671" s="1" t="n"/>
      <c r="AS671" s="1" t="n"/>
      <c r="AT671" s="1" t="n"/>
      <c r="AU671" s="1" t="n"/>
      <c r="AV671" s="1" t="n"/>
      <c r="AW671" s="1" t="n"/>
      <c r="AX671" s="1" t="n"/>
      <c r="AY671" s="1" t="n"/>
      <c r="AZ671" s="1" t="n"/>
      <c r="BA671" s="1" t="n"/>
    </row>
    <row r="672" ht="16.5" customHeight="1" s="220">
      <c r="A672" s="1" t="n"/>
      <c r="B672" s="1" t="n"/>
      <c r="C672" s="2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  <c r="AR672" s="1" t="n"/>
      <c r="AS672" s="1" t="n"/>
      <c r="AT672" s="1" t="n"/>
      <c r="AU672" s="1" t="n"/>
      <c r="AV672" s="1" t="n"/>
      <c r="AW672" s="1" t="n"/>
      <c r="AX672" s="1" t="n"/>
      <c r="AY672" s="1" t="n"/>
      <c r="AZ672" s="1" t="n"/>
      <c r="BA672" s="1" t="n"/>
    </row>
    <row r="673" ht="16.5" customHeight="1" s="220">
      <c r="A673" s="1" t="n"/>
      <c r="B673" s="1" t="n"/>
      <c r="C673" s="2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  <c r="AR673" s="1" t="n"/>
      <c r="AS673" s="1" t="n"/>
      <c r="AT673" s="1" t="n"/>
      <c r="AU673" s="1" t="n"/>
      <c r="AV673" s="1" t="n"/>
      <c r="AW673" s="1" t="n"/>
      <c r="AX673" s="1" t="n"/>
      <c r="AY673" s="1" t="n"/>
      <c r="AZ673" s="1" t="n"/>
      <c r="BA673" s="1" t="n"/>
    </row>
    <row r="674" ht="16.5" customHeight="1" s="220">
      <c r="A674" s="1" t="n"/>
      <c r="B674" s="1" t="n"/>
      <c r="C674" s="2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  <c r="AR674" s="1" t="n"/>
      <c r="AS674" s="1" t="n"/>
      <c r="AT674" s="1" t="n"/>
      <c r="AU674" s="1" t="n"/>
      <c r="AV674" s="1" t="n"/>
      <c r="AW674" s="1" t="n"/>
      <c r="AX674" s="1" t="n"/>
      <c r="AY674" s="1" t="n"/>
      <c r="AZ674" s="1" t="n"/>
      <c r="BA674" s="1" t="n"/>
    </row>
    <row r="675" ht="16.5" customHeight="1" s="220">
      <c r="A675" s="1" t="n"/>
      <c r="B675" s="1" t="n"/>
      <c r="C675" s="2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  <c r="AR675" s="1" t="n"/>
      <c r="AS675" s="1" t="n"/>
      <c r="AT675" s="1" t="n"/>
      <c r="AU675" s="1" t="n"/>
      <c r="AV675" s="1" t="n"/>
      <c r="AW675" s="1" t="n"/>
      <c r="AX675" s="1" t="n"/>
      <c r="AY675" s="1" t="n"/>
      <c r="AZ675" s="1" t="n"/>
      <c r="BA675" s="1" t="n"/>
    </row>
    <row r="676" ht="16.5" customHeight="1" s="220">
      <c r="A676" s="1" t="n"/>
      <c r="B676" s="1" t="n"/>
      <c r="C676" s="2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Q676" s="1" t="n"/>
      <c r="AR676" s="1" t="n"/>
      <c r="AS676" s="1" t="n"/>
      <c r="AT676" s="1" t="n"/>
      <c r="AU676" s="1" t="n"/>
      <c r="AV676" s="1" t="n"/>
      <c r="AW676" s="1" t="n"/>
      <c r="AX676" s="1" t="n"/>
      <c r="AY676" s="1" t="n"/>
      <c r="AZ676" s="1" t="n"/>
      <c r="BA676" s="1" t="n"/>
    </row>
    <row r="677" ht="16.5" customHeight="1" s="220">
      <c r="A677" s="1" t="n"/>
      <c r="B677" s="1" t="n"/>
      <c r="C677" s="2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  <c r="AR677" s="1" t="n"/>
      <c r="AS677" s="1" t="n"/>
      <c r="AT677" s="1" t="n"/>
      <c r="AU677" s="1" t="n"/>
      <c r="AV677" s="1" t="n"/>
      <c r="AW677" s="1" t="n"/>
      <c r="AX677" s="1" t="n"/>
      <c r="AY677" s="1" t="n"/>
      <c r="AZ677" s="1" t="n"/>
      <c r="BA677" s="1" t="n"/>
    </row>
    <row r="678" ht="16.5" customHeight="1" s="220">
      <c r="A678" s="1" t="n"/>
      <c r="B678" s="1" t="n"/>
      <c r="C678" s="2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  <c r="AR678" s="1" t="n"/>
      <c r="AS678" s="1" t="n"/>
      <c r="AT678" s="1" t="n"/>
      <c r="AU678" s="1" t="n"/>
      <c r="AV678" s="1" t="n"/>
      <c r="AW678" s="1" t="n"/>
      <c r="AX678" s="1" t="n"/>
      <c r="AY678" s="1" t="n"/>
      <c r="AZ678" s="1" t="n"/>
      <c r="BA678" s="1" t="n"/>
    </row>
    <row r="679" ht="16.5" customHeight="1" s="220">
      <c r="A679" s="1" t="n"/>
      <c r="B679" s="1" t="n"/>
      <c r="C679" s="2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  <c r="AR679" s="1" t="n"/>
      <c r="AS679" s="1" t="n"/>
      <c r="AT679" s="1" t="n"/>
      <c r="AU679" s="1" t="n"/>
      <c r="AV679" s="1" t="n"/>
      <c r="AW679" s="1" t="n"/>
      <c r="AX679" s="1" t="n"/>
      <c r="AY679" s="1" t="n"/>
      <c r="AZ679" s="1" t="n"/>
      <c r="BA679" s="1" t="n"/>
    </row>
    <row r="680" ht="16.5" customHeight="1" s="220">
      <c r="A680" s="1" t="n"/>
      <c r="B680" s="1" t="n"/>
      <c r="C680" s="2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Q680" s="1" t="n"/>
      <c r="AR680" s="1" t="n"/>
      <c r="AS680" s="1" t="n"/>
      <c r="AT680" s="1" t="n"/>
      <c r="AU680" s="1" t="n"/>
      <c r="AV680" s="1" t="n"/>
      <c r="AW680" s="1" t="n"/>
      <c r="AX680" s="1" t="n"/>
      <c r="AY680" s="1" t="n"/>
      <c r="AZ680" s="1" t="n"/>
      <c r="BA680" s="1" t="n"/>
    </row>
    <row r="681" ht="16.5" customHeight="1" s="220">
      <c r="A681" s="1" t="n"/>
      <c r="B681" s="1" t="n"/>
      <c r="C681" s="2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  <c r="AR681" s="1" t="n"/>
      <c r="AS681" s="1" t="n"/>
      <c r="AT681" s="1" t="n"/>
      <c r="AU681" s="1" t="n"/>
      <c r="AV681" s="1" t="n"/>
      <c r="AW681" s="1" t="n"/>
      <c r="AX681" s="1" t="n"/>
      <c r="AY681" s="1" t="n"/>
      <c r="AZ681" s="1" t="n"/>
      <c r="BA681" s="1" t="n"/>
    </row>
    <row r="682" ht="16.5" customHeight="1" s="220">
      <c r="A682" s="1" t="n"/>
      <c r="B682" s="1" t="n"/>
      <c r="C682" s="2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  <c r="AR682" s="1" t="n"/>
      <c r="AS682" s="1" t="n"/>
      <c r="AT682" s="1" t="n"/>
      <c r="AU682" s="1" t="n"/>
      <c r="AV682" s="1" t="n"/>
      <c r="AW682" s="1" t="n"/>
      <c r="AX682" s="1" t="n"/>
      <c r="AY682" s="1" t="n"/>
      <c r="AZ682" s="1" t="n"/>
      <c r="BA682" s="1" t="n"/>
    </row>
    <row r="683" ht="16.5" customHeight="1" s="220">
      <c r="A683" s="1" t="n"/>
      <c r="B683" s="1" t="n"/>
      <c r="C683" s="2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  <c r="AR683" s="1" t="n"/>
      <c r="AS683" s="1" t="n"/>
      <c r="AT683" s="1" t="n"/>
      <c r="AU683" s="1" t="n"/>
      <c r="AV683" s="1" t="n"/>
      <c r="AW683" s="1" t="n"/>
      <c r="AX683" s="1" t="n"/>
      <c r="AY683" s="1" t="n"/>
      <c r="AZ683" s="1" t="n"/>
      <c r="BA683" s="1" t="n"/>
    </row>
    <row r="684" ht="16.5" customHeight="1" s="220">
      <c r="A684" s="1" t="n"/>
      <c r="B684" s="1" t="n"/>
      <c r="C684" s="2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  <c r="AR684" s="1" t="n"/>
      <c r="AS684" s="1" t="n"/>
      <c r="AT684" s="1" t="n"/>
      <c r="AU684" s="1" t="n"/>
      <c r="AV684" s="1" t="n"/>
      <c r="AW684" s="1" t="n"/>
      <c r="AX684" s="1" t="n"/>
      <c r="AY684" s="1" t="n"/>
      <c r="AZ684" s="1" t="n"/>
      <c r="BA684" s="1" t="n"/>
    </row>
    <row r="685" ht="16.5" customHeight="1" s="220">
      <c r="A685" s="1" t="n"/>
      <c r="B685" s="1" t="n"/>
      <c r="C685" s="2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  <c r="AR685" s="1" t="n"/>
      <c r="AS685" s="1" t="n"/>
      <c r="AT685" s="1" t="n"/>
      <c r="AU685" s="1" t="n"/>
      <c r="AV685" s="1" t="n"/>
      <c r="AW685" s="1" t="n"/>
      <c r="AX685" s="1" t="n"/>
      <c r="AY685" s="1" t="n"/>
      <c r="AZ685" s="1" t="n"/>
      <c r="BA685" s="1" t="n"/>
    </row>
    <row r="686" ht="16.5" customHeight="1" s="220">
      <c r="A686" s="1" t="n"/>
      <c r="B686" s="1" t="n"/>
      <c r="C686" s="2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  <c r="AR686" s="1" t="n"/>
      <c r="AS686" s="1" t="n"/>
      <c r="AT686" s="1" t="n"/>
      <c r="AU686" s="1" t="n"/>
      <c r="AV686" s="1" t="n"/>
      <c r="AW686" s="1" t="n"/>
      <c r="AX686" s="1" t="n"/>
      <c r="AY686" s="1" t="n"/>
      <c r="AZ686" s="1" t="n"/>
      <c r="BA686" s="1" t="n"/>
    </row>
    <row r="687" ht="16.5" customHeight="1" s="220">
      <c r="A687" s="1" t="n"/>
      <c r="B687" s="1" t="n"/>
      <c r="C687" s="2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  <c r="AR687" s="1" t="n"/>
      <c r="AS687" s="1" t="n"/>
      <c r="AT687" s="1" t="n"/>
      <c r="AU687" s="1" t="n"/>
      <c r="AV687" s="1" t="n"/>
      <c r="AW687" s="1" t="n"/>
      <c r="AX687" s="1" t="n"/>
      <c r="AY687" s="1" t="n"/>
      <c r="AZ687" s="1" t="n"/>
      <c r="BA687" s="1" t="n"/>
    </row>
    <row r="688" ht="16.5" customHeight="1" s="220">
      <c r="A688" s="1" t="n"/>
      <c r="B688" s="1" t="n"/>
      <c r="C688" s="2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  <c r="AR688" s="1" t="n"/>
      <c r="AS688" s="1" t="n"/>
      <c r="AT688" s="1" t="n"/>
      <c r="AU688" s="1" t="n"/>
      <c r="AV688" s="1" t="n"/>
      <c r="AW688" s="1" t="n"/>
      <c r="AX688" s="1" t="n"/>
      <c r="AY688" s="1" t="n"/>
      <c r="AZ688" s="1" t="n"/>
      <c r="BA688" s="1" t="n"/>
    </row>
    <row r="689" ht="16.5" customHeight="1" s="220">
      <c r="A689" s="1" t="n"/>
      <c r="B689" s="1" t="n"/>
      <c r="C689" s="2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  <c r="AR689" s="1" t="n"/>
      <c r="AS689" s="1" t="n"/>
      <c r="AT689" s="1" t="n"/>
      <c r="AU689" s="1" t="n"/>
      <c r="AV689" s="1" t="n"/>
      <c r="AW689" s="1" t="n"/>
      <c r="AX689" s="1" t="n"/>
      <c r="AY689" s="1" t="n"/>
      <c r="AZ689" s="1" t="n"/>
      <c r="BA689" s="1" t="n"/>
    </row>
    <row r="690" ht="16.5" customHeight="1" s="220">
      <c r="A690" s="1" t="n"/>
      <c r="B690" s="1" t="n"/>
      <c r="C690" s="2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  <c r="AR690" s="1" t="n"/>
      <c r="AS690" s="1" t="n"/>
      <c r="AT690" s="1" t="n"/>
      <c r="AU690" s="1" t="n"/>
      <c r="AV690" s="1" t="n"/>
      <c r="AW690" s="1" t="n"/>
      <c r="AX690" s="1" t="n"/>
      <c r="AY690" s="1" t="n"/>
      <c r="AZ690" s="1" t="n"/>
      <c r="BA690" s="1" t="n"/>
    </row>
    <row r="691" ht="16.5" customHeight="1" s="220">
      <c r="A691" s="1" t="n"/>
      <c r="B691" s="1" t="n"/>
      <c r="C691" s="2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  <c r="AR691" s="1" t="n"/>
      <c r="AS691" s="1" t="n"/>
      <c r="AT691" s="1" t="n"/>
      <c r="AU691" s="1" t="n"/>
      <c r="AV691" s="1" t="n"/>
      <c r="AW691" s="1" t="n"/>
      <c r="AX691" s="1" t="n"/>
      <c r="AY691" s="1" t="n"/>
      <c r="AZ691" s="1" t="n"/>
      <c r="BA691" s="1" t="n"/>
    </row>
    <row r="692" ht="16.5" customHeight="1" s="220">
      <c r="A692" s="1" t="n"/>
      <c r="B692" s="1" t="n"/>
      <c r="C692" s="2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  <c r="AR692" s="1" t="n"/>
      <c r="AS692" s="1" t="n"/>
      <c r="AT692" s="1" t="n"/>
      <c r="AU692" s="1" t="n"/>
      <c r="AV692" s="1" t="n"/>
      <c r="AW692" s="1" t="n"/>
      <c r="AX692" s="1" t="n"/>
      <c r="AY692" s="1" t="n"/>
      <c r="AZ692" s="1" t="n"/>
      <c r="BA692" s="1" t="n"/>
    </row>
    <row r="693" ht="16.5" customHeight="1" s="220">
      <c r="A693" s="1" t="n"/>
      <c r="B693" s="1" t="n"/>
      <c r="C693" s="2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  <c r="AR693" s="1" t="n"/>
      <c r="AS693" s="1" t="n"/>
      <c r="AT693" s="1" t="n"/>
      <c r="AU693" s="1" t="n"/>
      <c r="AV693" s="1" t="n"/>
      <c r="AW693" s="1" t="n"/>
      <c r="AX693" s="1" t="n"/>
      <c r="AY693" s="1" t="n"/>
      <c r="AZ693" s="1" t="n"/>
      <c r="BA693" s="1" t="n"/>
    </row>
    <row r="694" ht="16.5" customHeight="1" s="220">
      <c r="A694" s="1" t="n"/>
      <c r="B694" s="1" t="n"/>
      <c r="C694" s="2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  <c r="AR694" s="1" t="n"/>
      <c r="AS694" s="1" t="n"/>
      <c r="AT694" s="1" t="n"/>
      <c r="AU694" s="1" t="n"/>
      <c r="AV694" s="1" t="n"/>
      <c r="AW694" s="1" t="n"/>
      <c r="AX694" s="1" t="n"/>
      <c r="AY694" s="1" t="n"/>
      <c r="AZ694" s="1" t="n"/>
      <c r="BA694" s="1" t="n"/>
    </row>
    <row r="695" ht="16.5" customHeight="1" s="220">
      <c r="A695" s="1" t="n"/>
      <c r="B695" s="1" t="n"/>
      <c r="C695" s="2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  <c r="AR695" s="1" t="n"/>
      <c r="AS695" s="1" t="n"/>
      <c r="AT695" s="1" t="n"/>
      <c r="AU695" s="1" t="n"/>
      <c r="AV695" s="1" t="n"/>
      <c r="AW695" s="1" t="n"/>
      <c r="AX695" s="1" t="n"/>
      <c r="AY695" s="1" t="n"/>
      <c r="AZ695" s="1" t="n"/>
      <c r="BA695" s="1" t="n"/>
    </row>
    <row r="696" ht="16.5" customHeight="1" s="220">
      <c r="A696" s="1" t="n"/>
      <c r="B696" s="1" t="n"/>
      <c r="C696" s="2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  <c r="AR696" s="1" t="n"/>
      <c r="AS696" s="1" t="n"/>
      <c r="AT696" s="1" t="n"/>
      <c r="AU696" s="1" t="n"/>
      <c r="AV696" s="1" t="n"/>
      <c r="AW696" s="1" t="n"/>
      <c r="AX696" s="1" t="n"/>
      <c r="AY696" s="1" t="n"/>
      <c r="AZ696" s="1" t="n"/>
      <c r="BA696" s="1" t="n"/>
    </row>
    <row r="697" ht="16.5" customHeight="1" s="220">
      <c r="A697" s="1" t="n"/>
      <c r="B697" s="1" t="n"/>
      <c r="C697" s="2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  <c r="AR697" s="1" t="n"/>
      <c r="AS697" s="1" t="n"/>
      <c r="AT697" s="1" t="n"/>
      <c r="AU697" s="1" t="n"/>
      <c r="AV697" s="1" t="n"/>
      <c r="AW697" s="1" t="n"/>
      <c r="AX697" s="1" t="n"/>
      <c r="AY697" s="1" t="n"/>
      <c r="AZ697" s="1" t="n"/>
      <c r="BA697" s="1" t="n"/>
    </row>
    <row r="698" ht="16.5" customHeight="1" s="220">
      <c r="A698" s="1" t="n"/>
      <c r="B698" s="1" t="n"/>
      <c r="C698" s="2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Q698" s="1" t="n"/>
      <c r="AR698" s="1" t="n"/>
      <c r="AS698" s="1" t="n"/>
      <c r="AT698" s="1" t="n"/>
      <c r="AU698" s="1" t="n"/>
      <c r="AV698" s="1" t="n"/>
      <c r="AW698" s="1" t="n"/>
      <c r="AX698" s="1" t="n"/>
      <c r="AY698" s="1" t="n"/>
      <c r="AZ698" s="1" t="n"/>
      <c r="BA698" s="1" t="n"/>
    </row>
    <row r="699" ht="16.5" customHeight="1" s="220">
      <c r="A699" s="1" t="n"/>
      <c r="B699" s="1" t="n"/>
      <c r="C699" s="2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  <c r="AR699" s="1" t="n"/>
      <c r="AS699" s="1" t="n"/>
      <c r="AT699" s="1" t="n"/>
      <c r="AU699" s="1" t="n"/>
      <c r="AV699" s="1" t="n"/>
      <c r="AW699" s="1" t="n"/>
      <c r="AX699" s="1" t="n"/>
      <c r="AY699" s="1" t="n"/>
      <c r="AZ699" s="1" t="n"/>
      <c r="BA699" s="1" t="n"/>
    </row>
    <row r="700" ht="16.5" customHeight="1" s="220">
      <c r="A700" s="1" t="n"/>
      <c r="B700" s="1" t="n"/>
      <c r="C700" s="2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Q700" s="1" t="n"/>
      <c r="AR700" s="1" t="n"/>
      <c r="AS700" s="1" t="n"/>
      <c r="AT700" s="1" t="n"/>
      <c r="AU700" s="1" t="n"/>
      <c r="AV700" s="1" t="n"/>
      <c r="AW700" s="1" t="n"/>
      <c r="AX700" s="1" t="n"/>
      <c r="AY700" s="1" t="n"/>
      <c r="AZ700" s="1" t="n"/>
      <c r="BA700" s="1" t="n"/>
    </row>
    <row r="701" ht="16.5" customHeight="1" s="220">
      <c r="A701" s="1" t="n"/>
      <c r="B701" s="1" t="n"/>
      <c r="C701" s="2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  <c r="AR701" s="1" t="n"/>
      <c r="AS701" s="1" t="n"/>
      <c r="AT701" s="1" t="n"/>
      <c r="AU701" s="1" t="n"/>
      <c r="AV701" s="1" t="n"/>
      <c r="AW701" s="1" t="n"/>
      <c r="AX701" s="1" t="n"/>
      <c r="AY701" s="1" t="n"/>
      <c r="AZ701" s="1" t="n"/>
      <c r="BA701" s="1" t="n"/>
    </row>
    <row r="702" ht="16.5" customHeight="1" s="220">
      <c r="A702" s="1" t="n"/>
      <c r="B702" s="1" t="n"/>
      <c r="C702" s="2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  <c r="AR702" s="1" t="n"/>
      <c r="AS702" s="1" t="n"/>
      <c r="AT702" s="1" t="n"/>
      <c r="AU702" s="1" t="n"/>
      <c r="AV702" s="1" t="n"/>
      <c r="AW702" s="1" t="n"/>
      <c r="AX702" s="1" t="n"/>
      <c r="AY702" s="1" t="n"/>
      <c r="AZ702" s="1" t="n"/>
      <c r="BA702" s="1" t="n"/>
    </row>
    <row r="703" ht="16.5" customHeight="1" s="220">
      <c r="A703" s="1" t="n"/>
      <c r="B703" s="1" t="n"/>
      <c r="C703" s="2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  <c r="AR703" s="1" t="n"/>
      <c r="AS703" s="1" t="n"/>
      <c r="AT703" s="1" t="n"/>
      <c r="AU703" s="1" t="n"/>
      <c r="AV703" s="1" t="n"/>
      <c r="AW703" s="1" t="n"/>
      <c r="AX703" s="1" t="n"/>
      <c r="AY703" s="1" t="n"/>
      <c r="AZ703" s="1" t="n"/>
      <c r="BA703" s="1" t="n"/>
    </row>
    <row r="704" ht="16.5" customHeight="1" s="220">
      <c r="A704" s="1" t="n"/>
      <c r="B704" s="1" t="n"/>
      <c r="C704" s="2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  <c r="AR704" s="1" t="n"/>
      <c r="AS704" s="1" t="n"/>
      <c r="AT704" s="1" t="n"/>
      <c r="AU704" s="1" t="n"/>
      <c r="AV704" s="1" t="n"/>
      <c r="AW704" s="1" t="n"/>
      <c r="AX704" s="1" t="n"/>
      <c r="AY704" s="1" t="n"/>
      <c r="AZ704" s="1" t="n"/>
      <c r="BA704" s="1" t="n"/>
    </row>
    <row r="705" ht="16.5" customHeight="1" s="220">
      <c r="A705" s="1" t="n"/>
      <c r="B705" s="1" t="n"/>
      <c r="C705" s="2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  <c r="AR705" s="1" t="n"/>
      <c r="AS705" s="1" t="n"/>
      <c r="AT705" s="1" t="n"/>
      <c r="AU705" s="1" t="n"/>
      <c r="AV705" s="1" t="n"/>
      <c r="AW705" s="1" t="n"/>
      <c r="AX705" s="1" t="n"/>
      <c r="AY705" s="1" t="n"/>
      <c r="AZ705" s="1" t="n"/>
      <c r="BA705" s="1" t="n"/>
    </row>
    <row r="706" ht="16.5" customHeight="1" s="220">
      <c r="A706" s="1" t="n"/>
      <c r="B706" s="1" t="n"/>
      <c r="C706" s="2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Q706" s="1" t="n"/>
      <c r="AR706" s="1" t="n"/>
      <c r="AS706" s="1" t="n"/>
      <c r="AT706" s="1" t="n"/>
      <c r="AU706" s="1" t="n"/>
      <c r="AV706" s="1" t="n"/>
      <c r="AW706" s="1" t="n"/>
      <c r="AX706" s="1" t="n"/>
      <c r="AY706" s="1" t="n"/>
      <c r="AZ706" s="1" t="n"/>
      <c r="BA706" s="1" t="n"/>
    </row>
    <row r="707" ht="16.5" customHeight="1" s="220">
      <c r="A707" s="1" t="n"/>
      <c r="B707" s="1" t="n"/>
      <c r="C707" s="2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  <c r="AR707" s="1" t="n"/>
      <c r="AS707" s="1" t="n"/>
      <c r="AT707" s="1" t="n"/>
      <c r="AU707" s="1" t="n"/>
      <c r="AV707" s="1" t="n"/>
      <c r="AW707" s="1" t="n"/>
      <c r="AX707" s="1" t="n"/>
      <c r="AY707" s="1" t="n"/>
      <c r="AZ707" s="1" t="n"/>
      <c r="BA707" s="1" t="n"/>
    </row>
    <row r="708" ht="16.5" customHeight="1" s="220">
      <c r="A708" s="1" t="n"/>
      <c r="B708" s="1" t="n"/>
      <c r="C708" s="2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  <c r="AR708" s="1" t="n"/>
      <c r="AS708" s="1" t="n"/>
      <c r="AT708" s="1" t="n"/>
      <c r="AU708" s="1" t="n"/>
      <c r="AV708" s="1" t="n"/>
      <c r="AW708" s="1" t="n"/>
      <c r="AX708" s="1" t="n"/>
      <c r="AY708" s="1" t="n"/>
      <c r="AZ708" s="1" t="n"/>
      <c r="BA708" s="1" t="n"/>
    </row>
    <row r="709" ht="16.5" customHeight="1" s="220">
      <c r="A709" s="1" t="n"/>
      <c r="B709" s="1" t="n"/>
      <c r="C709" s="2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  <c r="AR709" s="1" t="n"/>
      <c r="AS709" s="1" t="n"/>
      <c r="AT709" s="1" t="n"/>
      <c r="AU709" s="1" t="n"/>
      <c r="AV709" s="1" t="n"/>
      <c r="AW709" s="1" t="n"/>
      <c r="AX709" s="1" t="n"/>
      <c r="AY709" s="1" t="n"/>
      <c r="AZ709" s="1" t="n"/>
      <c r="BA709" s="1" t="n"/>
    </row>
    <row r="710" ht="16.5" customHeight="1" s="220">
      <c r="A710" s="1" t="n"/>
      <c r="B710" s="1" t="n"/>
      <c r="C710" s="2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  <c r="AR710" s="1" t="n"/>
      <c r="AS710" s="1" t="n"/>
      <c r="AT710" s="1" t="n"/>
      <c r="AU710" s="1" t="n"/>
      <c r="AV710" s="1" t="n"/>
      <c r="AW710" s="1" t="n"/>
      <c r="AX710" s="1" t="n"/>
      <c r="AY710" s="1" t="n"/>
      <c r="AZ710" s="1" t="n"/>
      <c r="BA710" s="1" t="n"/>
    </row>
    <row r="711" ht="16.5" customHeight="1" s="220">
      <c r="A711" s="1" t="n"/>
      <c r="B711" s="1" t="n"/>
      <c r="C711" s="2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  <c r="AR711" s="1" t="n"/>
      <c r="AS711" s="1" t="n"/>
      <c r="AT711" s="1" t="n"/>
      <c r="AU711" s="1" t="n"/>
      <c r="AV711" s="1" t="n"/>
      <c r="AW711" s="1" t="n"/>
      <c r="AX711" s="1" t="n"/>
      <c r="AY711" s="1" t="n"/>
      <c r="AZ711" s="1" t="n"/>
      <c r="BA711" s="1" t="n"/>
    </row>
    <row r="712" ht="16.5" customHeight="1" s="220">
      <c r="A712" s="1" t="n"/>
      <c r="B712" s="1" t="n"/>
      <c r="C712" s="2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  <c r="AR712" s="1" t="n"/>
      <c r="AS712" s="1" t="n"/>
      <c r="AT712" s="1" t="n"/>
      <c r="AU712" s="1" t="n"/>
      <c r="AV712" s="1" t="n"/>
      <c r="AW712" s="1" t="n"/>
      <c r="AX712" s="1" t="n"/>
      <c r="AY712" s="1" t="n"/>
      <c r="AZ712" s="1" t="n"/>
      <c r="BA712" s="1" t="n"/>
    </row>
    <row r="713" ht="16.5" customHeight="1" s="220">
      <c r="A713" s="1" t="n"/>
      <c r="B713" s="1" t="n"/>
      <c r="C713" s="2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  <c r="AR713" s="1" t="n"/>
      <c r="AS713" s="1" t="n"/>
      <c r="AT713" s="1" t="n"/>
      <c r="AU713" s="1" t="n"/>
      <c r="AV713" s="1" t="n"/>
      <c r="AW713" s="1" t="n"/>
      <c r="AX713" s="1" t="n"/>
      <c r="AY713" s="1" t="n"/>
      <c r="AZ713" s="1" t="n"/>
      <c r="BA713" s="1" t="n"/>
    </row>
    <row r="714" ht="16.5" customHeight="1" s="220">
      <c r="A714" s="1" t="n"/>
      <c r="B714" s="1" t="n"/>
      <c r="C714" s="2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  <c r="AR714" s="1" t="n"/>
      <c r="AS714" s="1" t="n"/>
      <c r="AT714" s="1" t="n"/>
      <c r="AU714" s="1" t="n"/>
      <c r="AV714" s="1" t="n"/>
      <c r="AW714" s="1" t="n"/>
      <c r="AX714" s="1" t="n"/>
      <c r="AY714" s="1" t="n"/>
      <c r="AZ714" s="1" t="n"/>
      <c r="BA714" s="1" t="n"/>
    </row>
    <row r="715" ht="16.5" customHeight="1" s="220">
      <c r="A715" s="1" t="n"/>
      <c r="B715" s="1" t="n"/>
      <c r="C715" s="2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  <c r="AR715" s="1" t="n"/>
      <c r="AS715" s="1" t="n"/>
      <c r="AT715" s="1" t="n"/>
      <c r="AU715" s="1" t="n"/>
      <c r="AV715" s="1" t="n"/>
      <c r="AW715" s="1" t="n"/>
      <c r="AX715" s="1" t="n"/>
      <c r="AY715" s="1" t="n"/>
      <c r="AZ715" s="1" t="n"/>
      <c r="BA715" s="1" t="n"/>
    </row>
    <row r="716" ht="16.5" customHeight="1" s="220">
      <c r="A716" s="1" t="n"/>
      <c r="B716" s="1" t="n"/>
      <c r="C716" s="2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  <c r="AR716" s="1" t="n"/>
      <c r="AS716" s="1" t="n"/>
      <c r="AT716" s="1" t="n"/>
      <c r="AU716" s="1" t="n"/>
      <c r="AV716" s="1" t="n"/>
      <c r="AW716" s="1" t="n"/>
      <c r="AX716" s="1" t="n"/>
      <c r="AY716" s="1" t="n"/>
      <c r="AZ716" s="1" t="n"/>
      <c r="BA716" s="1" t="n"/>
    </row>
    <row r="717" ht="16.5" customHeight="1" s="220">
      <c r="A717" s="1" t="n"/>
      <c r="B717" s="1" t="n"/>
      <c r="C717" s="2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  <c r="AR717" s="1" t="n"/>
      <c r="AS717" s="1" t="n"/>
      <c r="AT717" s="1" t="n"/>
      <c r="AU717" s="1" t="n"/>
      <c r="AV717" s="1" t="n"/>
      <c r="AW717" s="1" t="n"/>
      <c r="AX717" s="1" t="n"/>
      <c r="AY717" s="1" t="n"/>
      <c r="AZ717" s="1" t="n"/>
      <c r="BA717" s="1" t="n"/>
    </row>
    <row r="718" ht="16.5" customHeight="1" s="220">
      <c r="A718" s="1" t="n"/>
      <c r="B718" s="1" t="n"/>
      <c r="C718" s="2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  <c r="AR718" s="1" t="n"/>
      <c r="AS718" s="1" t="n"/>
      <c r="AT718" s="1" t="n"/>
      <c r="AU718" s="1" t="n"/>
      <c r="AV718" s="1" t="n"/>
      <c r="AW718" s="1" t="n"/>
      <c r="AX718" s="1" t="n"/>
      <c r="AY718" s="1" t="n"/>
      <c r="AZ718" s="1" t="n"/>
      <c r="BA718" s="1" t="n"/>
    </row>
    <row r="719" ht="16.5" customHeight="1" s="220">
      <c r="A719" s="1" t="n"/>
      <c r="B719" s="1" t="n"/>
      <c r="C719" s="2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  <c r="AR719" s="1" t="n"/>
      <c r="AS719" s="1" t="n"/>
      <c r="AT719" s="1" t="n"/>
      <c r="AU719" s="1" t="n"/>
      <c r="AV719" s="1" t="n"/>
      <c r="AW719" s="1" t="n"/>
      <c r="AX719" s="1" t="n"/>
      <c r="AY719" s="1" t="n"/>
      <c r="AZ719" s="1" t="n"/>
      <c r="BA719" s="1" t="n"/>
    </row>
    <row r="720" ht="16.5" customHeight="1" s="220">
      <c r="A720" s="1" t="n"/>
      <c r="B720" s="1" t="n"/>
      <c r="C720" s="2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  <c r="AR720" s="1" t="n"/>
      <c r="AS720" s="1" t="n"/>
      <c r="AT720" s="1" t="n"/>
      <c r="AU720" s="1" t="n"/>
      <c r="AV720" s="1" t="n"/>
      <c r="AW720" s="1" t="n"/>
      <c r="AX720" s="1" t="n"/>
      <c r="AY720" s="1" t="n"/>
      <c r="AZ720" s="1" t="n"/>
      <c r="BA720" s="1" t="n"/>
    </row>
    <row r="721" ht="16.5" customHeight="1" s="220">
      <c r="A721" s="1" t="n"/>
      <c r="B721" s="1" t="n"/>
      <c r="C721" s="2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  <c r="AR721" s="1" t="n"/>
      <c r="AS721" s="1" t="n"/>
      <c r="AT721" s="1" t="n"/>
      <c r="AU721" s="1" t="n"/>
      <c r="AV721" s="1" t="n"/>
      <c r="AW721" s="1" t="n"/>
      <c r="AX721" s="1" t="n"/>
      <c r="AY721" s="1" t="n"/>
      <c r="AZ721" s="1" t="n"/>
      <c r="BA721" s="1" t="n"/>
    </row>
    <row r="722" ht="16.5" customHeight="1" s="220">
      <c r="A722" s="1" t="n"/>
      <c r="B722" s="1" t="n"/>
      <c r="C722" s="2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  <c r="AR722" s="1" t="n"/>
      <c r="AS722" s="1" t="n"/>
      <c r="AT722" s="1" t="n"/>
      <c r="AU722" s="1" t="n"/>
      <c r="AV722" s="1" t="n"/>
      <c r="AW722" s="1" t="n"/>
      <c r="AX722" s="1" t="n"/>
      <c r="AY722" s="1" t="n"/>
      <c r="AZ722" s="1" t="n"/>
      <c r="BA722" s="1" t="n"/>
    </row>
    <row r="723" ht="16.5" customHeight="1" s="220">
      <c r="A723" s="1" t="n"/>
      <c r="B723" s="1" t="n"/>
      <c r="C723" s="2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  <c r="AR723" s="1" t="n"/>
      <c r="AS723" s="1" t="n"/>
      <c r="AT723" s="1" t="n"/>
      <c r="AU723" s="1" t="n"/>
      <c r="AV723" s="1" t="n"/>
      <c r="AW723" s="1" t="n"/>
      <c r="AX723" s="1" t="n"/>
      <c r="AY723" s="1" t="n"/>
      <c r="AZ723" s="1" t="n"/>
      <c r="BA723" s="1" t="n"/>
    </row>
    <row r="724" ht="16.5" customHeight="1" s="220">
      <c r="A724" s="1" t="n"/>
      <c r="B724" s="1" t="n"/>
      <c r="C724" s="2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  <c r="AR724" s="1" t="n"/>
      <c r="AS724" s="1" t="n"/>
      <c r="AT724" s="1" t="n"/>
      <c r="AU724" s="1" t="n"/>
      <c r="AV724" s="1" t="n"/>
      <c r="AW724" s="1" t="n"/>
      <c r="AX724" s="1" t="n"/>
      <c r="AY724" s="1" t="n"/>
      <c r="AZ724" s="1" t="n"/>
      <c r="BA724" s="1" t="n"/>
    </row>
    <row r="725" ht="16.5" customHeight="1" s="220">
      <c r="A725" s="1" t="n"/>
      <c r="B725" s="1" t="n"/>
      <c r="C725" s="2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  <c r="AR725" s="1" t="n"/>
      <c r="AS725" s="1" t="n"/>
      <c r="AT725" s="1" t="n"/>
      <c r="AU725" s="1" t="n"/>
      <c r="AV725" s="1" t="n"/>
      <c r="AW725" s="1" t="n"/>
      <c r="AX725" s="1" t="n"/>
      <c r="AY725" s="1" t="n"/>
      <c r="AZ725" s="1" t="n"/>
      <c r="BA725" s="1" t="n"/>
    </row>
    <row r="726" ht="16.5" customHeight="1" s="220">
      <c r="A726" s="1" t="n"/>
      <c r="B726" s="1" t="n"/>
      <c r="C726" s="2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  <c r="AR726" s="1" t="n"/>
      <c r="AS726" s="1" t="n"/>
      <c r="AT726" s="1" t="n"/>
      <c r="AU726" s="1" t="n"/>
      <c r="AV726" s="1" t="n"/>
      <c r="AW726" s="1" t="n"/>
      <c r="AX726" s="1" t="n"/>
      <c r="AY726" s="1" t="n"/>
      <c r="AZ726" s="1" t="n"/>
      <c r="BA726" s="1" t="n"/>
    </row>
    <row r="727" ht="16.5" customHeight="1" s="220">
      <c r="A727" s="1" t="n"/>
      <c r="B727" s="1" t="n"/>
      <c r="C727" s="2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  <c r="AR727" s="1" t="n"/>
      <c r="AS727" s="1" t="n"/>
      <c r="AT727" s="1" t="n"/>
      <c r="AU727" s="1" t="n"/>
      <c r="AV727" s="1" t="n"/>
      <c r="AW727" s="1" t="n"/>
      <c r="AX727" s="1" t="n"/>
      <c r="AY727" s="1" t="n"/>
      <c r="AZ727" s="1" t="n"/>
      <c r="BA727" s="1" t="n"/>
    </row>
    <row r="728" ht="16.5" customHeight="1" s="220">
      <c r="A728" s="1" t="n"/>
      <c r="B728" s="1" t="n"/>
      <c r="C728" s="2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  <c r="AR728" s="1" t="n"/>
      <c r="AS728" s="1" t="n"/>
      <c r="AT728" s="1" t="n"/>
      <c r="AU728" s="1" t="n"/>
      <c r="AV728" s="1" t="n"/>
      <c r="AW728" s="1" t="n"/>
      <c r="AX728" s="1" t="n"/>
      <c r="AY728" s="1" t="n"/>
      <c r="AZ728" s="1" t="n"/>
      <c r="BA728" s="1" t="n"/>
    </row>
    <row r="729" ht="16.5" customHeight="1" s="220">
      <c r="A729" s="1" t="n"/>
      <c r="B729" s="1" t="n"/>
      <c r="C729" s="2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  <c r="AR729" s="1" t="n"/>
      <c r="AS729" s="1" t="n"/>
      <c r="AT729" s="1" t="n"/>
      <c r="AU729" s="1" t="n"/>
      <c r="AV729" s="1" t="n"/>
      <c r="AW729" s="1" t="n"/>
      <c r="AX729" s="1" t="n"/>
      <c r="AY729" s="1" t="n"/>
      <c r="AZ729" s="1" t="n"/>
      <c r="BA729" s="1" t="n"/>
    </row>
    <row r="730" ht="16.5" customHeight="1" s="220">
      <c r="A730" s="1" t="n"/>
      <c r="B730" s="1" t="n"/>
      <c r="C730" s="2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  <c r="AR730" s="1" t="n"/>
      <c r="AS730" s="1" t="n"/>
      <c r="AT730" s="1" t="n"/>
      <c r="AU730" s="1" t="n"/>
      <c r="AV730" s="1" t="n"/>
      <c r="AW730" s="1" t="n"/>
      <c r="AX730" s="1" t="n"/>
      <c r="AY730" s="1" t="n"/>
      <c r="AZ730" s="1" t="n"/>
      <c r="BA730" s="1" t="n"/>
    </row>
    <row r="731" ht="16.5" customHeight="1" s="220">
      <c r="A731" s="1" t="n"/>
      <c r="B731" s="1" t="n"/>
      <c r="C731" s="2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  <c r="AR731" s="1" t="n"/>
      <c r="AS731" s="1" t="n"/>
      <c r="AT731" s="1" t="n"/>
      <c r="AU731" s="1" t="n"/>
      <c r="AV731" s="1" t="n"/>
      <c r="AW731" s="1" t="n"/>
      <c r="AX731" s="1" t="n"/>
      <c r="AY731" s="1" t="n"/>
      <c r="AZ731" s="1" t="n"/>
      <c r="BA731" s="1" t="n"/>
    </row>
    <row r="732" ht="16.5" customHeight="1" s="220">
      <c r="A732" s="1" t="n"/>
      <c r="B732" s="1" t="n"/>
      <c r="C732" s="2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Q732" s="1" t="n"/>
      <c r="AR732" s="1" t="n"/>
      <c r="AS732" s="1" t="n"/>
      <c r="AT732" s="1" t="n"/>
      <c r="AU732" s="1" t="n"/>
      <c r="AV732" s="1" t="n"/>
      <c r="AW732" s="1" t="n"/>
      <c r="AX732" s="1" t="n"/>
      <c r="AY732" s="1" t="n"/>
      <c r="AZ732" s="1" t="n"/>
      <c r="BA732" s="1" t="n"/>
    </row>
    <row r="733" ht="16.5" customHeight="1" s="220">
      <c r="A733" s="1" t="n"/>
      <c r="B733" s="1" t="n"/>
      <c r="C733" s="2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  <c r="AR733" s="1" t="n"/>
      <c r="AS733" s="1" t="n"/>
      <c r="AT733" s="1" t="n"/>
      <c r="AU733" s="1" t="n"/>
      <c r="AV733" s="1" t="n"/>
      <c r="AW733" s="1" t="n"/>
      <c r="AX733" s="1" t="n"/>
      <c r="AY733" s="1" t="n"/>
      <c r="AZ733" s="1" t="n"/>
      <c r="BA733" s="1" t="n"/>
    </row>
    <row r="734" ht="16.5" customHeight="1" s="220">
      <c r="A734" s="1" t="n"/>
      <c r="B734" s="1" t="n"/>
      <c r="C734" s="2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  <c r="AR734" s="1" t="n"/>
      <c r="AS734" s="1" t="n"/>
      <c r="AT734" s="1" t="n"/>
      <c r="AU734" s="1" t="n"/>
      <c r="AV734" s="1" t="n"/>
      <c r="AW734" s="1" t="n"/>
      <c r="AX734" s="1" t="n"/>
      <c r="AY734" s="1" t="n"/>
      <c r="AZ734" s="1" t="n"/>
      <c r="BA734" s="1" t="n"/>
    </row>
    <row r="735" ht="16.5" customHeight="1" s="220">
      <c r="A735" s="1" t="n"/>
      <c r="B735" s="1" t="n"/>
      <c r="C735" s="2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  <c r="AR735" s="1" t="n"/>
      <c r="AS735" s="1" t="n"/>
      <c r="AT735" s="1" t="n"/>
      <c r="AU735" s="1" t="n"/>
      <c r="AV735" s="1" t="n"/>
      <c r="AW735" s="1" t="n"/>
      <c r="AX735" s="1" t="n"/>
      <c r="AY735" s="1" t="n"/>
      <c r="AZ735" s="1" t="n"/>
      <c r="BA735" s="1" t="n"/>
    </row>
    <row r="736" ht="16.5" customHeight="1" s="220">
      <c r="A736" s="1" t="n"/>
      <c r="B736" s="1" t="n"/>
      <c r="C736" s="2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  <c r="AR736" s="1" t="n"/>
      <c r="AS736" s="1" t="n"/>
      <c r="AT736" s="1" t="n"/>
      <c r="AU736" s="1" t="n"/>
      <c r="AV736" s="1" t="n"/>
      <c r="AW736" s="1" t="n"/>
      <c r="AX736" s="1" t="n"/>
      <c r="AY736" s="1" t="n"/>
      <c r="AZ736" s="1" t="n"/>
      <c r="BA736" s="1" t="n"/>
    </row>
    <row r="737" ht="16.5" customHeight="1" s="220">
      <c r="A737" s="1" t="n"/>
      <c r="B737" s="1" t="n"/>
      <c r="C737" s="2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  <c r="AR737" s="1" t="n"/>
      <c r="AS737" s="1" t="n"/>
      <c r="AT737" s="1" t="n"/>
      <c r="AU737" s="1" t="n"/>
      <c r="AV737" s="1" t="n"/>
      <c r="AW737" s="1" t="n"/>
      <c r="AX737" s="1" t="n"/>
      <c r="AY737" s="1" t="n"/>
      <c r="AZ737" s="1" t="n"/>
      <c r="BA737" s="1" t="n"/>
    </row>
    <row r="738" ht="16.5" customHeight="1" s="220">
      <c r="A738" s="1" t="n"/>
      <c r="B738" s="1" t="n"/>
      <c r="C738" s="2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  <c r="AR738" s="1" t="n"/>
      <c r="AS738" s="1" t="n"/>
      <c r="AT738" s="1" t="n"/>
      <c r="AU738" s="1" t="n"/>
      <c r="AV738" s="1" t="n"/>
      <c r="AW738" s="1" t="n"/>
      <c r="AX738" s="1" t="n"/>
      <c r="AY738" s="1" t="n"/>
      <c r="AZ738" s="1" t="n"/>
      <c r="BA738" s="1" t="n"/>
    </row>
    <row r="739" ht="16.5" customHeight="1" s="220">
      <c r="A739" s="1" t="n"/>
      <c r="B739" s="1" t="n"/>
      <c r="C739" s="2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  <c r="AR739" s="1" t="n"/>
      <c r="AS739" s="1" t="n"/>
      <c r="AT739" s="1" t="n"/>
      <c r="AU739" s="1" t="n"/>
      <c r="AV739" s="1" t="n"/>
      <c r="AW739" s="1" t="n"/>
      <c r="AX739" s="1" t="n"/>
      <c r="AY739" s="1" t="n"/>
      <c r="AZ739" s="1" t="n"/>
      <c r="BA739" s="1" t="n"/>
    </row>
    <row r="740" ht="16.5" customHeight="1" s="220">
      <c r="A740" s="1" t="n"/>
      <c r="B740" s="1" t="n"/>
      <c r="C740" s="2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  <c r="AR740" s="1" t="n"/>
      <c r="AS740" s="1" t="n"/>
      <c r="AT740" s="1" t="n"/>
      <c r="AU740" s="1" t="n"/>
      <c r="AV740" s="1" t="n"/>
      <c r="AW740" s="1" t="n"/>
      <c r="AX740" s="1" t="n"/>
      <c r="AY740" s="1" t="n"/>
      <c r="AZ740" s="1" t="n"/>
      <c r="BA740" s="1" t="n"/>
    </row>
    <row r="741" ht="16.5" customHeight="1" s="220">
      <c r="A741" s="1" t="n"/>
      <c r="B741" s="1" t="n"/>
      <c r="C741" s="2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  <c r="AR741" s="1" t="n"/>
      <c r="AS741" s="1" t="n"/>
      <c r="AT741" s="1" t="n"/>
      <c r="AU741" s="1" t="n"/>
      <c r="AV741" s="1" t="n"/>
      <c r="AW741" s="1" t="n"/>
      <c r="AX741" s="1" t="n"/>
      <c r="AY741" s="1" t="n"/>
      <c r="AZ741" s="1" t="n"/>
      <c r="BA741" s="1" t="n"/>
    </row>
    <row r="742" ht="16.5" customHeight="1" s="220">
      <c r="A742" s="1" t="n"/>
      <c r="B742" s="1" t="n"/>
      <c r="C742" s="2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  <c r="AR742" s="1" t="n"/>
      <c r="AS742" s="1" t="n"/>
      <c r="AT742" s="1" t="n"/>
      <c r="AU742" s="1" t="n"/>
      <c r="AV742" s="1" t="n"/>
      <c r="AW742" s="1" t="n"/>
      <c r="AX742" s="1" t="n"/>
      <c r="AY742" s="1" t="n"/>
      <c r="AZ742" s="1" t="n"/>
      <c r="BA742" s="1" t="n"/>
    </row>
    <row r="743" ht="16.5" customHeight="1" s="220">
      <c r="A743" s="1" t="n"/>
      <c r="B743" s="1" t="n"/>
      <c r="C743" s="2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  <c r="AR743" s="1" t="n"/>
      <c r="AS743" s="1" t="n"/>
      <c r="AT743" s="1" t="n"/>
      <c r="AU743" s="1" t="n"/>
      <c r="AV743" s="1" t="n"/>
      <c r="AW743" s="1" t="n"/>
      <c r="AX743" s="1" t="n"/>
      <c r="AY743" s="1" t="n"/>
      <c r="AZ743" s="1" t="n"/>
      <c r="BA743" s="1" t="n"/>
    </row>
    <row r="744" ht="16.5" customHeight="1" s="220">
      <c r="A744" s="1" t="n"/>
      <c r="B744" s="1" t="n"/>
      <c r="C744" s="2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  <c r="AR744" s="1" t="n"/>
      <c r="AS744" s="1" t="n"/>
      <c r="AT744" s="1" t="n"/>
      <c r="AU744" s="1" t="n"/>
      <c r="AV744" s="1" t="n"/>
      <c r="AW744" s="1" t="n"/>
      <c r="AX744" s="1" t="n"/>
      <c r="AY744" s="1" t="n"/>
      <c r="AZ744" s="1" t="n"/>
      <c r="BA744" s="1" t="n"/>
    </row>
    <row r="745" ht="16.5" customHeight="1" s="220">
      <c r="A745" s="1" t="n"/>
      <c r="B745" s="1" t="n"/>
      <c r="C745" s="2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  <c r="AR745" s="1" t="n"/>
      <c r="AS745" s="1" t="n"/>
      <c r="AT745" s="1" t="n"/>
      <c r="AU745" s="1" t="n"/>
      <c r="AV745" s="1" t="n"/>
      <c r="AW745" s="1" t="n"/>
      <c r="AX745" s="1" t="n"/>
      <c r="AY745" s="1" t="n"/>
      <c r="AZ745" s="1" t="n"/>
      <c r="BA745" s="1" t="n"/>
    </row>
    <row r="746" ht="16.5" customHeight="1" s="220">
      <c r="A746" s="1" t="n"/>
      <c r="B746" s="1" t="n"/>
      <c r="C746" s="2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  <c r="AR746" s="1" t="n"/>
      <c r="AS746" s="1" t="n"/>
      <c r="AT746" s="1" t="n"/>
      <c r="AU746" s="1" t="n"/>
      <c r="AV746" s="1" t="n"/>
      <c r="AW746" s="1" t="n"/>
      <c r="AX746" s="1" t="n"/>
      <c r="AY746" s="1" t="n"/>
      <c r="AZ746" s="1" t="n"/>
      <c r="BA746" s="1" t="n"/>
    </row>
    <row r="747" ht="16.5" customHeight="1" s="220">
      <c r="A747" s="1" t="n"/>
      <c r="B747" s="1" t="n"/>
      <c r="C747" s="2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  <c r="AR747" s="1" t="n"/>
      <c r="AS747" s="1" t="n"/>
      <c r="AT747" s="1" t="n"/>
      <c r="AU747" s="1" t="n"/>
      <c r="AV747" s="1" t="n"/>
      <c r="AW747" s="1" t="n"/>
      <c r="AX747" s="1" t="n"/>
      <c r="AY747" s="1" t="n"/>
      <c r="AZ747" s="1" t="n"/>
      <c r="BA747" s="1" t="n"/>
    </row>
    <row r="748" ht="16.5" customHeight="1" s="220">
      <c r="A748" s="1" t="n"/>
      <c r="B748" s="1" t="n"/>
      <c r="C748" s="2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  <c r="AR748" s="1" t="n"/>
      <c r="AS748" s="1" t="n"/>
      <c r="AT748" s="1" t="n"/>
      <c r="AU748" s="1" t="n"/>
      <c r="AV748" s="1" t="n"/>
      <c r="AW748" s="1" t="n"/>
      <c r="AX748" s="1" t="n"/>
      <c r="AY748" s="1" t="n"/>
      <c r="AZ748" s="1" t="n"/>
      <c r="BA748" s="1" t="n"/>
    </row>
    <row r="749" ht="16.5" customHeight="1" s="220">
      <c r="A749" s="1" t="n"/>
      <c r="B749" s="1" t="n"/>
      <c r="C749" s="2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  <c r="AR749" s="1" t="n"/>
      <c r="AS749" s="1" t="n"/>
      <c r="AT749" s="1" t="n"/>
      <c r="AU749" s="1" t="n"/>
      <c r="AV749" s="1" t="n"/>
      <c r="AW749" s="1" t="n"/>
      <c r="AX749" s="1" t="n"/>
      <c r="AY749" s="1" t="n"/>
      <c r="AZ749" s="1" t="n"/>
      <c r="BA749" s="1" t="n"/>
    </row>
    <row r="750" ht="16.5" customHeight="1" s="220">
      <c r="A750" s="1" t="n"/>
      <c r="B750" s="1" t="n"/>
      <c r="C750" s="2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  <c r="AR750" s="1" t="n"/>
      <c r="AS750" s="1" t="n"/>
      <c r="AT750" s="1" t="n"/>
      <c r="AU750" s="1" t="n"/>
      <c r="AV750" s="1" t="n"/>
      <c r="AW750" s="1" t="n"/>
      <c r="AX750" s="1" t="n"/>
      <c r="AY750" s="1" t="n"/>
      <c r="AZ750" s="1" t="n"/>
      <c r="BA750" s="1" t="n"/>
    </row>
    <row r="751" ht="16.5" customHeight="1" s="220">
      <c r="A751" s="1" t="n"/>
      <c r="B751" s="1" t="n"/>
      <c r="C751" s="2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  <c r="AR751" s="1" t="n"/>
      <c r="AS751" s="1" t="n"/>
      <c r="AT751" s="1" t="n"/>
      <c r="AU751" s="1" t="n"/>
      <c r="AV751" s="1" t="n"/>
      <c r="AW751" s="1" t="n"/>
      <c r="AX751" s="1" t="n"/>
      <c r="AY751" s="1" t="n"/>
      <c r="AZ751" s="1" t="n"/>
      <c r="BA751" s="1" t="n"/>
    </row>
    <row r="752" ht="16.5" customHeight="1" s="220">
      <c r="A752" s="1" t="n"/>
      <c r="B752" s="1" t="n"/>
      <c r="C752" s="2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  <c r="AR752" s="1" t="n"/>
      <c r="AS752" s="1" t="n"/>
      <c r="AT752" s="1" t="n"/>
      <c r="AU752" s="1" t="n"/>
      <c r="AV752" s="1" t="n"/>
      <c r="AW752" s="1" t="n"/>
      <c r="AX752" s="1" t="n"/>
      <c r="AY752" s="1" t="n"/>
      <c r="AZ752" s="1" t="n"/>
      <c r="BA752" s="1" t="n"/>
    </row>
    <row r="753" ht="16.5" customHeight="1" s="220">
      <c r="A753" s="1" t="n"/>
      <c r="B753" s="1" t="n"/>
      <c r="C753" s="2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  <c r="AR753" s="1" t="n"/>
      <c r="AS753" s="1" t="n"/>
      <c r="AT753" s="1" t="n"/>
      <c r="AU753" s="1" t="n"/>
      <c r="AV753" s="1" t="n"/>
      <c r="AW753" s="1" t="n"/>
      <c r="AX753" s="1" t="n"/>
      <c r="AY753" s="1" t="n"/>
      <c r="AZ753" s="1" t="n"/>
      <c r="BA753" s="1" t="n"/>
    </row>
    <row r="754" ht="16.5" customHeight="1" s="220">
      <c r="A754" s="1" t="n"/>
      <c r="B754" s="1" t="n"/>
      <c r="C754" s="2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  <c r="AR754" s="1" t="n"/>
      <c r="AS754" s="1" t="n"/>
      <c r="AT754" s="1" t="n"/>
      <c r="AU754" s="1" t="n"/>
      <c r="AV754" s="1" t="n"/>
      <c r="AW754" s="1" t="n"/>
      <c r="AX754" s="1" t="n"/>
      <c r="AY754" s="1" t="n"/>
      <c r="AZ754" s="1" t="n"/>
      <c r="BA754" s="1" t="n"/>
    </row>
    <row r="755" ht="16.5" customHeight="1" s="220">
      <c r="A755" s="1" t="n"/>
      <c r="B755" s="1" t="n"/>
      <c r="C755" s="2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  <c r="AR755" s="1" t="n"/>
      <c r="AS755" s="1" t="n"/>
      <c r="AT755" s="1" t="n"/>
      <c r="AU755" s="1" t="n"/>
      <c r="AV755" s="1" t="n"/>
      <c r="AW755" s="1" t="n"/>
      <c r="AX755" s="1" t="n"/>
      <c r="AY755" s="1" t="n"/>
      <c r="AZ755" s="1" t="n"/>
      <c r="BA755" s="1" t="n"/>
    </row>
    <row r="756" ht="16.5" customHeight="1" s="220">
      <c r="A756" s="1" t="n"/>
      <c r="B756" s="1" t="n"/>
      <c r="C756" s="2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  <c r="AR756" s="1" t="n"/>
      <c r="AS756" s="1" t="n"/>
      <c r="AT756" s="1" t="n"/>
      <c r="AU756" s="1" t="n"/>
      <c r="AV756" s="1" t="n"/>
      <c r="AW756" s="1" t="n"/>
      <c r="AX756" s="1" t="n"/>
      <c r="AY756" s="1" t="n"/>
      <c r="AZ756" s="1" t="n"/>
      <c r="BA756" s="1" t="n"/>
    </row>
    <row r="757" ht="16.5" customHeight="1" s="220">
      <c r="A757" s="1" t="n"/>
      <c r="B757" s="1" t="n"/>
      <c r="C757" s="2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  <c r="AR757" s="1" t="n"/>
      <c r="AS757" s="1" t="n"/>
      <c r="AT757" s="1" t="n"/>
      <c r="AU757" s="1" t="n"/>
      <c r="AV757" s="1" t="n"/>
      <c r="AW757" s="1" t="n"/>
      <c r="AX757" s="1" t="n"/>
      <c r="AY757" s="1" t="n"/>
      <c r="AZ757" s="1" t="n"/>
      <c r="BA757" s="1" t="n"/>
    </row>
    <row r="758" ht="16.5" customHeight="1" s="220">
      <c r="A758" s="1" t="n"/>
      <c r="B758" s="1" t="n"/>
      <c r="C758" s="2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  <c r="AR758" s="1" t="n"/>
      <c r="AS758" s="1" t="n"/>
      <c r="AT758" s="1" t="n"/>
      <c r="AU758" s="1" t="n"/>
      <c r="AV758" s="1" t="n"/>
      <c r="AW758" s="1" t="n"/>
      <c r="AX758" s="1" t="n"/>
      <c r="AY758" s="1" t="n"/>
      <c r="AZ758" s="1" t="n"/>
      <c r="BA758" s="1" t="n"/>
    </row>
    <row r="759" ht="16.5" customHeight="1" s="220">
      <c r="A759" s="1" t="n"/>
      <c r="B759" s="1" t="n"/>
      <c r="C759" s="2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  <c r="AR759" s="1" t="n"/>
      <c r="AS759" s="1" t="n"/>
      <c r="AT759" s="1" t="n"/>
      <c r="AU759" s="1" t="n"/>
      <c r="AV759" s="1" t="n"/>
      <c r="AW759" s="1" t="n"/>
      <c r="AX759" s="1" t="n"/>
      <c r="AY759" s="1" t="n"/>
      <c r="AZ759" s="1" t="n"/>
      <c r="BA759" s="1" t="n"/>
    </row>
    <row r="760" ht="16.5" customHeight="1" s="220">
      <c r="A760" s="1" t="n"/>
      <c r="B760" s="1" t="n"/>
      <c r="C760" s="2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  <c r="AR760" s="1" t="n"/>
      <c r="AS760" s="1" t="n"/>
      <c r="AT760" s="1" t="n"/>
      <c r="AU760" s="1" t="n"/>
      <c r="AV760" s="1" t="n"/>
      <c r="AW760" s="1" t="n"/>
      <c r="AX760" s="1" t="n"/>
      <c r="AY760" s="1" t="n"/>
      <c r="AZ760" s="1" t="n"/>
      <c r="BA760" s="1" t="n"/>
    </row>
    <row r="761" ht="16.5" customHeight="1" s="220">
      <c r="A761" s="1" t="n"/>
      <c r="B761" s="1" t="n"/>
      <c r="C761" s="2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  <c r="AR761" s="1" t="n"/>
      <c r="AS761" s="1" t="n"/>
      <c r="AT761" s="1" t="n"/>
      <c r="AU761" s="1" t="n"/>
      <c r="AV761" s="1" t="n"/>
      <c r="AW761" s="1" t="n"/>
      <c r="AX761" s="1" t="n"/>
      <c r="AY761" s="1" t="n"/>
      <c r="AZ761" s="1" t="n"/>
      <c r="BA761" s="1" t="n"/>
    </row>
    <row r="762" ht="16.5" customHeight="1" s="220">
      <c r="A762" s="1" t="n"/>
      <c r="B762" s="1" t="n"/>
      <c r="C762" s="2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  <c r="AR762" s="1" t="n"/>
      <c r="AS762" s="1" t="n"/>
      <c r="AT762" s="1" t="n"/>
      <c r="AU762" s="1" t="n"/>
      <c r="AV762" s="1" t="n"/>
      <c r="AW762" s="1" t="n"/>
      <c r="AX762" s="1" t="n"/>
      <c r="AY762" s="1" t="n"/>
      <c r="AZ762" s="1" t="n"/>
      <c r="BA762" s="1" t="n"/>
    </row>
    <row r="763" ht="16.5" customHeight="1" s="220">
      <c r="A763" s="1" t="n"/>
      <c r="B763" s="1" t="n"/>
      <c r="C763" s="2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  <c r="AR763" s="1" t="n"/>
      <c r="AS763" s="1" t="n"/>
      <c r="AT763" s="1" t="n"/>
      <c r="AU763" s="1" t="n"/>
      <c r="AV763" s="1" t="n"/>
      <c r="AW763" s="1" t="n"/>
      <c r="AX763" s="1" t="n"/>
      <c r="AY763" s="1" t="n"/>
      <c r="AZ763" s="1" t="n"/>
      <c r="BA763" s="1" t="n"/>
    </row>
    <row r="764" ht="16.5" customHeight="1" s="220">
      <c r="A764" s="1" t="n"/>
      <c r="B764" s="1" t="n"/>
      <c r="C764" s="2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  <c r="AR764" s="1" t="n"/>
      <c r="AS764" s="1" t="n"/>
      <c r="AT764" s="1" t="n"/>
      <c r="AU764" s="1" t="n"/>
      <c r="AV764" s="1" t="n"/>
      <c r="AW764" s="1" t="n"/>
      <c r="AX764" s="1" t="n"/>
      <c r="AY764" s="1" t="n"/>
      <c r="AZ764" s="1" t="n"/>
      <c r="BA764" s="1" t="n"/>
    </row>
    <row r="765" ht="16.5" customHeight="1" s="220">
      <c r="A765" s="1" t="n"/>
      <c r="B765" s="1" t="n"/>
      <c r="C765" s="2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  <c r="AR765" s="1" t="n"/>
      <c r="AS765" s="1" t="n"/>
      <c r="AT765" s="1" t="n"/>
      <c r="AU765" s="1" t="n"/>
      <c r="AV765" s="1" t="n"/>
      <c r="AW765" s="1" t="n"/>
      <c r="AX765" s="1" t="n"/>
      <c r="AY765" s="1" t="n"/>
      <c r="AZ765" s="1" t="n"/>
      <c r="BA765" s="1" t="n"/>
    </row>
    <row r="766" ht="16.5" customHeight="1" s="220">
      <c r="A766" s="1" t="n"/>
      <c r="B766" s="1" t="n"/>
      <c r="C766" s="2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  <c r="AR766" s="1" t="n"/>
      <c r="AS766" s="1" t="n"/>
      <c r="AT766" s="1" t="n"/>
      <c r="AU766" s="1" t="n"/>
      <c r="AV766" s="1" t="n"/>
      <c r="AW766" s="1" t="n"/>
      <c r="AX766" s="1" t="n"/>
      <c r="AY766" s="1" t="n"/>
      <c r="AZ766" s="1" t="n"/>
      <c r="BA766" s="1" t="n"/>
    </row>
    <row r="767" ht="16.5" customHeight="1" s="220">
      <c r="A767" s="1" t="n"/>
      <c r="B767" s="1" t="n"/>
      <c r="C767" s="2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  <c r="AR767" s="1" t="n"/>
      <c r="AS767" s="1" t="n"/>
      <c r="AT767" s="1" t="n"/>
      <c r="AU767" s="1" t="n"/>
      <c r="AV767" s="1" t="n"/>
      <c r="AW767" s="1" t="n"/>
      <c r="AX767" s="1" t="n"/>
      <c r="AY767" s="1" t="n"/>
      <c r="AZ767" s="1" t="n"/>
      <c r="BA767" s="1" t="n"/>
    </row>
    <row r="768" ht="16.5" customHeight="1" s="220">
      <c r="A768" s="1" t="n"/>
      <c r="B768" s="1" t="n"/>
      <c r="C768" s="2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  <c r="AR768" s="1" t="n"/>
      <c r="AS768" s="1" t="n"/>
      <c r="AT768" s="1" t="n"/>
      <c r="AU768" s="1" t="n"/>
      <c r="AV768" s="1" t="n"/>
      <c r="AW768" s="1" t="n"/>
      <c r="AX768" s="1" t="n"/>
      <c r="AY768" s="1" t="n"/>
      <c r="AZ768" s="1" t="n"/>
      <c r="BA768" s="1" t="n"/>
    </row>
    <row r="769" ht="16.5" customHeight="1" s="220">
      <c r="A769" s="1" t="n"/>
      <c r="B769" s="1" t="n"/>
      <c r="C769" s="2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  <c r="AR769" s="1" t="n"/>
      <c r="AS769" s="1" t="n"/>
      <c r="AT769" s="1" t="n"/>
      <c r="AU769" s="1" t="n"/>
      <c r="AV769" s="1" t="n"/>
      <c r="AW769" s="1" t="n"/>
      <c r="AX769" s="1" t="n"/>
      <c r="AY769" s="1" t="n"/>
      <c r="AZ769" s="1" t="n"/>
      <c r="BA769" s="1" t="n"/>
    </row>
    <row r="770" ht="16.5" customHeight="1" s="220">
      <c r="A770" s="1" t="n"/>
      <c r="B770" s="1" t="n"/>
      <c r="C770" s="2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  <c r="AR770" s="1" t="n"/>
      <c r="AS770" s="1" t="n"/>
      <c r="AT770" s="1" t="n"/>
      <c r="AU770" s="1" t="n"/>
      <c r="AV770" s="1" t="n"/>
      <c r="AW770" s="1" t="n"/>
      <c r="AX770" s="1" t="n"/>
      <c r="AY770" s="1" t="n"/>
      <c r="AZ770" s="1" t="n"/>
      <c r="BA770" s="1" t="n"/>
    </row>
    <row r="771" ht="16.5" customHeight="1" s="220">
      <c r="A771" s="1" t="n"/>
      <c r="B771" s="1" t="n"/>
      <c r="C771" s="2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  <c r="AR771" s="1" t="n"/>
      <c r="AS771" s="1" t="n"/>
      <c r="AT771" s="1" t="n"/>
      <c r="AU771" s="1" t="n"/>
      <c r="AV771" s="1" t="n"/>
      <c r="AW771" s="1" t="n"/>
      <c r="AX771" s="1" t="n"/>
      <c r="AY771" s="1" t="n"/>
      <c r="AZ771" s="1" t="n"/>
      <c r="BA771" s="1" t="n"/>
    </row>
    <row r="772" ht="16.5" customHeight="1" s="220">
      <c r="A772" s="1" t="n"/>
      <c r="B772" s="1" t="n"/>
      <c r="C772" s="2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  <c r="AR772" s="1" t="n"/>
      <c r="AS772" s="1" t="n"/>
      <c r="AT772" s="1" t="n"/>
      <c r="AU772" s="1" t="n"/>
      <c r="AV772" s="1" t="n"/>
      <c r="AW772" s="1" t="n"/>
      <c r="AX772" s="1" t="n"/>
      <c r="AY772" s="1" t="n"/>
      <c r="AZ772" s="1" t="n"/>
      <c r="BA772" s="1" t="n"/>
    </row>
    <row r="773" ht="16.5" customHeight="1" s="220">
      <c r="A773" s="1" t="n"/>
      <c r="B773" s="1" t="n"/>
      <c r="C773" s="2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  <c r="AR773" s="1" t="n"/>
      <c r="AS773" s="1" t="n"/>
      <c r="AT773" s="1" t="n"/>
      <c r="AU773" s="1" t="n"/>
      <c r="AV773" s="1" t="n"/>
      <c r="AW773" s="1" t="n"/>
      <c r="AX773" s="1" t="n"/>
      <c r="AY773" s="1" t="n"/>
      <c r="AZ773" s="1" t="n"/>
      <c r="BA773" s="1" t="n"/>
    </row>
    <row r="774" ht="16.5" customHeight="1" s="220">
      <c r="A774" s="1" t="n"/>
      <c r="B774" s="1" t="n"/>
      <c r="C774" s="2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  <c r="AR774" s="1" t="n"/>
      <c r="AS774" s="1" t="n"/>
      <c r="AT774" s="1" t="n"/>
      <c r="AU774" s="1" t="n"/>
      <c r="AV774" s="1" t="n"/>
      <c r="AW774" s="1" t="n"/>
      <c r="AX774" s="1" t="n"/>
      <c r="AY774" s="1" t="n"/>
      <c r="AZ774" s="1" t="n"/>
      <c r="BA774" s="1" t="n"/>
    </row>
    <row r="775" ht="16.5" customHeight="1" s="220">
      <c r="A775" s="1" t="n"/>
      <c r="B775" s="1" t="n"/>
      <c r="C775" s="2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  <c r="AR775" s="1" t="n"/>
      <c r="AS775" s="1" t="n"/>
      <c r="AT775" s="1" t="n"/>
      <c r="AU775" s="1" t="n"/>
      <c r="AV775" s="1" t="n"/>
      <c r="AW775" s="1" t="n"/>
      <c r="AX775" s="1" t="n"/>
      <c r="AY775" s="1" t="n"/>
      <c r="AZ775" s="1" t="n"/>
      <c r="BA775" s="1" t="n"/>
    </row>
    <row r="776" ht="16.5" customHeight="1" s="220">
      <c r="A776" s="1" t="n"/>
      <c r="B776" s="1" t="n"/>
      <c r="C776" s="2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  <c r="AR776" s="1" t="n"/>
      <c r="AS776" s="1" t="n"/>
      <c r="AT776" s="1" t="n"/>
      <c r="AU776" s="1" t="n"/>
      <c r="AV776" s="1" t="n"/>
      <c r="AW776" s="1" t="n"/>
      <c r="AX776" s="1" t="n"/>
      <c r="AY776" s="1" t="n"/>
      <c r="AZ776" s="1" t="n"/>
      <c r="BA776" s="1" t="n"/>
    </row>
    <row r="777" ht="16.5" customHeight="1" s="220">
      <c r="A777" s="1" t="n"/>
      <c r="B777" s="1" t="n"/>
      <c r="C777" s="2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  <c r="AR777" s="1" t="n"/>
      <c r="AS777" s="1" t="n"/>
      <c r="AT777" s="1" t="n"/>
      <c r="AU777" s="1" t="n"/>
      <c r="AV777" s="1" t="n"/>
      <c r="AW777" s="1" t="n"/>
      <c r="AX777" s="1" t="n"/>
      <c r="AY777" s="1" t="n"/>
      <c r="AZ777" s="1" t="n"/>
      <c r="BA777" s="1" t="n"/>
    </row>
    <row r="778" ht="16.5" customHeight="1" s="220">
      <c r="A778" s="1" t="n"/>
      <c r="B778" s="1" t="n"/>
      <c r="C778" s="2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Q778" s="1" t="n"/>
      <c r="AR778" s="1" t="n"/>
      <c r="AS778" s="1" t="n"/>
      <c r="AT778" s="1" t="n"/>
      <c r="AU778" s="1" t="n"/>
      <c r="AV778" s="1" t="n"/>
      <c r="AW778" s="1" t="n"/>
      <c r="AX778" s="1" t="n"/>
      <c r="AY778" s="1" t="n"/>
      <c r="AZ778" s="1" t="n"/>
      <c r="BA778" s="1" t="n"/>
    </row>
    <row r="779" ht="16.5" customHeight="1" s="220">
      <c r="A779" s="1" t="n"/>
      <c r="B779" s="1" t="n"/>
      <c r="C779" s="2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  <c r="AR779" s="1" t="n"/>
      <c r="AS779" s="1" t="n"/>
      <c r="AT779" s="1" t="n"/>
      <c r="AU779" s="1" t="n"/>
      <c r="AV779" s="1" t="n"/>
      <c r="AW779" s="1" t="n"/>
      <c r="AX779" s="1" t="n"/>
      <c r="AY779" s="1" t="n"/>
      <c r="AZ779" s="1" t="n"/>
      <c r="BA779" s="1" t="n"/>
    </row>
    <row r="780" ht="16.5" customHeight="1" s="220">
      <c r="A780" s="1" t="n"/>
      <c r="B780" s="1" t="n"/>
      <c r="C780" s="2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  <c r="AR780" s="1" t="n"/>
      <c r="AS780" s="1" t="n"/>
      <c r="AT780" s="1" t="n"/>
      <c r="AU780" s="1" t="n"/>
      <c r="AV780" s="1" t="n"/>
      <c r="AW780" s="1" t="n"/>
      <c r="AX780" s="1" t="n"/>
      <c r="AY780" s="1" t="n"/>
      <c r="AZ780" s="1" t="n"/>
      <c r="BA780" s="1" t="n"/>
    </row>
    <row r="781" ht="16.5" customHeight="1" s="220">
      <c r="A781" s="1" t="n"/>
      <c r="B781" s="1" t="n"/>
      <c r="C781" s="2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  <c r="AR781" s="1" t="n"/>
      <c r="AS781" s="1" t="n"/>
      <c r="AT781" s="1" t="n"/>
      <c r="AU781" s="1" t="n"/>
      <c r="AV781" s="1" t="n"/>
      <c r="AW781" s="1" t="n"/>
      <c r="AX781" s="1" t="n"/>
      <c r="AY781" s="1" t="n"/>
      <c r="AZ781" s="1" t="n"/>
      <c r="BA781" s="1" t="n"/>
    </row>
    <row r="782" ht="16.5" customHeight="1" s="220">
      <c r="A782" s="1" t="n"/>
      <c r="B782" s="1" t="n"/>
      <c r="C782" s="2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  <c r="AR782" s="1" t="n"/>
      <c r="AS782" s="1" t="n"/>
      <c r="AT782" s="1" t="n"/>
      <c r="AU782" s="1" t="n"/>
      <c r="AV782" s="1" t="n"/>
      <c r="AW782" s="1" t="n"/>
      <c r="AX782" s="1" t="n"/>
      <c r="AY782" s="1" t="n"/>
      <c r="AZ782" s="1" t="n"/>
      <c r="BA782" s="1" t="n"/>
    </row>
    <row r="783" ht="16.5" customHeight="1" s="220">
      <c r="A783" s="1" t="n"/>
      <c r="B783" s="1" t="n"/>
      <c r="C783" s="2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  <c r="AR783" s="1" t="n"/>
      <c r="AS783" s="1" t="n"/>
      <c r="AT783" s="1" t="n"/>
      <c r="AU783" s="1" t="n"/>
      <c r="AV783" s="1" t="n"/>
      <c r="AW783" s="1" t="n"/>
      <c r="AX783" s="1" t="n"/>
      <c r="AY783" s="1" t="n"/>
      <c r="AZ783" s="1" t="n"/>
      <c r="BA783" s="1" t="n"/>
    </row>
    <row r="784" ht="16.5" customHeight="1" s="220">
      <c r="A784" s="1" t="n"/>
      <c r="B784" s="1" t="n"/>
      <c r="C784" s="2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  <c r="AR784" s="1" t="n"/>
      <c r="AS784" s="1" t="n"/>
      <c r="AT784" s="1" t="n"/>
      <c r="AU784" s="1" t="n"/>
      <c r="AV784" s="1" t="n"/>
      <c r="AW784" s="1" t="n"/>
      <c r="AX784" s="1" t="n"/>
      <c r="AY784" s="1" t="n"/>
      <c r="AZ784" s="1" t="n"/>
      <c r="BA784" s="1" t="n"/>
    </row>
    <row r="785" ht="16.5" customHeight="1" s="220">
      <c r="A785" s="1" t="n"/>
      <c r="B785" s="1" t="n"/>
      <c r="C785" s="2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  <c r="AR785" s="1" t="n"/>
      <c r="AS785" s="1" t="n"/>
      <c r="AT785" s="1" t="n"/>
      <c r="AU785" s="1" t="n"/>
      <c r="AV785" s="1" t="n"/>
      <c r="AW785" s="1" t="n"/>
      <c r="AX785" s="1" t="n"/>
      <c r="AY785" s="1" t="n"/>
      <c r="AZ785" s="1" t="n"/>
      <c r="BA785" s="1" t="n"/>
    </row>
    <row r="786" ht="16.5" customHeight="1" s="220">
      <c r="A786" s="1" t="n"/>
      <c r="B786" s="1" t="n"/>
      <c r="C786" s="2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  <c r="AR786" s="1" t="n"/>
      <c r="AS786" s="1" t="n"/>
      <c r="AT786" s="1" t="n"/>
      <c r="AU786" s="1" t="n"/>
      <c r="AV786" s="1" t="n"/>
      <c r="AW786" s="1" t="n"/>
      <c r="AX786" s="1" t="n"/>
      <c r="AY786" s="1" t="n"/>
      <c r="AZ786" s="1" t="n"/>
      <c r="BA786" s="1" t="n"/>
    </row>
    <row r="787" ht="16.5" customHeight="1" s="220">
      <c r="A787" s="1" t="n"/>
      <c r="B787" s="1" t="n"/>
      <c r="C787" s="2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  <c r="AR787" s="1" t="n"/>
      <c r="AS787" s="1" t="n"/>
      <c r="AT787" s="1" t="n"/>
      <c r="AU787" s="1" t="n"/>
      <c r="AV787" s="1" t="n"/>
      <c r="AW787" s="1" t="n"/>
      <c r="AX787" s="1" t="n"/>
      <c r="AY787" s="1" t="n"/>
      <c r="AZ787" s="1" t="n"/>
      <c r="BA787" s="1" t="n"/>
    </row>
    <row r="788" ht="16.5" customHeight="1" s="220">
      <c r="A788" s="1" t="n"/>
      <c r="B788" s="1" t="n"/>
      <c r="C788" s="2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  <c r="AR788" s="1" t="n"/>
      <c r="AS788" s="1" t="n"/>
      <c r="AT788" s="1" t="n"/>
      <c r="AU788" s="1" t="n"/>
      <c r="AV788" s="1" t="n"/>
      <c r="AW788" s="1" t="n"/>
      <c r="AX788" s="1" t="n"/>
      <c r="AY788" s="1" t="n"/>
      <c r="AZ788" s="1" t="n"/>
      <c r="BA788" s="1" t="n"/>
    </row>
    <row r="789" ht="16.5" customHeight="1" s="220">
      <c r="A789" s="1" t="n"/>
      <c r="B789" s="1" t="n"/>
      <c r="C789" s="2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  <c r="AR789" s="1" t="n"/>
      <c r="AS789" s="1" t="n"/>
      <c r="AT789" s="1" t="n"/>
      <c r="AU789" s="1" t="n"/>
      <c r="AV789" s="1" t="n"/>
      <c r="AW789" s="1" t="n"/>
      <c r="AX789" s="1" t="n"/>
      <c r="AY789" s="1" t="n"/>
      <c r="AZ789" s="1" t="n"/>
      <c r="BA789" s="1" t="n"/>
    </row>
    <row r="790" ht="16.5" customHeight="1" s="220">
      <c r="A790" s="1" t="n"/>
      <c r="B790" s="1" t="n"/>
      <c r="C790" s="2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Q790" s="1" t="n"/>
      <c r="AR790" s="1" t="n"/>
      <c r="AS790" s="1" t="n"/>
      <c r="AT790" s="1" t="n"/>
      <c r="AU790" s="1" t="n"/>
      <c r="AV790" s="1" t="n"/>
      <c r="AW790" s="1" t="n"/>
      <c r="AX790" s="1" t="n"/>
      <c r="AY790" s="1" t="n"/>
      <c r="AZ790" s="1" t="n"/>
      <c r="BA790" s="1" t="n"/>
    </row>
    <row r="791" ht="16.5" customHeight="1" s="220">
      <c r="A791" s="1" t="n"/>
      <c r="B791" s="1" t="n"/>
      <c r="C791" s="2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  <c r="AR791" s="1" t="n"/>
      <c r="AS791" s="1" t="n"/>
      <c r="AT791" s="1" t="n"/>
      <c r="AU791" s="1" t="n"/>
      <c r="AV791" s="1" t="n"/>
      <c r="AW791" s="1" t="n"/>
      <c r="AX791" s="1" t="n"/>
      <c r="AY791" s="1" t="n"/>
      <c r="AZ791" s="1" t="n"/>
      <c r="BA791" s="1" t="n"/>
    </row>
    <row r="792" ht="16.5" customHeight="1" s="220">
      <c r="A792" s="1" t="n"/>
      <c r="B792" s="1" t="n"/>
      <c r="C792" s="2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  <c r="AR792" s="1" t="n"/>
      <c r="AS792" s="1" t="n"/>
      <c r="AT792" s="1" t="n"/>
      <c r="AU792" s="1" t="n"/>
      <c r="AV792" s="1" t="n"/>
      <c r="AW792" s="1" t="n"/>
      <c r="AX792" s="1" t="n"/>
      <c r="AY792" s="1" t="n"/>
      <c r="AZ792" s="1" t="n"/>
      <c r="BA792" s="1" t="n"/>
    </row>
    <row r="793" ht="16.5" customHeight="1" s="220">
      <c r="A793" s="1" t="n"/>
      <c r="B793" s="1" t="n"/>
      <c r="C793" s="2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  <c r="AR793" s="1" t="n"/>
      <c r="AS793" s="1" t="n"/>
      <c r="AT793" s="1" t="n"/>
      <c r="AU793" s="1" t="n"/>
      <c r="AV793" s="1" t="n"/>
      <c r="AW793" s="1" t="n"/>
      <c r="AX793" s="1" t="n"/>
      <c r="AY793" s="1" t="n"/>
      <c r="AZ793" s="1" t="n"/>
      <c r="BA793" s="1" t="n"/>
    </row>
    <row r="794" ht="16.5" customHeight="1" s="220">
      <c r="A794" s="1" t="n"/>
      <c r="B794" s="1" t="n"/>
      <c r="C794" s="2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  <c r="AR794" s="1" t="n"/>
      <c r="AS794" s="1" t="n"/>
      <c r="AT794" s="1" t="n"/>
      <c r="AU794" s="1" t="n"/>
      <c r="AV794" s="1" t="n"/>
      <c r="AW794" s="1" t="n"/>
      <c r="AX794" s="1" t="n"/>
      <c r="AY794" s="1" t="n"/>
      <c r="AZ794" s="1" t="n"/>
      <c r="BA794" s="1" t="n"/>
    </row>
    <row r="795" ht="16.5" customHeight="1" s="220">
      <c r="A795" s="1" t="n"/>
      <c r="B795" s="1" t="n"/>
      <c r="C795" s="2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  <c r="AR795" s="1" t="n"/>
      <c r="AS795" s="1" t="n"/>
      <c r="AT795" s="1" t="n"/>
      <c r="AU795" s="1" t="n"/>
      <c r="AV795" s="1" t="n"/>
      <c r="AW795" s="1" t="n"/>
      <c r="AX795" s="1" t="n"/>
      <c r="AY795" s="1" t="n"/>
      <c r="AZ795" s="1" t="n"/>
      <c r="BA795" s="1" t="n"/>
    </row>
    <row r="796" ht="16.5" customHeight="1" s="220">
      <c r="A796" s="1" t="n"/>
      <c r="B796" s="1" t="n"/>
      <c r="C796" s="2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  <c r="AR796" s="1" t="n"/>
      <c r="AS796" s="1" t="n"/>
      <c r="AT796" s="1" t="n"/>
      <c r="AU796" s="1" t="n"/>
      <c r="AV796" s="1" t="n"/>
      <c r="AW796" s="1" t="n"/>
      <c r="AX796" s="1" t="n"/>
      <c r="AY796" s="1" t="n"/>
      <c r="AZ796" s="1" t="n"/>
      <c r="BA796" s="1" t="n"/>
    </row>
    <row r="797" ht="16.5" customHeight="1" s="220">
      <c r="A797" s="1" t="n"/>
      <c r="B797" s="1" t="n"/>
      <c r="C797" s="2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  <c r="AR797" s="1" t="n"/>
      <c r="AS797" s="1" t="n"/>
      <c r="AT797" s="1" t="n"/>
      <c r="AU797" s="1" t="n"/>
      <c r="AV797" s="1" t="n"/>
      <c r="AW797" s="1" t="n"/>
      <c r="AX797" s="1" t="n"/>
      <c r="AY797" s="1" t="n"/>
      <c r="AZ797" s="1" t="n"/>
      <c r="BA797" s="1" t="n"/>
    </row>
    <row r="798" ht="16.5" customHeight="1" s="220">
      <c r="A798" s="1" t="n"/>
      <c r="B798" s="1" t="n"/>
      <c r="C798" s="2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  <c r="AR798" s="1" t="n"/>
      <c r="AS798" s="1" t="n"/>
      <c r="AT798" s="1" t="n"/>
      <c r="AU798" s="1" t="n"/>
      <c r="AV798" s="1" t="n"/>
      <c r="AW798" s="1" t="n"/>
      <c r="AX798" s="1" t="n"/>
      <c r="AY798" s="1" t="n"/>
      <c r="AZ798" s="1" t="n"/>
      <c r="BA798" s="1" t="n"/>
    </row>
    <row r="799" ht="16.5" customHeight="1" s="220">
      <c r="A799" s="1" t="n"/>
      <c r="B799" s="1" t="n"/>
      <c r="C799" s="2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  <c r="AR799" s="1" t="n"/>
      <c r="AS799" s="1" t="n"/>
      <c r="AT799" s="1" t="n"/>
      <c r="AU799" s="1" t="n"/>
      <c r="AV799" s="1" t="n"/>
      <c r="AW799" s="1" t="n"/>
      <c r="AX799" s="1" t="n"/>
      <c r="AY799" s="1" t="n"/>
      <c r="AZ799" s="1" t="n"/>
      <c r="BA799" s="1" t="n"/>
    </row>
    <row r="800" ht="16.5" customHeight="1" s="220">
      <c r="A800" s="1" t="n"/>
      <c r="B800" s="1" t="n"/>
      <c r="C800" s="2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  <c r="AR800" s="1" t="n"/>
      <c r="AS800" s="1" t="n"/>
      <c r="AT800" s="1" t="n"/>
      <c r="AU800" s="1" t="n"/>
      <c r="AV800" s="1" t="n"/>
      <c r="AW800" s="1" t="n"/>
      <c r="AX800" s="1" t="n"/>
      <c r="AY800" s="1" t="n"/>
      <c r="AZ800" s="1" t="n"/>
      <c r="BA800" s="1" t="n"/>
    </row>
    <row r="801" ht="16.5" customHeight="1" s="220">
      <c r="A801" s="1" t="n"/>
      <c r="B801" s="1" t="n"/>
      <c r="C801" s="2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  <c r="AR801" s="1" t="n"/>
      <c r="AS801" s="1" t="n"/>
      <c r="AT801" s="1" t="n"/>
      <c r="AU801" s="1" t="n"/>
      <c r="AV801" s="1" t="n"/>
      <c r="AW801" s="1" t="n"/>
      <c r="AX801" s="1" t="n"/>
      <c r="AY801" s="1" t="n"/>
      <c r="AZ801" s="1" t="n"/>
      <c r="BA801" s="1" t="n"/>
    </row>
    <row r="802" ht="16.5" customHeight="1" s="220">
      <c r="A802" s="1" t="n"/>
      <c r="B802" s="1" t="n"/>
      <c r="C802" s="2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  <c r="AR802" s="1" t="n"/>
      <c r="AS802" s="1" t="n"/>
      <c r="AT802" s="1" t="n"/>
      <c r="AU802" s="1" t="n"/>
      <c r="AV802" s="1" t="n"/>
      <c r="AW802" s="1" t="n"/>
      <c r="AX802" s="1" t="n"/>
      <c r="AY802" s="1" t="n"/>
      <c r="AZ802" s="1" t="n"/>
      <c r="BA802" s="1" t="n"/>
    </row>
    <row r="803" ht="16.5" customHeight="1" s="220">
      <c r="A803" s="1" t="n"/>
      <c r="B803" s="1" t="n"/>
      <c r="C803" s="2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  <c r="AR803" s="1" t="n"/>
      <c r="AS803" s="1" t="n"/>
      <c r="AT803" s="1" t="n"/>
      <c r="AU803" s="1" t="n"/>
      <c r="AV803" s="1" t="n"/>
      <c r="AW803" s="1" t="n"/>
      <c r="AX803" s="1" t="n"/>
      <c r="AY803" s="1" t="n"/>
      <c r="AZ803" s="1" t="n"/>
      <c r="BA803" s="1" t="n"/>
    </row>
    <row r="804" ht="16.5" customHeight="1" s="220">
      <c r="A804" s="1" t="n"/>
      <c r="B804" s="1" t="n"/>
      <c r="C804" s="2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  <c r="AR804" s="1" t="n"/>
      <c r="AS804" s="1" t="n"/>
      <c r="AT804" s="1" t="n"/>
      <c r="AU804" s="1" t="n"/>
      <c r="AV804" s="1" t="n"/>
      <c r="AW804" s="1" t="n"/>
      <c r="AX804" s="1" t="n"/>
      <c r="AY804" s="1" t="n"/>
      <c r="AZ804" s="1" t="n"/>
      <c r="BA804" s="1" t="n"/>
    </row>
    <row r="805" ht="16.5" customHeight="1" s="220">
      <c r="A805" s="1" t="n"/>
      <c r="B805" s="1" t="n"/>
      <c r="C805" s="2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  <c r="AR805" s="1" t="n"/>
      <c r="AS805" s="1" t="n"/>
      <c r="AT805" s="1" t="n"/>
      <c r="AU805" s="1" t="n"/>
      <c r="AV805" s="1" t="n"/>
      <c r="AW805" s="1" t="n"/>
      <c r="AX805" s="1" t="n"/>
      <c r="AY805" s="1" t="n"/>
      <c r="AZ805" s="1" t="n"/>
      <c r="BA805" s="1" t="n"/>
    </row>
    <row r="806" ht="16.5" customHeight="1" s="220">
      <c r="A806" s="1" t="n"/>
      <c r="B806" s="1" t="n"/>
      <c r="C806" s="2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Q806" s="1" t="n"/>
      <c r="AR806" s="1" t="n"/>
      <c r="AS806" s="1" t="n"/>
      <c r="AT806" s="1" t="n"/>
      <c r="AU806" s="1" t="n"/>
      <c r="AV806" s="1" t="n"/>
      <c r="AW806" s="1" t="n"/>
      <c r="AX806" s="1" t="n"/>
      <c r="AY806" s="1" t="n"/>
      <c r="AZ806" s="1" t="n"/>
      <c r="BA806" s="1" t="n"/>
    </row>
    <row r="807" ht="16.5" customHeight="1" s="220">
      <c r="A807" s="1" t="n"/>
      <c r="B807" s="1" t="n"/>
      <c r="C807" s="2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  <c r="AR807" s="1" t="n"/>
      <c r="AS807" s="1" t="n"/>
      <c r="AT807" s="1" t="n"/>
      <c r="AU807" s="1" t="n"/>
      <c r="AV807" s="1" t="n"/>
      <c r="AW807" s="1" t="n"/>
      <c r="AX807" s="1" t="n"/>
      <c r="AY807" s="1" t="n"/>
      <c r="AZ807" s="1" t="n"/>
      <c r="BA807" s="1" t="n"/>
    </row>
    <row r="808" ht="16.5" customHeight="1" s="220">
      <c r="A808" s="1" t="n"/>
      <c r="B808" s="1" t="n"/>
      <c r="C808" s="2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  <c r="AR808" s="1" t="n"/>
      <c r="AS808" s="1" t="n"/>
      <c r="AT808" s="1" t="n"/>
      <c r="AU808" s="1" t="n"/>
      <c r="AV808" s="1" t="n"/>
      <c r="AW808" s="1" t="n"/>
      <c r="AX808" s="1" t="n"/>
      <c r="AY808" s="1" t="n"/>
      <c r="AZ808" s="1" t="n"/>
      <c r="BA808" s="1" t="n"/>
    </row>
    <row r="809" ht="16.5" customHeight="1" s="220">
      <c r="A809" s="1" t="n"/>
      <c r="B809" s="1" t="n"/>
      <c r="C809" s="2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  <c r="AR809" s="1" t="n"/>
      <c r="AS809" s="1" t="n"/>
      <c r="AT809" s="1" t="n"/>
      <c r="AU809" s="1" t="n"/>
      <c r="AV809" s="1" t="n"/>
      <c r="AW809" s="1" t="n"/>
      <c r="AX809" s="1" t="n"/>
      <c r="AY809" s="1" t="n"/>
      <c r="AZ809" s="1" t="n"/>
      <c r="BA809" s="1" t="n"/>
    </row>
    <row r="810" ht="16.5" customHeight="1" s="220">
      <c r="A810" s="1" t="n"/>
      <c r="B810" s="1" t="n"/>
      <c r="C810" s="2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  <c r="AR810" s="1" t="n"/>
      <c r="AS810" s="1" t="n"/>
      <c r="AT810" s="1" t="n"/>
      <c r="AU810" s="1" t="n"/>
      <c r="AV810" s="1" t="n"/>
      <c r="AW810" s="1" t="n"/>
      <c r="AX810" s="1" t="n"/>
      <c r="AY810" s="1" t="n"/>
      <c r="AZ810" s="1" t="n"/>
      <c r="BA810" s="1" t="n"/>
    </row>
    <row r="811" ht="16.5" customHeight="1" s="220">
      <c r="A811" s="1" t="n"/>
      <c r="B811" s="1" t="n"/>
      <c r="C811" s="2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  <c r="AR811" s="1" t="n"/>
      <c r="AS811" s="1" t="n"/>
      <c r="AT811" s="1" t="n"/>
      <c r="AU811" s="1" t="n"/>
      <c r="AV811" s="1" t="n"/>
      <c r="AW811" s="1" t="n"/>
      <c r="AX811" s="1" t="n"/>
      <c r="AY811" s="1" t="n"/>
      <c r="AZ811" s="1" t="n"/>
      <c r="BA811" s="1" t="n"/>
    </row>
    <row r="812" ht="16.5" customHeight="1" s="220">
      <c r="A812" s="1" t="n"/>
      <c r="B812" s="1" t="n"/>
      <c r="C812" s="2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  <c r="AR812" s="1" t="n"/>
      <c r="AS812" s="1" t="n"/>
      <c r="AT812" s="1" t="n"/>
      <c r="AU812" s="1" t="n"/>
      <c r="AV812" s="1" t="n"/>
      <c r="AW812" s="1" t="n"/>
      <c r="AX812" s="1" t="n"/>
      <c r="AY812" s="1" t="n"/>
      <c r="AZ812" s="1" t="n"/>
      <c r="BA812" s="1" t="n"/>
    </row>
    <row r="813" ht="16.5" customHeight="1" s="220">
      <c r="A813" s="1" t="n"/>
      <c r="B813" s="1" t="n"/>
      <c r="C813" s="2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  <c r="AR813" s="1" t="n"/>
      <c r="AS813" s="1" t="n"/>
      <c r="AT813" s="1" t="n"/>
      <c r="AU813" s="1" t="n"/>
      <c r="AV813" s="1" t="n"/>
      <c r="AW813" s="1" t="n"/>
      <c r="AX813" s="1" t="n"/>
      <c r="AY813" s="1" t="n"/>
      <c r="AZ813" s="1" t="n"/>
      <c r="BA813" s="1" t="n"/>
    </row>
    <row r="814" ht="16.5" customHeight="1" s="220">
      <c r="A814" s="1" t="n"/>
      <c r="B814" s="1" t="n"/>
      <c r="C814" s="2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  <c r="AR814" s="1" t="n"/>
      <c r="AS814" s="1" t="n"/>
      <c r="AT814" s="1" t="n"/>
      <c r="AU814" s="1" t="n"/>
      <c r="AV814" s="1" t="n"/>
      <c r="AW814" s="1" t="n"/>
      <c r="AX814" s="1" t="n"/>
      <c r="AY814" s="1" t="n"/>
      <c r="AZ814" s="1" t="n"/>
      <c r="BA814" s="1" t="n"/>
    </row>
    <row r="815" ht="16.5" customHeight="1" s="220">
      <c r="A815" s="1" t="n"/>
      <c r="B815" s="1" t="n"/>
      <c r="C815" s="2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  <c r="AR815" s="1" t="n"/>
      <c r="AS815" s="1" t="n"/>
      <c r="AT815" s="1" t="n"/>
      <c r="AU815" s="1" t="n"/>
      <c r="AV815" s="1" t="n"/>
      <c r="AW815" s="1" t="n"/>
      <c r="AX815" s="1" t="n"/>
      <c r="AY815" s="1" t="n"/>
      <c r="AZ815" s="1" t="n"/>
      <c r="BA815" s="1" t="n"/>
    </row>
    <row r="816" ht="16.5" customHeight="1" s="220">
      <c r="A816" s="1" t="n"/>
      <c r="B816" s="1" t="n"/>
      <c r="C816" s="2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  <c r="AR816" s="1" t="n"/>
      <c r="AS816" s="1" t="n"/>
      <c r="AT816" s="1" t="n"/>
      <c r="AU816" s="1" t="n"/>
      <c r="AV816" s="1" t="n"/>
      <c r="AW816" s="1" t="n"/>
      <c r="AX816" s="1" t="n"/>
      <c r="AY816" s="1" t="n"/>
      <c r="AZ816" s="1" t="n"/>
      <c r="BA816" s="1" t="n"/>
    </row>
    <row r="817" ht="16.5" customHeight="1" s="220">
      <c r="A817" s="1" t="n"/>
      <c r="B817" s="1" t="n"/>
      <c r="C817" s="2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  <c r="AR817" s="1" t="n"/>
      <c r="AS817" s="1" t="n"/>
      <c r="AT817" s="1" t="n"/>
      <c r="AU817" s="1" t="n"/>
      <c r="AV817" s="1" t="n"/>
      <c r="AW817" s="1" t="n"/>
      <c r="AX817" s="1" t="n"/>
      <c r="AY817" s="1" t="n"/>
      <c r="AZ817" s="1" t="n"/>
      <c r="BA817" s="1" t="n"/>
    </row>
    <row r="818" ht="16.5" customHeight="1" s="220">
      <c r="A818" s="1" t="n"/>
      <c r="B818" s="1" t="n"/>
      <c r="C818" s="2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Q818" s="1" t="n"/>
      <c r="AR818" s="1" t="n"/>
      <c r="AS818" s="1" t="n"/>
      <c r="AT818" s="1" t="n"/>
      <c r="AU818" s="1" t="n"/>
      <c r="AV818" s="1" t="n"/>
      <c r="AW818" s="1" t="n"/>
      <c r="AX818" s="1" t="n"/>
      <c r="AY818" s="1" t="n"/>
      <c r="AZ818" s="1" t="n"/>
      <c r="BA818" s="1" t="n"/>
    </row>
    <row r="819" ht="16.5" customHeight="1" s="220">
      <c r="A819" s="1" t="n"/>
      <c r="B819" s="1" t="n"/>
      <c r="C819" s="2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  <c r="AR819" s="1" t="n"/>
      <c r="AS819" s="1" t="n"/>
      <c r="AT819" s="1" t="n"/>
      <c r="AU819" s="1" t="n"/>
      <c r="AV819" s="1" t="n"/>
      <c r="AW819" s="1" t="n"/>
      <c r="AX819" s="1" t="n"/>
      <c r="AY819" s="1" t="n"/>
      <c r="AZ819" s="1" t="n"/>
      <c r="BA819" s="1" t="n"/>
    </row>
    <row r="820" ht="16.5" customHeight="1" s="220">
      <c r="A820" s="1" t="n"/>
      <c r="B820" s="1" t="n"/>
      <c r="C820" s="2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  <c r="AR820" s="1" t="n"/>
      <c r="AS820" s="1" t="n"/>
      <c r="AT820" s="1" t="n"/>
      <c r="AU820" s="1" t="n"/>
      <c r="AV820" s="1" t="n"/>
      <c r="AW820" s="1" t="n"/>
      <c r="AX820" s="1" t="n"/>
      <c r="AY820" s="1" t="n"/>
      <c r="AZ820" s="1" t="n"/>
      <c r="BA820" s="1" t="n"/>
    </row>
    <row r="821" ht="16.5" customHeight="1" s="220">
      <c r="A821" s="1" t="n"/>
      <c r="B821" s="1" t="n"/>
      <c r="C821" s="2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  <c r="AR821" s="1" t="n"/>
      <c r="AS821" s="1" t="n"/>
      <c r="AT821" s="1" t="n"/>
      <c r="AU821" s="1" t="n"/>
      <c r="AV821" s="1" t="n"/>
      <c r="AW821" s="1" t="n"/>
      <c r="AX821" s="1" t="n"/>
      <c r="AY821" s="1" t="n"/>
      <c r="AZ821" s="1" t="n"/>
      <c r="BA821" s="1" t="n"/>
    </row>
    <row r="822" ht="16.5" customHeight="1" s="220">
      <c r="A822" s="1" t="n"/>
      <c r="B822" s="1" t="n"/>
      <c r="C822" s="2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  <c r="AR822" s="1" t="n"/>
      <c r="AS822" s="1" t="n"/>
      <c r="AT822" s="1" t="n"/>
      <c r="AU822" s="1" t="n"/>
      <c r="AV822" s="1" t="n"/>
      <c r="AW822" s="1" t="n"/>
      <c r="AX822" s="1" t="n"/>
      <c r="AY822" s="1" t="n"/>
      <c r="AZ822" s="1" t="n"/>
      <c r="BA822" s="1" t="n"/>
    </row>
    <row r="823" ht="16.5" customHeight="1" s="220">
      <c r="A823" s="1" t="n"/>
      <c r="B823" s="1" t="n"/>
      <c r="C823" s="2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  <c r="AR823" s="1" t="n"/>
      <c r="AS823" s="1" t="n"/>
      <c r="AT823" s="1" t="n"/>
      <c r="AU823" s="1" t="n"/>
      <c r="AV823" s="1" t="n"/>
      <c r="AW823" s="1" t="n"/>
      <c r="AX823" s="1" t="n"/>
      <c r="AY823" s="1" t="n"/>
      <c r="AZ823" s="1" t="n"/>
      <c r="BA823" s="1" t="n"/>
    </row>
    <row r="824" ht="16.5" customHeight="1" s="220">
      <c r="A824" s="1" t="n"/>
      <c r="B824" s="1" t="n"/>
      <c r="C824" s="2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  <c r="AR824" s="1" t="n"/>
      <c r="AS824" s="1" t="n"/>
      <c r="AT824" s="1" t="n"/>
      <c r="AU824" s="1" t="n"/>
      <c r="AV824" s="1" t="n"/>
      <c r="AW824" s="1" t="n"/>
      <c r="AX824" s="1" t="n"/>
      <c r="AY824" s="1" t="n"/>
      <c r="AZ824" s="1" t="n"/>
      <c r="BA824" s="1" t="n"/>
    </row>
    <row r="825" ht="16.5" customHeight="1" s="220">
      <c r="A825" s="1" t="n"/>
      <c r="B825" s="1" t="n"/>
      <c r="C825" s="2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  <c r="AR825" s="1" t="n"/>
      <c r="AS825" s="1" t="n"/>
      <c r="AT825" s="1" t="n"/>
      <c r="AU825" s="1" t="n"/>
      <c r="AV825" s="1" t="n"/>
      <c r="AW825" s="1" t="n"/>
      <c r="AX825" s="1" t="n"/>
      <c r="AY825" s="1" t="n"/>
      <c r="AZ825" s="1" t="n"/>
      <c r="BA825" s="1" t="n"/>
    </row>
    <row r="826" ht="16.5" customHeight="1" s="220">
      <c r="A826" s="1" t="n"/>
      <c r="B826" s="1" t="n"/>
      <c r="C826" s="2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  <c r="AR826" s="1" t="n"/>
      <c r="AS826" s="1" t="n"/>
      <c r="AT826" s="1" t="n"/>
      <c r="AU826" s="1" t="n"/>
      <c r="AV826" s="1" t="n"/>
      <c r="AW826" s="1" t="n"/>
      <c r="AX826" s="1" t="n"/>
      <c r="AY826" s="1" t="n"/>
      <c r="AZ826" s="1" t="n"/>
      <c r="BA826" s="1" t="n"/>
    </row>
    <row r="827" ht="16.5" customHeight="1" s="220">
      <c r="A827" s="1" t="n"/>
      <c r="B827" s="1" t="n"/>
      <c r="C827" s="2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  <c r="AR827" s="1" t="n"/>
      <c r="AS827" s="1" t="n"/>
      <c r="AT827" s="1" t="n"/>
      <c r="AU827" s="1" t="n"/>
      <c r="AV827" s="1" t="n"/>
      <c r="AW827" s="1" t="n"/>
      <c r="AX827" s="1" t="n"/>
      <c r="AY827" s="1" t="n"/>
      <c r="AZ827" s="1" t="n"/>
      <c r="BA827" s="1" t="n"/>
    </row>
    <row r="828" ht="16.5" customHeight="1" s="220">
      <c r="A828" s="1" t="n"/>
      <c r="B828" s="1" t="n"/>
      <c r="C828" s="2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Q828" s="1" t="n"/>
      <c r="AR828" s="1" t="n"/>
      <c r="AS828" s="1" t="n"/>
      <c r="AT828" s="1" t="n"/>
      <c r="AU828" s="1" t="n"/>
      <c r="AV828" s="1" t="n"/>
      <c r="AW828" s="1" t="n"/>
      <c r="AX828" s="1" t="n"/>
      <c r="AY828" s="1" t="n"/>
      <c r="AZ828" s="1" t="n"/>
      <c r="BA828" s="1" t="n"/>
    </row>
    <row r="829" ht="16.5" customHeight="1" s="220">
      <c r="A829" s="1" t="n"/>
      <c r="B829" s="1" t="n"/>
      <c r="C829" s="2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  <c r="AR829" s="1" t="n"/>
      <c r="AS829" s="1" t="n"/>
      <c r="AT829" s="1" t="n"/>
      <c r="AU829" s="1" t="n"/>
      <c r="AV829" s="1" t="n"/>
      <c r="AW829" s="1" t="n"/>
      <c r="AX829" s="1" t="n"/>
      <c r="AY829" s="1" t="n"/>
      <c r="AZ829" s="1" t="n"/>
      <c r="BA829" s="1" t="n"/>
    </row>
    <row r="830" ht="16.5" customHeight="1" s="220">
      <c r="A830" s="1" t="n"/>
      <c r="B830" s="1" t="n"/>
      <c r="C830" s="2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  <c r="AR830" s="1" t="n"/>
      <c r="AS830" s="1" t="n"/>
      <c r="AT830" s="1" t="n"/>
      <c r="AU830" s="1" t="n"/>
      <c r="AV830" s="1" t="n"/>
      <c r="AW830" s="1" t="n"/>
      <c r="AX830" s="1" t="n"/>
      <c r="AY830" s="1" t="n"/>
      <c r="AZ830" s="1" t="n"/>
      <c r="BA830" s="1" t="n"/>
    </row>
    <row r="831" ht="16.5" customHeight="1" s="220">
      <c r="A831" s="1" t="n"/>
      <c r="B831" s="1" t="n"/>
      <c r="C831" s="2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  <c r="AR831" s="1" t="n"/>
      <c r="AS831" s="1" t="n"/>
      <c r="AT831" s="1" t="n"/>
      <c r="AU831" s="1" t="n"/>
      <c r="AV831" s="1" t="n"/>
      <c r="AW831" s="1" t="n"/>
      <c r="AX831" s="1" t="n"/>
      <c r="AY831" s="1" t="n"/>
      <c r="AZ831" s="1" t="n"/>
      <c r="BA831" s="1" t="n"/>
    </row>
    <row r="832" ht="16.5" customHeight="1" s="220">
      <c r="A832" s="1" t="n"/>
      <c r="B832" s="1" t="n"/>
      <c r="C832" s="2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  <c r="AR832" s="1" t="n"/>
      <c r="AS832" s="1" t="n"/>
      <c r="AT832" s="1" t="n"/>
      <c r="AU832" s="1" t="n"/>
      <c r="AV832" s="1" t="n"/>
      <c r="AW832" s="1" t="n"/>
      <c r="AX832" s="1" t="n"/>
      <c r="AY832" s="1" t="n"/>
      <c r="AZ832" s="1" t="n"/>
      <c r="BA832" s="1" t="n"/>
    </row>
    <row r="833" ht="16.5" customHeight="1" s="220">
      <c r="A833" s="1" t="n"/>
      <c r="B833" s="1" t="n"/>
      <c r="C833" s="2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  <c r="AR833" s="1" t="n"/>
      <c r="AS833" s="1" t="n"/>
      <c r="AT833" s="1" t="n"/>
      <c r="AU833" s="1" t="n"/>
      <c r="AV833" s="1" t="n"/>
      <c r="AW833" s="1" t="n"/>
      <c r="AX833" s="1" t="n"/>
      <c r="AY833" s="1" t="n"/>
      <c r="AZ833" s="1" t="n"/>
      <c r="BA833" s="1" t="n"/>
    </row>
    <row r="834" ht="16.5" customHeight="1" s="220">
      <c r="A834" s="1" t="n"/>
      <c r="B834" s="1" t="n"/>
      <c r="C834" s="2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  <c r="AR834" s="1" t="n"/>
      <c r="AS834" s="1" t="n"/>
      <c r="AT834" s="1" t="n"/>
      <c r="AU834" s="1" t="n"/>
      <c r="AV834" s="1" t="n"/>
      <c r="AW834" s="1" t="n"/>
      <c r="AX834" s="1" t="n"/>
      <c r="AY834" s="1" t="n"/>
      <c r="AZ834" s="1" t="n"/>
      <c r="BA834" s="1" t="n"/>
    </row>
    <row r="835" ht="16.5" customHeight="1" s="220">
      <c r="A835" s="1" t="n"/>
      <c r="B835" s="1" t="n"/>
      <c r="C835" s="2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  <c r="AR835" s="1" t="n"/>
      <c r="AS835" s="1" t="n"/>
      <c r="AT835" s="1" t="n"/>
      <c r="AU835" s="1" t="n"/>
      <c r="AV835" s="1" t="n"/>
      <c r="AW835" s="1" t="n"/>
      <c r="AX835" s="1" t="n"/>
      <c r="AY835" s="1" t="n"/>
      <c r="AZ835" s="1" t="n"/>
      <c r="BA835" s="1" t="n"/>
    </row>
    <row r="836" ht="16.5" customHeight="1" s="220">
      <c r="A836" s="1" t="n"/>
      <c r="B836" s="1" t="n"/>
      <c r="C836" s="2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  <c r="AR836" s="1" t="n"/>
      <c r="AS836" s="1" t="n"/>
      <c r="AT836" s="1" t="n"/>
      <c r="AU836" s="1" t="n"/>
      <c r="AV836" s="1" t="n"/>
      <c r="AW836" s="1" t="n"/>
      <c r="AX836" s="1" t="n"/>
      <c r="AY836" s="1" t="n"/>
      <c r="AZ836" s="1" t="n"/>
      <c r="BA836" s="1" t="n"/>
    </row>
    <row r="837" ht="16.5" customHeight="1" s="220">
      <c r="A837" s="1" t="n"/>
      <c r="B837" s="1" t="n"/>
      <c r="C837" s="2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  <c r="AR837" s="1" t="n"/>
      <c r="AS837" s="1" t="n"/>
      <c r="AT837" s="1" t="n"/>
      <c r="AU837" s="1" t="n"/>
      <c r="AV837" s="1" t="n"/>
      <c r="AW837" s="1" t="n"/>
      <c r="AX837" s="1" t="n"/>
      <c r="AY837" s="1" t="n"/>
      <c r="AZ837" s="1" t="n"/>
      <c r="BA837" s="1" t="n"/>
    </row>
    <row r="838" ht="16.5" customHeight="1" s="220">
      <c r="A838" s="1" t="n"/>
      <c r="B838" s="1" t="n"/>
      <c r="C838" s="2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  <c r="AR838" s="1" t="n"/>
      <c r="AS838" s="1" t="n"/>
      <c r="AT838" s="1" t="n"/>
      <c r="AU838" s="1" t="n"/>
      <c r="AV838" s="1" t="n"/>
      <c r="AW838" s="1" t="n"/>
      <c r="AX838" s="1" t="n"/>
      <c r="AY838" s="1" t="n"/>
      <c r="AZ838" s="1" t="n"/>
      <c r="BA838" s="1" t="n"/>
    </row>
    <row r="839" ht="16.5" customHeight="1" s="220">
      <c r="A839" s="1" t="n"/>
      <c r="B839" s="1" t="n"/>
      <c r="C839" s="2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  <c r="AR839" s="1" t="n"/>
      <c r="AS839" s="1" t="n"/>
      <c r="AT839" s="1" t="n"/>
      <c r="AU839" s="1" t="n"/>
      <c r="AV839" s="1" t="n"/>
      <c r="AW839" s="1" t="n"/>
      <c r="AX839" s="1" t="n"/>
      <c r="AY839" s="1" t="n"/>
      <c r="AZ839" s="1" t="n"/>
      <c r="BA839" s="1" t="n"/>
    </row>
    <row r="840" ht="16.5" customHeight="1" s="220">
      <c r="A840" s="1" t="n"/>
      <c r="B840" s="1" t="n"/>
      <c r="C840" s="2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  <c r="AR840" s="1" t="n"/>
      <c r="AS840" s="1" t="n"/>
      <c r="AT840" s="1" t="n"/>
      <c r="AU840" s="1" t="n"/>
      <c r="AV840" s="1" t="n"/>
      <c r="AW840" s="1" t="n"/>
      <c r="AX840" s="1" t="n"/>
      <c r="AY840" s="1" t="n"/>
      <c r="AZ840" s="1" t="n"/>
      <c r="BA840" s="1" t="n"/>
    </row>
    <row r="841" ht="16.5" customHeight="1" s="220">
      <c r="A841" s="1" t="n"/>
      <c r="B841" s="1" t="n"/>
      <c r="C841" s="2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  <c r="AR841" s="1" t="n"/>
      <c r="AS841" s="1" t="n"/>
      <c r="AT841" s="1" t="n"/>
      <c r="AU841" s="1" t="n"/>
      <c r="AV841" s="1" t="n"/>
      <c r="AW841" s="1" t="n"/>
      <c r="AX841" s="1" t="n"/>
      <c r="AY841" s="1" t="n"/>
      <c r="AZ841" s="1" t="n"/>
      <c r="BA841" s="1" t="n"/>
    </row>
    <row r="842" ht="16.5" customHeight="1" s="220">
      <c r="A842" s="1" t="n"/>
      <c r="B842" s="1" t="n"/>
      <c r="C842" s="2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  <c r="AR842" s="1" t="n"/>
      <c r="AS842" s="1" t="n"/>
      <c r="AT842" s="1" t="n"/>
      <c r="AU842" s="1" t="n"/>
      <c r="AV842" s="1" t="n"/>
      <c r="AW842" s="1" t="n"/>
      <c r="AX842" s="1" t="n"/>
      <c r="AY842" s="1" t="n"/>
      <c r="AZ842" s="1" t="n"/>
      <c r="BA842" s="1" t="n"/>
    </row>
    <row r="843" ht="16.5" customHeight="1" s="220">
      <c r="A843" s="1" t="n"/>
      <c r="B843" s="1" t="n"/>
      <c r="C843" s="2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  <c r="AR843" s="1" t="n"/>
      <c r="AS843" s="1" t="n"/>
      <c r="AT843" s="1" t="n"/>
      <c r="AU843" s="1" t="n"/>
      <c r="AV843" s="1" t="n"/>
      <c r="AW843" s="1" t="n"/>
      <c r="AX843" s="1" t="n"/>
      <c r="AY843" s="1" t="n"/>
      <c r="AZ843" s="1" t="n"/>
      <c r="BA843" s="1" t="n"/>
    </row>
    <row r="844" ht="16.5" customHeight="1" s="220">
      <c r="A844" s="1" t="n"/>
      <c r="B844" s="1" t="n"/>
      <c r="C844" s="2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  <c r="AR844" s="1" t="n"/>
      <c r="AS844" s="1" t="n"/>
      <c r="AT844" s="1" t="n"/>
      <c r="AU844" s="1" t="n"/>
      <c r="AV844" s="1" t="n"/>
      <c r="AW844" s="1" t="n"/>
      <c r="AX844" s="1" t="n"/>
      <c r="AY844" s="1" t="n"/>
      <c r="AZ844" s="1" t="n"/>
      <c r="BA844" s="1" t="n"/>
    </row>
    <row r="845" ht="16.5" customHeight="1" s="220">
      <c r="A845" s="1" t="n"/>
      <c r="B845" s="1" t="n"/>
      <c r="C845" s="2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  <c r="AR845" s="1" t="n"/>
      <c r="AS845" s="1" t="n"/>
      <c r="AT845" s="1" t="n"/>
      <c r="AU845" s="1" t="n"/>
      <c r="AV845" s="1" t="n"/>
      <c r="AW845" s="1" t="n"/>
      <c r="AX845" s="1" t="n"/>
      <c r="AY845" s="1" t="n"/>
      <c r="AZ845" s="1" t="n"/>
      <c r="BA845" s="1" t="n"/>
    </row>
    <row r="846" ht="16.5" customHeight="1" s="220">
      <c r="A846" s="1" t="n"/>
      <c r="B846" s="1" t="n"/>
      <c r="C846" s="2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  <c r="AR846" s="1" t="n"/>
      <c r="AS846" s="1" t="n"/>
      <c r="AT846" s="1" t="n"/>
      <c r="AU846" s="1" t="n"/>
      <c r="AV846" s="1" t="n"/>
      <c r="AW846" s="1" t="n"/>
      <c r="AX846" s="1" t="n"/>
      <c r="AY846" s="1" t="n"/>
      <c r="AZ846" s="1" t="n"/>
      <c r="BA846" s="1" t="n"/>
    </row>
    <row r="847" ht="16.5" customHeight="1" s="220">
      <c r="A847" s="1" t="n"/>
      <c r="B847" s="1" t="n"/>
      <c r="C847" s="2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  <c r="AR847" s="1" t="n"/>
      <c r="AS847" s="1" t="n"/>
      <c r="AT847" s="1" t="n"/>
      <c r="AU847" s="1" t="n"/>
      <c r="AV847" s="1" t="n"/>
      <c r="AW847" s="1" t="n"/>
      <c r="AX847" s="1" t="n"/>
      <c r="AY847" s="1" t="n"/>
      <c r="AZ847" s="1" t="n"/>
      <c r="BA847" s="1" t="n"/>
    </row>
    <row r="848" ht="16.5" customHeight="1" s="220">
      <c r="A848" s="1" t="n"/>
      <c r="B848" s="1" t="n"/>
      <c r="C848" s="2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  <c r="AR848" s="1" t="n"/>
      <c r="AS848" s="1" t="n"/>
      <c r="AT848" s="1" t="n"/>
      <c r="AU848" s="1" t="n"/>
      <c r="AV848" s="1" t="n"/>
      <c r="AW848" s="1" t="n"/>
      <c r="AX848" s="1" t="n"/>
      <c r="AY848" s="1" t="n"/>
      <c r="AZ848" s="1" t="n"/>
      <c r="BA848" s="1" t="n"/>
    </row>
    <row r="849" ht="16.5" customHeight="1" s="220">
      <c r="A849" s="1" t="n"/>
      <c r="B849" s="1" t="n"/>
      <c r="C849" s="2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  <c r="AR849" s="1" t="n"/>
      <c r="AS849" s="1" t="n"/>
      <c r="AT849" s="1" t="n"/>
      <c r="AU849" s="1" t="n"/>
      <c r="AV849" s="1" t="n"/>
      <c r="AW849" s="1" t="n"/>
      <c r="AX849" s="1" t="n"/>
      <c r="AY849" s="1" t="n"/>
      <c r="AZ849" s="1" t="n"/>
      <c r="BA849" s="1" t="n"/>
    </row>
    <row r="850" ht="16.5" customHeight="1" s="220">
      <c r="A850" s="1" t="n"/>
      <c r="B850" s="1" t="n"/>
      <c r="C850" s="2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  <c r="AR850" s="1" t="n"/>
      <c r="AS850" s="1" t="n"/>
      <c r="AT850" s="1" t="n"/>
      <c r="AU850" s="1" t="n"/>
      <c r="AV850" s="1" t="n"/>
      <c r="AW850" s="1" t="n"/>
      <c r="AX850" s="1" t="n"/>
      <c r="AY850" s="1" t="n"/>
      <c r="AZ850" s="1" t="n"/>
      <c r="BA850" s="1" t="n"/>
    </row>
    <row r="851" ht="16.5" customHeight="1" s="220">
      <c r="A851" s="1" t="n"/>
      <c r="B851" s="1" t="n"/>
      <c r="C851" s="2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  <c r="AR851" s="1" t="n"/>
      <c r="AS851" s="1" t="n"/>
      <c r="AT851" s="1" t="n"/>
      <c r="AU851" s="1" t="n"/>
      <c r="AV851" s="1" t="n"/>
      <c r="AW851" s="1" t="n"/>
      <c r="AX851" s="1" t="n"/>
      <c r="AY851" s="1" t="n"/>
      <c r="AZ851" s="1" t="n"/>
      <c r="BA851" s="1" t="n"/>
    </row>
    <row r="852" ht="16.5" customHeight="1" s="220">
      <c r="A852" s="1" t="n"/>
      <c r="B852" s="1" t="n"/>
      <c r="C852" s="2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  <c r="AR852" s="1" t="n"/>
      <c r="AS852" s="1" t="n"/>
      <c r="AT852" s="1" t="n"/>
      <c r="AU852" s="1" t="n"/>
      <c r="AV852" s="1" t="n"/>
      <c r="AW852" s="1" t="n"/>
      <c r="AX852" s="1" t="n"/>
      <c r="AY852" s="1" t="n"/>
      <c r="AZ852" s="1" t="n"/>
      <c r="BA852" s="1" t="n"/>
    </row>
    <row r="853" ht="16.5" customHeight="1" s="220">
      <c r="A853" s="1" t="n"/>
      <c r="B853" s="1" t="n"/>
      <c r="C853" s="2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  <c r="AR853" s="1" t="n"/>
      <c r="AS853" s="1" t="n"/>
      <c r="AT853" s="1" t="n"/>
      <c r="AU853" s="1" t="n"/>
      <c r="AV853" s="1" t="n"/>
      <c r="AW853" s="1" t="n"/>
      <c r="AX853" s="1" t="n"/>
      <c r="AY853" s="1" t="n"/>
      <c r="AZ853" s="1" t="n"/>
      <c r="BA853" s="1" t="n"/>
    </row>
    <row r="854" ht="16.5" customHeight="1" s="220">
      <c r="A854" s="1" t="n"/>
      <c r="B854" s="1" t="n"/>
      <c r="C854" s="2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  <c r="AR854" s="1" t="n"/>
      <c r="AS854" s="1" t="n"/>
      <c r="AT854" s="1" t="n"/>
      <c r="AU854" s="1" t="n"/>
      <c r="AV854" s="1" t="n"/>
      <c r="AW854" s="1" t="n"/>
      <c r="AX854" s="1" t="n"/>
      <c r="AY854" s="1" t="n"/>
      <c r="AZ854" s="1" t="n"/>
      <c r="BA854" s="1" t="n"/>
    </row>
    <row r="855" ht="16.5" customHeight="1" s="220">
      <c r="A855" s="1" t="n"/>
      <c r="B855" s="1" t="n"/>
      <c r="C855" s="2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  <c r="AR855" s="1" t="n"/>
      <c r="AS855" s="1" t="n"/>
      <c r="AT855" s="1" t="n"/>
      <c r="AU855" s="1" t="n"/>
      <c r="AV855" s="1" t="n"/>
      <c r="AW855" s="1" t="n"/>
      <c r="AX855" s="1" t="n"/>
      <c r="AY855" s="1" t="n"/>
      <c r="AZ855" s="1" t="n"/>
      <c r="BA855" s="1" t="n"/>
    </row>
    <row r="856" ht="16.5" customHeight="1" s="220">
      <c r="A856" s="1" t="n"/>
      <c r="B856" s="1" t="n"/>
      <c r="C856" s="2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  <c r="AR856" s="1" t="n"/>
      <c r="AS856" s="1" t="n"/>
      <c r="AT856" s="1" t="n"/>
      <c r="AU856" s="1" t="n"/>
      <c r="AV856" s="1" t="n"/>
      <c r="AW856" s="1" t="n"/>
      <c r="AX856" s="1" t="n"/>
      <c r="AY856" s="1" t="n"/>
      <c r="AZ856" s="1" t="n"/>
      <c r="BA856" s="1" t="n"/>
    </row>
    <row r="857" ht="16.5" customHeight="1" s="220">
      <c r="A857" s="1" t="n"/>
      <c r="B857" s="1" t="n"/>
      <c r="C857" s="2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  <c r="AR857" s="1" t="n"/>
      <c r="AS857" s="1" t="n"/>
      <c r="AT857" s="1" t="n"/>
      <c r="AU857" s="1" t="n"/>
      <c r="AV857" s="1" t="n"/>
      <c r="AW857" s="1" t="n"/>
      <c r="AX857" s="1" t="n"/>
      <c r="AY857" s="1" t="n"/>
      <c r="AZ857" s="1" t="n"/>
      <c r="BA857" s="1" t="n"/>
    </row>
    <row r="858" ht="16.5" customHeight="1" s="220">
      <c r="A858" s="1" t="n"/>
      <c r="B858" s="1" t="n"/>
      <c r="C858" s="2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  <c r="AR858" s="1" t="n"/>
      <c r="AS858" s="1" t="n"/>
      <c r="AT858" s="1" t="n"/>
      <c r="AU858" s="1" t="n"/>
      <c r="AV858" s="1" t="n"/>
      <c r="AW858" s="1" t="n"/>
      <c r="AX858" s="1" t="n"/>
      <c r="AY858" s="1" t="n"/>
      <c r="AZ858" s="1" t="n"/>
      <c r="BA858" s="1" t="n"/>
    </row>
    <row r="859" ht="16.5" customHeight="1" s="220">
      <c r="A859" s="1" t="n"/>
      <c r="B859" s="1" t="n"/>
      <c r="C859" s="2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  <c r="AR859" s="1" t="n"/>
      <c r="AS859" s="1" t="n"/>
      <c r="AT859" s="1" t="n"/>
      <c r="AU859" s="1" t="n"/>
      <c r="AV859" s="1" t="n"/>
      <c r="AW859" s="1" t="n"/>
      <c r="AX859" s="1" t="n"/>
      <c r="AY859" s="1" t="n"/>
      <c r="AZ859" s="1" t="n"/>
      <c r="BA859" s="1" t="n"/>
    </row>
    <row r="860" ht="16.5" customHeight="1" s="220">
      <c r="A860" s="1" t="n"/>
      <c r="B860" s="1" t="n"/>
      <c r="C860" s="2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  <c r="AW860" s="1" t="n"/>
      <c r="AX860" s="1" t="n"/>
      <c r="AY860" s="1" t="n"/>
      <c r="AZ860" s="1" t="n"/>
      <c r="BA860" s="1" t="n"/>
    </row>
    <row r="861" ht="16.5" customHeight="1" s="220">
      <c r="A861" s="1" t="n"/>
      <c r="B861" s="1" t="n"/>
      <c r="C861" s="2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  <c r="AX861" s="1" t="n"/>
      <c r="AY861" s="1" t="n"/>
      <c r="AZ861" s="1" t="n"/>
      <c r="BA861" s="1" t="n"/>
    </row>
    <row r="862" ht="16.5" customHeight="1" s="220">
      <c r="A862" s="1" t="n"/>
      <c r="B862" s="1" t="n"/>
      <c r="C862" s="2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  <c r="AW862" s="1" t="n"/>
      <c r="AX862" s="1" t="n"/>
      <c r="AY862" s="1" t="n"/>
      <c r="AZ862" s="1" t="n"/>
      <c r="BA862" s="1" t="n"/>
    </row>
    <row r="863" ht="16.5" customHeight="1" s="220">
      <c r="A863" s="1" t="n"/>
      <c r="B863" s="1" t="n"/>
      <c r="C863" s="2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  <c r="AX863" s="1" t="n"/>
      <c r="AY863" s="1" t="n"/>
      <c r="AZ863" s="1" t="n"/>
      <c r="BA863" s="1" t="n"/>
    </row>
    <row r="864" ht="16.5" customHeight="1" s="220">
      <c r="A864" s="1" t="n"/>
      <c r="B864" s="1" t="n"/>
      <c r="C864" s="2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  <c r="AS864" s="1" t="n"/>
      <c r="AT864" s="1" t="n"/>
      <c r="AU864" s="1" t="n"/>
      <c r="AV864" s="1" t="n"/>
      <c r="AW864" s="1" t="n"/>
      <c r="AX864" s="1" t="n"/>
      <c r="AY864" s="1" t="n"/>
      <c r="AZ864" s="1" t="n"/>
      <c r="BA864" s="1" t="n"/>
    </row>
    <row r="865" ht="16.5" customHeight="1" s="220">
      <c r="A865" s="1" t="n"/>
      <c r="B865" s="1" t="n"/>
      <c r="C865" s="2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  <c r="AX865" s="1" t="n"/>
      <c r="AY865" s="1" t="n"/>
      <c r="AZ865" s="1" t="n"/>
      <c r="BA865" s="1" t="n"/>
    </row>
    <row r="866" ht="16.5" customHeight="1" s="220">
      <c r="A866" s="1" t="n"/>
      <c r="B866" s="1" t="n"/>
      <c r="C866" s="2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  <c r="AS866" s="1" t="n"/>
      <c r="AT866" s="1" t="n"/>
      <c r="AU866" s="1" t="n"/>
      <c r="AV866" s="1" t="n"/>
      <c r="AW866" s="1" t="n"/>
      <c r="AX866" s="1" t="n"/>
      <c r="AY866" s="1" t="n"/>
      <c r="AZ866" s="1" t="n"/>
      <c r="BA866" s="1" t="n"/>
    </row>
    <row r="867" ht="16.5" customHeight="1" s="220">
      <c r="A867" s="1" t="n"/>
      <c r="B867" s="1" t="n"/>
      <c r="C867" s="2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  <c r="AX867" s="1" t="n"/>
      <c r="AY867" s="1" t="n"/>
      <c r="AZ867" s="1" t="n"/>
      <c r="BA867" s="1" t="n"/>
    </row>
    <row r="868" ht="16.5" customHeight="1" s="220">
      <c r="A868" s="1" t="n"/>
      <c r="B868" s="1" t="n"/>
      <c r="C868" s="2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  <c r="AS868" s="1" t="n"/>
      <c r="AT868" s="1" t="n"/>
      <c r="AU868" s="1" t="n"/>
      <c r="AV868" s="1" t="n"/>
      <c r="AW868" s="1" t="n"/>
      <c r="AX868" s="1" t="n"/>
      <c r="AY868" s="1" t="n"/>
      <c r="AZ868" s="1" t="n"/>
      <c r="BA868" s="1" t="n"/>
    </row>
    <row r="869" ht="16.5" customHeight="1" s="220">
      <c r="A869" s="1" t="n"/>
      <c r="B869" s="1" t="n"/>
      <c r="C869" s="2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  <c r="AX869" s="1" t="n"/>
      <c r="AY869" s="1" t="n"/>
      <c r="AZ869" s="1" t="n"/>
      <c r="BA869" s="1" t="n"/>
    </row>
    <row r="870" ht="16.5" customHeight="1" s="220">
      <c r="A870" s="1" t="n"/>
      <c r="B870" s="1" t="n"/>
      <c r="C870" s="2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  <c r="AS870" s="1" t="n"/>
      <c r="AT870" s="1" t="n"/>
      <c r="AU870" s="1" t="n"/>
      <c r="AV870" s="1" t="n"/>
      <c r="AW870" s="1" t="n"/>
      <c r="AX870" s="1" t="n"/>
      <c r="AY870" s="1" t="n"/>
      <c r="AZ870" s="1" t="n"/>
      <c r="BA870" s="1" t="n"/>
    </row>
    <row r="871" ht="16.5" customHeight="1" s="220">
      <c r="A871" s="1" t="n"/>
      <c r="B871" s="1" t="n"/>
      <c r="C871" s="2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  <c r="AW871" s="1" t="n"/>
      <c r="AX871" s="1" t="n"/>
      <c r="AY871" s="1" t="n"/>
      <c r="AZ871" s="1" t="n"/>
      <c r="BA871" s="1" t="n"/>
    </row>
    <row r="872" ht="16.5" customHeight="1" s="220">
      <c r="A872" s="1" t="n"/>
      <c r="B872" s="1" t="n"/>
      <c r="C872" s="2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  <c r="AS872" s="1" t="n"/>
      <c r="AT872" s="1" t="n"/>
      <c r="AU872" s="1" t="n"/>
      <c r="AV872" s="1" t="n"/>
      <c r="AW872" s="1" t="n"/>
      <c r="AX872" s="1" t="n"/>
      <c r="AY872" s="1" t="n"/>
      <c r="AZ872" s="1" t="n"/>
      <c r="BA872" s="1" t="n"/>
    </row>
    <row r="873" ht="16.5" customHeight="1" s="220">
      <c r="A873" s="1" t="n"/>
      <c r="B873" s="1" t="n"/>
      <c r="C873" s="2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  <c r="AW873" s="1" t="n"/>
      <c r="AX873" s="1" t="n"/>
      <c r="AY873" s="1" t="n"/>
      <c r="AZ873" s="1" t="n"/>
      <c r="BA873" s="1" t="n"/>
    </row>
    <row r="874" ht="16.5" customHeight="1" s="220">
      <c r="A874" s="1" t="n"/>
      <c r="B874" s="1" t="n"/>
      <c r="C874" s="2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  <c r="AS874" s="1" t="n"/>
      <c r="AT874" s="1" t="n"/>
      <c r="AU874" s="1" t="n"/>
      <c r="AV874" s="1" t="n"/>
      <c r="AW874" s="1" t="n"/>
      <c r="AX874" s="1" t="n"/>
      <c r="AY874" s="1" t="n"/>
      <c r="AZ874" s="1" t="n"/>
      <c r="BA874" s="1" t="n"/>
    </row>
    <row r="875" ht="16.5" customHeight="1" s="220">
      <c r="A875" s="1" t="n"/>
      <c r="B875" s="1" t="n"/>
      <c r="C875" s="2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  <c r="AX875" s="1" t="n"/>
      <c r="AY875" s="1" t="n"/>
      <c r="AZ875" s="1" t="n"/>
      <c r="BA875" s="1" t="n"/>
    </row>
    <row r="876" ht="16.5" customHeight="1" s="220">
      <c r="A876" s="1" t="n"/>
      <c r="B876" s="1" t="n"/>
      <c r="C876" s="2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  <c r="AS876" s="1" t="n"/>
      <c r="AT876" s="1" t="n"/>
      <c r="AU876" s="1" t="n"/>
      <c r="AV876" s="1" t="n"/>
      <c r="AW876" s="1" t="n"/>
      <c r="AX876" s="1" t="n"/>
      <c r="AY876" s="1" t="n"/>
      <c r="AZ876" s="1" t="n"/>
      <c r="BA876" s="1" t="n"/>
    </row>
    <row r="877" ht="16.5" customHeight="1" s="220">
      <c r="A877" s="1" t="n"/>
      <c r="B877" s="1" t="n"/>
      <c r="C877" s="2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  <c r="AW877" s="1" t="n"/>
      <c r="AX877" s="1" t="n"/>
      <c r="AY877" s="1" t="n"/>
      <c r="AZ877" s="1" t="n"/>
      <c r="BA877" s="1" t="n"/>
    </row>
    <row r="878" ht="16.5" customHeight="1" s="220">
      <c r="A878" s="1" t="n"/>
      <c r="B878" s="1" t="n"/>
      <c r="C878" s="2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  <c r="AS878" s="1" t="n"/>
      <c r="AT878" s="1" t="n"/>
      <c r="AU878" s="1" t="n"/>
      <c r="AV878" s="1" t="n"/>
      <c r="AW878" s="1" t="n"/>
      <c r="AX878" s="1" t="n"/>
      <c r="AY878" s="1" t="n"/>
      <c r="AZ878" s="1" t="n"/>
      <c r="BA878" s="1" t="n"/>
    </row>
    <row r="879" ht="16.5" customHeight="1" s="220">
      <c r="A879" s="1" t="n"/>
      <c r="B879" s="1" t="n"/>
      <c r="C879" s="2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  <c r="AX879" s="1" t="n"/>
      <c r="AY879" s="1" t="n"/>
      <c r="AZ879" s="1" t="n"/>
      <c r="BA879" s="1" t="n"/>
    </row>
    <row r="880" ht="16.5" customHeight="1" s="220">
      <c r="A880" s="1" t="n"/>
      <c r="B880" s="1" t="n"/>
      <c r="C880" s="2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  <c r="AS880" s="1" t="n"/>
      <c r="AT880" s="1" t="n"/>
      <c r="AU880" s="1" t="n"/>
      <c r="AV880" s="1" t="n"/>
      <c r="AW880" s="1" t="n"/>
      <c r="AX880" s="1" t="n"/>
      <c r="AY880" s="1" t="n"/>
      <c r="AZ880" s="1" t="n"/>
      <c r="BA880" s="1" t="n"/>
    </row>
    <row r="881" ht="16.5" customHeight="1" s="220">
      <c r="A881" s="1" t="n"/>
      <c r="B881" s="1" t="n"/>
      <c r="C881" s="2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  <c r="AW881" s="1" t="n"/>
      <c r="AX881" s="1" t="n"/>
      <c r="AY881" s="1" t="n"/>
      <c r="AZ881" s="1" t="n"/>
      <c r="BA881" s="1" t="n"/>
    </row>
    <row r="882" ht="16.5" customHeight="1" s="220">
      <c r="A882" s="1" t="n"/>
      <c r="B882" s="1" t="n"/>
      <c r="C882" s="2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  <c r="AS882" s="1" t="n"/>
      <c r="AT882" s="1" t="n"/>
      <c r="AU882" s="1" t="n"/>
      <c r="AV882" s="1" t="n"/>
      <c r="AW882" s="1" t="n"/>
      <c r="AX882" s="1" t="n"/>
      <c r="AY882" s="1" t="n"/>
      <c r="AZ882" s="1" t="n"/>
      <c r="BA882" s="1" t="n"/>
    </row>
    <row r="883" ht="16.5" customHeight="1" s="220">
      <c r="A883" s="1" t="n"/>
      <c r="B883" s="1" t="n"/>
      <c r="C883" s="2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  <c r="AW883" s="1" t="n"/>
      <c r="AX883" s="1" t="n"/>
      <c r="AY883" s="1" t="n"/>
      <c r="AZ883" s="1" t="n"/>
      <c r="BA883" s="1" t="n"/>
    </row>
    <row r="884" ht="16.5" customHeight="1" s="220">
      <c r="A884" s="1" t="n"/>
      <c r="B884" s="1" t="n"/>
      <c r="C884" s="2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  <c r="AS884" s="1" t="n"/>
      <c r="AT884" s="1" t="n"/>
      <c r="AU884" s="1" t="n"/>
      <c r="AV884" s="1" t="n"/>
      <c r="AW884" s="1" t="n"/>
      <c r="AX884" s="1" t="n"/>
      <c r="AY884" s="1" t="n"/>
      <c r="AZ884" s="1" t="n"/>
      <c r="BA884" s="1" t="n"/>
    </row>
    <row r="885" ht="16.5" customHeight="1" s="220">
      <c r="A885" s="1" t="n"/>
      <c r="B885" s="1" t="n"/>
      <c r="C885" s="2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  <c r="AX885" s="1" t="n"/>
      <c r="AY885" s="1" t="n"/>
      <c r="AZ885" s="1" t="n"/>
      <c r="BA885" s="1" t="n"/>
    </row>
    <row r="886" ht="16.5" customHeight="1" s="220">
      <c r="A886" s="1" t="n"/>
      <c r="B886" s="1" t="n"/>
      <c r="C886" s="2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  <c r="AS886" s="1" t="n"/>
      <c r="AT886" s="1" t="n"/>
      <c r="AU886" s="1" t="n"/>
      <c r="AV886" s="1" t="n"/>
      <c r="AW886" s="1" t="n"/>
      <c r="AX886" s="1" t="n"/>
      <c r="AY886" s="1" t="n"/>
      <c r="AZ886" s="1" t="n"/>
      <c r="BA886" s="1" t="n"/>
    </row>
    <row r="887" ht="16.5" customHeight="1" s="220">
      <c r="A887" s="1" t="n"/>
      <c r="B887" s="1" t="n"/>
      <c r="C887" s="2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  <c r="AR887" s="1" t="n"/>
      <c r="AS887" s="1" t="n"/>
      <c r="AT887" s="1" t="n"/>
      <c r="AU887" s="1" t="n"/>
      <c r="AV887" s="1" t="n"/>
      <c r="AW887" s="1" t="n"/>
      <c r="AX887" s="1" t="n"/>
      <c r="AY887" s="1" t="n"/>
      <c r="AZ887" s="1" t="n"/>
      <c r="BA887" s="1" t="n"/>
    </row>
    <row r="888" ht="16.5" customHeight="1" s="220">
      <c r="A888" s="1" t="n"/>
      <c r="B888" s="1" t="n"/>
      <c r="C888" s="2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Q888" s="1" t="n"/>
      <c r="AR888" s="1" t="n"/>
      <c r="AS888" s="1" t="n"/>
      <c r="AT888" s="1" t="n"/>
      <c r="AU888" s="1" t="n"/>
      <c r="AV888" s="1" t="n"/>
      <c r="AW888" s="1" t="n"/>
      <c r="AX888" s="1" t="n"/>
      <c r="AY888" s="1" t="n"/>
      <c r="AZ888" s="1" t="n"/>
      <c r="BA888" s="1" t="n"/>
    </row>
    <row r="889" ht="16.5" customHeight="1" s="220">
      <c r="A889" s="1" t="n"/>
      <c r="B889" s="1" t="n"/>
      <c r="C889" s="2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  <c r="AR889" s="1" t="n"/>
      <c r="AS889" s="1" t="n"/>
      <c r="AT889" s="1" t="n"/>
      <c r="AU889" s="1" t="n"/>
      <c r="AV889" s="1" t="n"/>
      <c r="AW889" s="1" t="n"/>
      <c r="AX889" s="1" t="n"/>
      <c r="AY889" s="1" t="n"/>
      <c r="AZ889" s="1" t="n"/>
      <c r="BA889" s="1" t="n"/>
    </row>
    <row r="890" ht="16.5" customHeight="1" s="220">
      <c r="A890" s="1" t="n"/>
      <c r="B890" s="1" t="n"/>
      <c r="C890" s="2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Q890" s="1" t="n"/>
      <c r="AR890" s="1" t="n"/>
      <c r="AS890" s="1" t="n"/>
      <c r="AT890" s="1" t="n"/>
      <c r="AU890" s="1" t="n"/>
      <c r="AV890" s="1" t="n"/>
      <c r="AW890" s="1" t="n"/>
      <c r="AX890" s="1" t="n"/>
      <c r="AY890" s="1" t="n"/>
      <c r="AZ890" s="1" t="n"/>
      <c r="BA890" s="1" t="n"/>
    </row>
    <row r="891" ht="16.5" customHeight="1" s="220">
      <c r="A891" s="1" t="n"/>
      <c r="B891" s="1" t="n"/>
      <c r="C891" s="2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  <c r="AR891" s="1" t="n"/>
      <c r="AS891" s="1" t="n"/>
      <c r="AT891" s="1" t="n"/>
      <c r="AU891" s="1" t="n"/>
      <c r="AV891" s="1" t="n"/>
      <c r="AW891" s="1" t="n"/>
      <c r="AX891" s="1" t="n"/>
      <c r="AY891" s="1" t="n"/>
      <c r="AZ891" s="1" t="n"/>
      <c r="BA891" s="1" t="n"/>
    </row>
    <row r="892" ht="16.5" customHeight="1" s="220">
      <c r="A892" s="1" t="n"/>
      <c r="B892" s="1" t="n"/>
      <c r="C892" s="2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Q892" s="1" t="n"/>
      <c r="AR892" s="1" t="n"/>
      <c r="AS892" s="1" t="n"/>
      <c r="AT892" s="1" t="n"/>
      <c r="AU892" s="1" t="n"/>
      <c r="AV892" s="1" t="n"/>
      <c r="AW892" s="1" t="n"/>
      <c r="AX892" s="1" t="n"/>
      <c r="AY892" s="1" t="n"/>
      <c r="AZ892" s="1" t="n"/>
      <c r="BA892" s="1" t="n"/>
    </row>
    <row r="893" ht="16.5" customHeight="1" s="220">
      <c r="A893" s="1" t="n"/>
      <c r="B893" s="1" t="n"/>
      <c r="C893" s="2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  <c r="AR893" s="1" t="n"/>
      <c r="AS893" s="1" t="n"/>
      <c r="AT893" s="1" t="n"/>
      <c r="AU893" s="1" t="n"/>
      <c r="AV893" s="1" t="n"/>
      <c r="AW893" s="1" t="n"/>
      <c r="AX893" s="1" t="n"/>
      <c r="AY893" s="1" t="n"/>
      <c r="AZ893" s="1" t="n"/>
      <c r="BA893" s="1" t="n"/>
    </row>
    <row r="894" ht="16.5" customHeight="1" s="220">
      <c r="A894" s="1" t="n"/>
      <c r="B894" s="1" t="n"/>
      <c r="C894" s="2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Q894" s="1" t="n"/>
      <c r="AR894" s="1" t="n"/>
      <c r="AS894" s="1" t="n"/>
      <c r="AT894" s="1" t="n"/>
      <c r="AU894" s="1" t="n"/>
      <c r="AV894" s="1" t="n"/>
      <c r="AW894" s="1" t="n"/>
      <c r="AX894" s="1" t="n"/>
      <c r="AY894" s="1" t="n"/>
      <c r="AZ894" s="1" t="n"/>
      <c r="BA894" s="1" t="n"/>
    </row>
    <row r="895" ht="16.5" customHeight="1" s="220">
      <c r="A895" s="1" t="n"/>
      <c r="B895" s="1" t="n"/>
      <c r="C895" s="2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  <c r="AR895" s="1" t="n"/>
      <c r="AS895" s="1" t="n"/>
      <c r="AT895" s="1" t="n"/>
      <c r="AU895" s="1" t="n"/>
      <c r="AV895" s="1" t="n"/>
      <c r="AW895" s="1" t="n"/>
      <c r="AX895" s="1" t="n"/>
      <c r="AY895" s="1" t="n"/>
      <c r="AZ895" s="1" t="n"/>
      <c r="BA895" s="1" t="n"/>
    </row>
    <row r="896" ht="16.5" customHeight="1" s="220">
      <c r="A896" s="1" t="n"/>
      <c r="B896" s="1" t="n"/>
      <c r="C896" s="2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Q896" s="1" t="n"/>
      <c r="AR896" s="1" t="n"/>
      <c r="AS896" s="1" t="n"/>
      <c r="AT896" s="1" t="n"/>
      <c r="AU896" s="1" t="n"/>
      <c r="AV896" s="1" t="n"/>
      <c r="AW896" s="1" t="n"/>
      <c r="AX896" s="1" t="n"/>
      <c r="AY896" s="1" t="n"/>
      <c r="AZ896" s="1" t="n"/>
      <c r="BA896" s="1" t="n"/>
    </row>
    <row r="897" ht="16.5" customHeight="1" s="220">
      <c r="A897" s="1" t="n"/>
      <c r="B897" s="1" t="n"/>
      <c r="C897" s="2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  <c r="AR897" s="1" t="n"/>
      <c r="AS897" s="1" t="n"/>
      <c r="AT897" s="1" t="n"/>
      <c r="AU897" s="1" t="n"/>
      <c r="AV897" s="1" t="n"/>
      <c r="AW897" s="1" t="n"/>
      <c r="AX897" s="1" t="n"/>
      <c r="AY897" s="1" t="n"/>
      <c r="AZ897" s="1" t="n"/>
      <c r="BA897" s="1" t="n"/>
    </row>
    <row r="898" ht="16.5" customHeight="1" s="220">
      <c r="A898" s="1" t="n"/>
      <c r="B898" s="1" t="n"/>
      <c r="C898" s="2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Q898" s="1" t="n"/>
      <c r="AR898" s="1" t="n"/>
      <c r="AS898" s="1" t="n"/>
      <c r="AT898" s="1" t="n"/>
      <c r="AU898" s="1" t="n"/>
      <c r="AV898" s="1" t="n"/>
      <c r="AW898" s="1" t="n"/>
      <c r="AX898" s="1" t="n"/>
      <c r="AY898" s="1" t="n"/>
      <c r="AZ898" s="1" t="n"/>
      <c r="BA898" s="1" t="n"/>
    </row>
    <row r="899" ht="16.5" customHeight="1" s="220">
      <c r="A899" s="1" t="n"/>
      <c r="B899" s="1" t="n"/>
      <c r="C899" s="2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  <c r="AR899" s="1" t="n"/>
      <c r="AS899" s="1" t="n"/>
      <c r="AT899" s="1" t="n"/>
      <c r="AU899" s="1" t="n"/>
      <c r="AV899" s="1" t="n"/>
      <c r="AW899" s="1" t="n"/>
      <c r="AX899" s="1" t="n"/>
      <c r="AY899" s="1" t="n"/>
      <c r="AZ899" s="1" t="n"/>
      <c r="BA899" s="1" t="n"/>
    </row>
    <row r="900" ht="16.5" customHeight="1" s="220">
      <c r="A900" s="1" t="n"/>
      <c r="B900" s="1" t="n"/>
      <c r="C900" s="2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Q900" s="1" t="n"/>
      <c r="AR900" s="1" t="n"/>
      <c r="AS900" s="1" t="n"/>
      <c r="AT900" s="1" t="n"/>
      <c r="AU900" s="1" t="n"/>
      <c r="AV900" s="1" t="n"/>
      <c r="AW900" s="1" t="n"/>
      <c r="AX900" s="1" t="n"/>
      <c r="AY900" s="1" t="n"/>
      <c r="AZ900" s="1" t="n"/>
      <c r="BA900" s="1" t="n"/>
    </row>
    <row r="901" ht="16.5" customHeight="1" s="220">
      <c r="A901" s="1" t="n"/>
      <c r="B901" s="1" t="n"/>
      <c r="C901" s="2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  <c r="AR901" s="1" t="n"/>
      <c r="AS901" s="1" t="n"/>
      <c r="AT901" s="1" t="n"/>
      <c r="AU901" s="1" t="n"/>
      <c r="AV901" s="1" t="n"/>
      <c r="AW901" s="1" t="n"/>
      <c r="AX901" s="1" t="n"/>
      <c r="AY901" s="1" t="n"/>
      <c r="AZ901" s="1" t="n"/>
      <c r="BA901" s="1" t="n"/>
    </row>
    <row r="902" ht="16.5" customHeight="1" s="220">
      <c r="A902" s="1" t="n"/>
      <c r="B902" s="1" t="n"/>
      <c r="C902" s="2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Q902" s="1" t="n"/>
      <c r="AR902" s="1" t="n"/>
      <c r="AS902" s="1" t="n"/>
      <c r="AT902" s="1" t="n"/>
      <c r="AU902" s="1" t="n"/>
      <c r="AV902" s="1" t="n"/>
      <c r="AW902" s="1" t="n"/>
      <c r="AX902" s="1" t="n"/>
      <c r="AY902" s="1" t="n"/>
      <c r="AZ902" s="1" t="n"/>
      <c r="BA902" s="1" t="n"/>
    </row>
    <row r="903" ht="16.5" customHeight="1" s="220">
      <c r="A903" s="1" t="n"/>
      <c r="B903" s="1" t="n"/>
      <c r="C903" s="2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  <c r="AR903" s="1" t="n"/>
      <c r="AS903" s="1" t="n"/>
      <c r="AT903" s="1" t="n"/>
      <c r="AU903" s="1" t="n"/>
      <c r="AV903" s="1" t="n"/>
      <c r="AW903" s="1" t="n"/>
      <c r="AX903" s="1" t="n"/>
      <c r="AY903" s="1" t="n"/>
      <c r="AZ903" s="1" t="n"/>
      <c r="BA903" s="1" t="n"/>
    </row>
    <row r="904" ht="16.5" customHeight="1" s="220">
      <c r="A904" s="1" t="n"/>
      <c r="B904" s="1" t="n"/>
      <c r="C904" s="2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Q904" s="1" t="n"/>
      <c r="AR904" s="1" t="n"/>
      <c r="AS904" s="1" t="n"/>
      <c r="AT904" s="1" t="n"/>
      <c r="AU904" s="1" t="n"/>
      <c r="AV904" s="1" t="n"/>
      <c r="AW904" s="1" t="n"/>
      <c r="AX904" s="1" t="n"/>
      <c r="AY904" s="1" t="n"/>
      <c r="AZ904" s="1" t="n"/>
      <c r="BA904" s="1" t="n"/>
    </row>
    <row r="905" ht="16.5" customHeight="1" s="220">
      <c r="A905" s="1" t="n"/>
      <c r="B905" s="1" t="n"/>
      <c r="C905" s="2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  <c r="AR905" s="1" t="n"/>
      <c r="AS905" s="1" t="n"/>
      <c r="AT905" s="1" t="n"/>
      <c r="AU905" s="1" t="n"/>
      <c r="AV905" s="1" t="n"/>
      <c r="AW905" s="1" t="n"/>
      <c r="AX905" s="1" t="n"/>
      <c r="AY905" s="1" t="n"/>
      <c r="AZ905" s="1" t="n"/>
      <c r="BA905" s="1" t="n"/>
    </row>
    <row r="906" ht="16.5" customHeight="1" s="220">
      <c r="A906" s="1" t="n"/>
      <c r="B906" s="1" t="n"/>
      <c r="C906" s="2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Q906" s="1" t="n"/>
      <c r="AR906" s="1" t="n"/>
      <c r="AS906" s="1" t="n"/>
      <c r="AT906" s="1" t="n"/>
      <c r="AU906" s="1" t="n"/>
      <c r="AV906" s="1" t="n"/>
      <c r="AW906" s="1" t="n"/>
      <c r="AX906" s="1" t="n"/>
      <c r="AY906" s="1" t="n"/>
      <c r="AZ906" s="1" t="n"/>
      <c r="BA906" s="1" t="n"/>
    </row>
    <row r="907" ht="16.5" customHeight="1" s="220">
      <c r="A907" s="1" t="n"/>
      <c r="B907" s="1" t="n"/>
      <c r="C907" s="2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  <c r="AR907" s="1" t="n"/>
      <c r="AS907" s="1" t="n"/>
      <c r="AT907" s="1" t="n"/>
      <c r="AU907" s="1" t="n"/>
      <c r="AV907" s="1" t="n"/>
      <c r="AW907" s="1" t="n"/>
      <c r="AX907" s="1" t="n"/>
      <c r="AY907" s="1" t="n"/>
      <c r="AZ907" s="1" t="n"/>
      <c r="BA907" s="1" t="n"/>
    </row>
    <row r="908" ht="16.5" customHeight="1" s="220">
      <c r="A908" s="1" t="n"/>
      <c r="B908" s="1" t="n"/>
      <c r="C908" s="2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Q908" s="1" t="n"/>
      <c r="AR908" s="1" t="n"/>
      <c r="AS908" s="1" t="n"/>
      <c r="AT908" s="1" t="n"/>
      <c r="AU908" s="1" t="n"/>
      <c r="AV908" s="1" t="n"/>
      <c r="AW908" s="1" t="n"/>
      <c r="AX908" s="1" t="n"/>
      <c r="AY908" s="1" t="n"/>
      <c r="AZ908" s="1" t="n"/>
      <c r="BA908" s="1" t="n"/>
    </row>
    <row r="909" ht="16.5" customHeight="1" s="220">
      <c r="A909" s="1" t="n"/>
      <c r="B909" s="1" t="n"/>
      <c r="C909" s="2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  <c r="AR909" s="1" t="n"/>
      <c r="AS909" s="1" t="n"/>
      <c r="AT909" s="1" t="n"/>
      <c r="AU909" s="1" t="n"/>
      <c r="AV909" s="1" t="n"/>
      <c r="AW909" s="1" t="n"/>
      <c r="AX909" s="1" t="n"/>
      <c r="AY909" s="1" t="n"/>
      <c r="AZ909" s="1" t="n"/>
      <c r="BA909" s="1" t="n"/>
    </row>
    <row r="910" ht="16.5" customHeight="1" s="220">
      <c r="A910" s="1" t="n"/>
      <c r="B910" s="1" t="n"/>
      <c r="C910" s="2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Q910" s="1" t="n"/>
      <c r="AR910" s="1" t="n"/>
      <c r="AS910" s="1" t="n"/>
      <c r="AT910" s="1" t="n"/>
      <c r="AU910" s="1" t="n"/>
      <c r="AV910" s="1" t="n"/>
      <c r="AW910" s="1" t="n"/>
      <c r="AX910" s="1" t="n"/>
      <c r="AY910" s="1" t="n"/>
      <c r="AZ910" s="1" t="n"/>
      <c r="BA910" s="1" t="n"/>
    </row>
    <row r="911" ht="16.5" customHeight="1" s="220">
      <c r="A911" s="1" t="n"/>
      <c r="B911" s="1" t="n"/>
      <c r="C911" s="2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  <c r="AR911" s="1" t="n"/>
      <c r="AS911" s="1" t="n"/>
      <c r="AT911" s="1" t="n"/>
      <c r="AU911" s="1" t="n"/>
      <c r="AV911" s="1" t="n"/>
      <c r="AW911" s="1" t="n"/>
      <c r="AX911" s="1" t="n"/>
      <c r="AY911" s="1" t="n"/>
      <c r="AZ911" s="1" t="n"/>
      <c r="BA911" s="1" t="n"/>
    </row>
    <row r="912" ht="16.5" customHeight="1" s="220">
      <c r="A912" s="1" t="n"/>
      <c r="B912" s="1" t="n"/>
      <c r="C912" s="2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Q912" s="1" t="n"/>
      <c r="AR912" s="1" t="n"/>
      <c r="AS912" s="1" t="n"/>
      <c r="AT912" s="1" t="n"/>
      <c r="AU912" s="1" t="n"/>
      <c r="AV912" s="1" t="n"/>
      <c r="AW912" s="1" t="n"/>
      <c r="AX912" s="1" t="n"/>
      <c r="AY912" s="1" t="n"/>
      <c r="AZ912" s="1" t="n"/>
      <c r="BA912" s="1" t="n"/>
    </row>
    <row r="913" ht="16.5" customHeight="1" s="220">
      <c r="A913" s="1" t="n"/>
      <c r="B913" s="1" t="n"/>
      <c r="C913" s="2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  <c r="AR913" s="1" t="n"/>
      <c r="AS913" s="1" t="n"/>
      <c r="AT913" s="1" t="n"/>
      <c r="AU913" s="1" t="n"/>
      <c r="AV913" s="1" t="n"/>
      <c r="AW913" s="1" t="n"/>
      <c r="AX913" s="1" t="n"/>
      <c r="AY913" s="1" t="n"/>
      <c r="AZ913" s="1" t="n"/>
      <c r="BA913" s="1" t="n"/>
    </row>
    <row r="914" ht="16.5" customHeight="1" s="220">
      <c r="A914" s="1" t="n"/>
      <c r="B914" s="1" t="n"/>
      <c r="C914" s="2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Q914" s="1" t="n"/>
      <c r="AR914" s="1" t="n"/>
      <c r="AS914" s="1" t="n"/>
      <c r="AT914" s="1" t="n"/>
      <c r="AU914" s="1" t="n"/>
      <c r="AV914" s="1" t="n"/>
      <c r="AW914" s="1" t="n"/>
      <c r="AX914" s="1" t="n"/>
      <c r="AY914" s="1" t="n"/>
      <c r="AZ914" s="1" t="n"/>
      <c r="BA914" s="1" t="n"/>
    </row>
    <row r="915" ht="16.5" customHeight="1" s="220">
      <c r="A915" s="1" t="n"/>
      <c r="B915" s="1" t="n"/>
      <c r="C915" s="2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  <c r="AR915" s="1" t="n"/>
      <c r="AS915" s="1" t="n"/>
      <c r="AT915" s="1" t="n"/>
      <c r="AU915" s="1" t="n"/>
      <c r="AV915" s="1" t="n"/>
      <c r="AW915" s="1" t="n"/>
      <c r="AX915" s="1" t="n"/>
      <c r="AY915" s="1" t="n"/>
      <c r="AZ915" s="1" t="n"/>
      <c r="BA915" s="1" t="n"/>
    </row>
    <row r="916" ht="16.5" customHeight="1" s="220">
      <c r="A916" s="1" t="n"/>
      <c r="B916" s="1" t="n"/>
      <c r="C916" s="2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Q916" s="1" t="n"/>
      <c r="AR916" s="1" t="n"/>
      <c r="AS916" s="1" t="n"/>
      <c r="AT916" s="1" t="n"/>
      <c r="AU916" s="1" t="n"/>
      <c r="AV916" s="1" t="n"/>
      <c r="AW916" s="1" t="n"/>
      <c r="AX916" s="1" t="n"/>
      <c r="AY916" s="1" t="n"/>
      <c r="AZ916" s="1" t="n"/>
      <c r="BA916" s="1" t="n"/>
    </row>
    <row r="917" ht="16.5" customHeight="1" s="220">
      <c r="A917" s="1" t="n"/>
      <c r="B917" s="1" t="n"/>
      <c r="C917" s="2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  <c r="AR917" s="1" t="n"/>
      <c r="AS917" s="1" t="n"/>
      <c r="AT917" s="1" t="n"/>
      <c r="AU917" s="1" t="n"/>
      <c r="AV917" s="1" t="n"/>
      <c r="AW917" s="1" t="n"/>
      <c r="AX917" s="1" t="n"/>
      <c r="AY917" s="1" t="n"/>
      <c r="AZ917" s="1" t="n"/>
      <c r="BA917" s="1" t="n"/>
    </row>
    <row r="918" ht="16.5" customHeight="1" s="220">
      <c r="A918" s="1" t="n"/>
      <c r="B918" s="1" t="n"/>
      <c r="C918" s="2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Q918" s="1" t="n"/>
      <c r="AR918" s="1" t="n"/>
      <c r="AS918" s="1" t="n"/>
      <c r="AT918" s="1" t="n"/>
      <c r="AU918" s="1" t="n"/>
      <c r="AV918" s="1" t="n"/>
      <c r="AW918" s="1" t="n"/>
      <c r="AX918" s="1" t="n"/>
      <c r="AY918" s="1" t="n"/>
      <c r="AZ918" s="1" t="n"/>
      <c r="BA918" s="1" t="n"/>
    </row>
    <row r="919" ht="16.5" customHeight="1" s="220">
      <c r="A919" s="1" t="n"/>
      <c r="B919" s="1" t="n"/>
      <c r="C919" s="2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  <c r="AR919" s="1" t="n"/>
      <c r="AS919" s="1" t="n"/>
      <c r="AT919" s="1" t="n"/>
      <c r="AU919" s="1" t="n"/>
      <c r="AV919" s="1" t="n"/>
      <c r="AW919" s="1" t="n"/>
      <c r="AX919" s="1" t="n"/>
      <c r="AY919" s="1" t="n"/>
      <c r="AZ919" s="1" t="n"/>
      <c r="BA919" s="1" t="n"/>
    </row>
    <row r="920" ht="16.5" customHeight="1" s="220">
      <c r="A920" s="1" t="n"/>
      <c r="B920" s="1" t="n"/>
      <c r="C920" s="2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Q920" s="1" t="n"/>
      <c r="AR920" s="1" t="n"/>
      <c r="AS920" s="1" t="n"/>
      <c r="AT920" s="1" t="n"/>
      <c r="AU920" s="1" t="n"/>
      <c r="AV920" s="1" t="n"/>
      <c r="AW920" s="1" t="n"/>
      <c r="AX920" s="1" t="n"/>
      <c r="AY920" s="1" t="n"/>
      <c r="AZ920" s="1" t="n"/>
      <c r="BA920" s="1" t="n"/>
    </row>
    <row r="921" ht="16.5" customHeight="1" s="220">
      <c r="A921" s="1" t="n"/>
      <c r="B921" s="1" t="n"/>
      <c r="C921" s="2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  <c r="AR921" s="1" t="n"/>
      <c r="AS921" s="1" t="n"/>
      <c r="AT921" s="1" t="n"/>
      <c r="AU921" s="1" t="n"/>
      <c r="AV921" s="1" t="n"/>
      <c r="AW921" s="1" t="n"/>
      <c r="AX921" s="1" t="n"/>
      <c r="AY921" s="1" t="n"/>
      <c r="AZ921" s="1" t="n"/>
      <c r="BA921" s="1" t="n"/>
    </row>
    <row r="922" ht="16.5" customHeight="1" s="220">
      <c r="A922" s="1" t="n"/>
      <c r="B922" s="1" t="n"/>
      <c r="C922" s="2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Q922" s="1" t="n"/>
      <c r="AR922" s="1" t="n"/>
      <c r="AS922" s="1" t="n"/>
      <c r="AT922" s="1" t="n"/>
      <c r="AU922" s="1" t="n"/>
      <c r="AV922" s="1" t="n"/>
      <c r="AW922" s="1" t="n"/>
      <c r="AX922" s="1" t="n"/>
      <c r="AY922" s="1" t="n"/>
      <c r="AZ922" s="1" t="n"/>
      <c r="BA922" s="1" t="n"/>
    </row>
    <row r="923" ht="16.5" customHeight="1" s="220">
      <c r="A923" s="1" t="n"/>
      <c r="B923" s="1" t="n"/>
      <c r="C923" s="2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  <c r="AR923" s="1" t="n"/>
      <c r="AS923" s="1" t="n"/>
      <c r="AT923" s="1" t="n"/>
      <c r="AU923" s="1" t="n"/>
      <c r="AV923" s="1" t="n"/>
      <c r="AW923" s="1" t="n"/>
      <c r="AX923" s="1" t="n"/>
      <c r="AY923" s="1" t="n"/>
      <c r="AZ923" s="1" t="n"/>
      <c r="BA923" s="1" t="n"/>
    </row>
    <row r="924" ht="16.5" customHeight="1" s="220">
      <c r="A924" s="1" t="n"/>
      <c r="B924" s="1" t="n"/>
      <c r="C924" s="2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Q924" s="1" t="n"/>
      <c r="AR924" s="1" t="n"/>
      <c r="AS924" s="1" t="n"/>
      <c r="AT924" s="1" t="n"/>
      <c r="AU924" s="1" t="n"/>
      <c r="AV924" s="1" t="n"/>
      <c r="AW924" s="1" t="n"/>
      <c r="AX924" s="1" t="n"/>
      <c r="AY924" s="1" t="n"/>
      <c r="AZ924" s="1" t="n"/>
      <c r="BA924" s="1" t="n"/>
    </row>
    <row r="925" ht="16.5" customHeight="1" s="220">
      <c r="A925" s="1" t="n"/>
      <c r="B925" s="1" t="n"/>
      <c r="C925" s="2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  <c r="AR925" s="1" t="n"/>
      <c r="AS925" s="1" t="n"/>
      <c r="AT925" s="1" t="n"/>
      <c r="AU925" s="1" t="n"/>
      <c r="AV925" s="1" t="n"/>
      <c r="AW925" s="1" t="n"/>
      <c r="AX925" s="1" t="n"/>
      <c r="AY925" s="1" t="n"/>
      <c r="AZ925" s="1" t="n"/>
      <c r="BA925" s="1" t="n"/>
    </row>
    <row r="926" ht="16.5" customHeight="1" s="220">
      <c r="A926" s="1" t="n"/>
      <c r="B926" s="1" t="n"/>
      <c r="C926" s="2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Q926" s="1" t="n"/>
      <c r="AR926" s="1" t="n"/>
      <c r="AS926" s="1" t="n"/>
      <c r="AT926" s="1" t="n"/>
      <c r="AU926" s="1" t="n"/>
      <c r="AV926" s="1" t="n"/>
      <c r="AW926" s="1" t="n"/>
      <c r="AX926" s="1" t="n"/>
      <c r="AY926" s="1" t="n"/>
      <c r="AZ926" s="1" t="n"/>
      <c r="BA926" s="1" t="n"/>
    </row>
    <row r="927" ht="16.5" customHeight="1" s="220">
      <c r="A927" s="1" t="n"/>
      <c r="B927" s="1" t="n"/>
      <c r="C927" s="2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  <c r="AR927" s="1" t="n"/>
      <c r="AS927" s="1" t="n"/>
      <c r="AT927" s="1" t="n"/>
      <c r="AU927" s="1" t="n"/>
      <c r="AV927" s="1" t="n"/>
      <c r="AW927" s="1" t="n"/>
      <c r="AX927" s="1" t="n"/>
      <c r="AY927" s="1" t="n"/>
      <c r="AZ927" s="1" t="n"/>
      <c r="BA927" s="1" t="n"/>
    </row>
    <row r="928" ht="16.5" customHeight="1" s="220">
      <c r="A928" s="1" t="n"/>
      <c r="B928" s="1" t="n"/>
      <c r="C928" s="2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Q928" s="1" t="n"/>
      <c r="AR928" s="1" t="n"/>
      <c r="AS928" s="1" t="n"/>
      <c r="AT928" s="1" t="n"/>
      <c r="AU928" s="1" t="n"/>
      <c r="AV928" s="1" t="n"/>
      <c r="AW928" s="1" t="n"/>
      <c r="AX928" s="1" t="n"/>
      <c r="AY928" s="1" t="n"/>
      <c r="AZ928" s="1" t="n"/>
      <c r="BA928" s="1" t="n"/>
    </row>
    <row r="929" ht="16.5" customHeight="1" s="220">
      <c r="A929" s="1" t="n"/>
      <c r="B929" s="1" t="n"/>
      <c r="C929" s="2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  <c r="AR929" s="1" t="n"/>
      <c r="AS929" s="1" t="n"/>
      <c r="AT929" s="1" t="n"/>
      <c r="AU929" s="1" t="n"/>
      <c r="AV929" s="1" t="n"/>
      <c r="AW929" s="1" t="n"/>
      <c r="AX929" s="1" t="n"/>
      <c r="AY929" s="1" t="n"/>
      <c r="AZ929" s="1" t="n"/>
      <c r="BA929" s="1" t="n"/>
    </row>
    <row r="930" ht="16.5" customHeight="1" s="220">
      <c r="A930" s="1" t="n"/>
      <c r="B930" s="1" t="n"/>
      <c r="C930" s="2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Q930" s="1" t="n"/>
      <c r="AR930" s="1" t="n"/>
      <c r="AS930" s="1" t="n"/>
      <c r="AT930" s="1" t="n"/>
      <c r="AU930" s="1" t="n"/>
      <c r="AV930" s="1" t="n"/>
      <c r="AW930" s="1" t="n"/>
      <c r="AX930" s="1" t="n"/>
      <c r="AY930" s="1" t="n"/>
      <c r="AZ930" s="1" t="n"/>
      <c r="BA930" s="1" t="n"/>
    </row>
    <row r="931" ht="16.5" customHeight="1" s="220">
      <c r="A931" s="1" t="n"/>
      <c r="B931" s="1" t="n"/>
      <c r="C931" s="2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  <c r="AR931" s="1" t="n"/>
      <c r="AS931" s="1" t="n"/>
      <c r="AT931" s="1" t="n"/>
      <c r="AU931" s="1" t="n"/>
      <c r="AV931" s="1" t="n"/>
      <c r="AW931" s="1" t="n"/>
      <c r="AX931" s="1" t="n"/>
      <c r="AY931" s="1" t="n"/>
      <c r="AZ931" s="1" t="n"/>
      <c r="BA931" s="1" t="n"/>
    </row>
    <row r="932" ht="16.5" customHeight="1" s="220">
      <c r="A932" s="1" t="n"/>
      <c r="B932" s="1" t="n"/>
      <c r="C932" s="2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Q932" s="1" t="n"/>
      <c r="AR932" s="1" t="n"/>
      <c r="AS932" s="1" t="n"/>
      <c r="AT932" s="1" t="n"/>
      <c r="AU932" s="1" t="n"/>
      <c r="AV932" s="1" t="n"/>
      <c r="AW932" s="1" t="n"/>
      <c r="AX932" s="1" t="n"/>
      <c r="AY932" s="1" t="n"/>
      <c r="AZ932" s="1" t="n"/>
      <c r="BA932" s="1" t="n"/>
    </row>
    <row r="933" ht="16.5" customHeight="1" s="220">
      <c r="A933" s="1" t="n"/>
      <c r="B933" s="1" t="n"/>
      <c r="C933" s="2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  <c r="AR933" s="1" t="n"/>
      <c r="AS933" s="1" t="n"/>
      <c r="AT933" s="1" t="n"/>
      <c r="AU933" s="1" t="n"/>
      <c r="AV933" s="1" t="n"/>
      <c r="AW933" s="1" t="n"/>
      <c r="AX933" s="1" t="n"/>
      <c r="AY933" s="1" t="n"/>
      <c r="AZ933" s="1" t="n"/>
      <c r="BA933" s="1" t="n"/>
    </row>
    <row r="934" ht="16.5" customHeight="1" s="220">
      <c r="A934" s="1" t="n"/>
      <c r="B934" s="1" t="n"/>
      <c r="C934" s="2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Q934" s="1" t="n"/>
      <c r="AR934" s="1" t="n"/>
      <c r="AS934" s="1" t="n"/>
      <c r="AT934" s="1" t="n"/>
      <c r="AU934" s="1" t="n"/>
      <c r="AV934" s="1" t="n"/>
      <c r="AW934" s="1" t="n"/>
      <c r="AX934" s="1" t="n"/>
      <c r="AY934" s="1" t="n"/>
      <c r="AZ934" s="1" t="n"/>
      <c r="BA934" s="1" t="n"/>
    </row>
    <row r="935" ht="16.5" customHeight="1" s="220">
      <c r="A935" s="1" t="n"/>
      <c r="B935" s="1" t="n"/>
      <c r="C935" s="2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  <c r="AR935" s="1" t="n"/>
      <c r="AS935" s="1" t="n"/>
      <c r="AT935" s="1" t="n"/>
      <c r="AU935" s="1" t="n"/>
      <c r="AV935" s="1" t="n"/>
      <c r="AW935" s="1" t="n"/>
      <c r="AX935" s="1" t="n"/>
      <c r="AY935" s="1" t="n"/>
      <c r="AZ935" s="1" t="n"/>
      <c r="BA935" s="1" t="n"/>
    </row>
    <row r="936" ht="16.5" customHeight="1" s="220">
      <c r="A936" s="1" t="n"/>
      <c r="B936" s="1" t="n"/>
      <c r="C936" s="2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Q936" s="1" t="n"/>
      <c r="AR936" s="1" t="n"/>
      <c r="AS936" s="1" t="n"/>
      <c r="AT936" s="1" t="n"/>
      <c r="AU936" s="1" t="n"/>
      <c r="AV936" s="1" t="n"/>
      <c r="AW936" s="1" t="n"/>
      <c r="AX936" s="1" t="n"/>
      <c r="AY936" s="1" t="n"/>
      <c r="AZ936" s="1" t="n"/>
      <c r="BA936" s="1" t="n"/>
    </row>
    <row r="937" ht="16.5" customHeight="1" s="220">
      <c r="A937" s="1" t="n"/>
      <c r="B937" s="1" t="n"/>
      <c r="C937" s="2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  <c r="AR937" s="1" t="n"/>
      <c r="AS937" s="1" t="n"/>
      <c r="AT937" s="1" t="n"/>
      <c r="AU937" s="1" t="n"/>
      <c r="AV937" s="1" t="n"/>
      <c r="AW937" s="1" t="n"/>
      <c r="AX937" s="1" t="n"/>
      <c r="AY937" s="1" t="n"/>
      <c r="AZ937" s="1" t="n"/>
      <c r="BA937" s="1" t="n"/>
    </row>
    <row r="938" ht="16.5" customHeight="1" s="220">
      <c r="A938" s="1" t="n"/>
      <c r="B938" s="1" t="n"/>
      <c r="C938" s="2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Q938" s="1" t="n"/>
      <c r="AR938" s="1" t="n"/>
      <c r="AS938" s="1" t="n"/>
      <c r="AT938" s="1" t="n"/>
      <c r="AU938" s="1" t="n"/>
      <c r="AV938" s="1" t="n"/>
      <c r="AW938" s="1" t="n"/>
      <c r="AX938" s="1" t="n"/>
      <c r="AY938" s="1" t="n"/>
      <c r="AZ938" s="1" t="n"/>
      <c r="BA938" s="1" t="n"/>
    </row>
    <row r="939" ht="16.5" customHeight="1" s="220">
      <c r="A939" s="1" t="n"/>
      <c r="B939" s="1" t="n"/>
      <c r="C939" s="2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  <c r="AR939" s="1" t="n"/>
      <c r="AS939" s="1" t="n"/>
      <c r="AT939" s="1" t="n"/>
      <c r="AU939" s="1" t="n"/>
      <c r="AV939" s="1" t="n"/>
      <c r="AW939" s="1" t="n"/>
      <c r="AX939" s="1" t="n"/>
      <c r="AY939" s="1" t="n"/>
      <c r="AZ939" s="1" t="n"/>
      <c r="BA939" s="1" t="n"/>
    </row>
    <row r="940" ht="16.5" customHeight="1" s="220">
      <c r="A940" s="1" t="n"/>
      <c r="B940" s="1" t="n"/>
      <c r="C940" s="2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Q940" s="1" t="n"/>
      <c r="AR940" s="1" t="n"/>
      <c r="AS940" s="1" t="n"/>
      <c r="AT940" s="1" t="n"/>
      <c r="AU940" s="1" t="n"/>
      <c r="AV940" s="1" t="n"/>
      <c r="AW940" s="1" t="n"/>
      <c r="AX940" s="1" t="n"/>
      <c r="AY940" s="1" t="n"/>
      <c r="AZ940" s="1" t="n"/>
      <c r="BA940" s="1" t="n"/>
    </row>
    <row r="941" ht="16.5" customHeight="1" s="220">
      <c r="A941" s="1" t="n"/>
      <c r="B941" s="1" t="n"/>
      <c r="C941" s="2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  <c r="AR941" s="1" t="n"/>
      <c r="AS941" s="1" t="n"/>
      <c r="AT941" s="1" t="n"/>
      <c r="AU941" s="1" t="n"/>
      <c r="AV941" s="1" t="n"/>
      <c r="AW941" s="1" t="n"/>
      <c r="AX941" s="1" t="n"/>
      <c r="AY941" s="1" t="n"/>
      <c r="AZ941" s="1" t="n"/>
      <c r="BA941" s="1" t="n"/>
    </row>
    <row r="942" ht="16.5" customHeight="1" s="220">
      <c r="A942" s="1" t="n"/>
      <c r="B942" s="1" t="n"/>
      <c r="C942" s="2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Q942" s="1" t="n"/>
      <c r="AR942" s="1" t="n"/>
      <c r="AS942" s="1" t="n"/>
      <c r="AT942" s="1" t="n"/>
      <c r="AU942" s="1" t="n"/>
      <c r="AV942" s="1" t="n"/>
      <c r="AW942" s="1" t="n"/>
      <c r="AX942" s="1" t="n"/>
      <c r="AY942" s="1" t="n"/>
      <c r="AZ942" s="1" t="n"/>
      <c r="BA942" s="1" t="n"/>
    </row>
    <row r="943" ht="16.5" customHeight="1" s="220">
      <c r="A943" s="1" t="n"/>
      <c r="B943" s="1" t="n"/>
      <c r="C943" s="2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  <c r="AR943" s="1" t="n"/>
      <c r="AS943" s="1" t="n"/>
      <c r="AT943" s="1" t="n"/>
      <c r="AU943" s="1" t="n"/>
      <c r="AV943" s="1" t="n"/>
      <c r="AW943" s="1" t="n"/>
      <c r="AX943" s="1" t="n"/>
      <c r="AY943" s="1" t="n"/>
      <c r="AZ943" s="1" t="n"/>
      <c r="BA943" s="1" t="n"/>
    </row>
    <row r="944" ht="16.5" customHeight="1" s="220">
      <c r="A944" s="1" t="n"/>
      <c r="B944" s="1" t="n"/>
      <c r="C944" s="2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Q944" s="1" t="n"/>
      <c r="AR944" s="1" t="n"/>
      <c r="AS944" s="1" t="n"/>
      <c r="AT944" s="1" t="n"/>
      <c r="AU944" s="1" t="n"/>
      <c r="AV944" s="1" t="n"/>
      <c r="AW944" s="1" t="n"/>
      <c r="AX944" s="1" t="n"/>
      <c r="AY944" s="1" t="n"/>
      <c r="AZ944" s="1" t="n"/>
      <c r="BA944" s="1" t="n"/>
    </row>
    <row r="945" ht="16.5" customHeight="1" s="220">
      <c r="A945" s="1" t="n"/>
      <c r="B945" s="1" t="n"/>
      <c r="C945" s="2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  <c r="AR945" s="1" t="n"/>
      <c r="AS945" s="1" t="n"/>
      <c r="AT945" s="1" t="n"/>
      <c r="AU945" s="1" t="n"/>
      <c r="AV945" s="1" t="n"/>
      <c r="AW945" s="1" t="n"/>
      <c r="AX945" s="1" t="n"/>
      <c r="AY945" s="1" t="n"/>
      <c r="AZ945" s="1" t="n"/>
      <c r="BA945" s="1" t="n"/>
    </row>
    <row r="946" ht="16.5" customHeight="1" s="220">
      <c r="A946" s="1" t="n"/>
      <c r="B946" s="1" t="n"/>
      <c r="C946" s="2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Q946" s="1" t="n"/>
      <c r="AR946" s="1" t="n"/>
      <c r="AS946" s="1" t="n"/>
      <c r="AT946" s="1" t="n"/>
      <c r="AU946" s="1" t="n"/>
      <c r="AV946" s="1" t="n"/>
      <c r="AW946" s="1" t="n"/>
      <c r="AX946" s="1" t="n"/>
      <c r="AY946" s="1" t="n"/>
      <c r="AZ946" s="1" t="n"/>
      <c r="BA946" s="1" t="n"/>
    </row>
    <row r="947" ht="16.5" customHeight="1" s="220">
      <c r="A947" s="1" t="n"/>
      <c r="B947" s="1" t="n"/>
      <c r="C947" s="2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  <c r="AR947" s="1" t="n"/>
      <c r="AS947" s="1" t="n"/>
      <c r="AT947" s="1" t="n"/>
      <c r="AU947" s="1" t="n"/>
      <c r="AV947" s="1" t="n"/>
      <c r="AW947" s="1" t="n"/>
      <c r="AX947" s="1" t="n"/>
      <c r="AY947" s="1" t="n"/>
      <c r="AZ947" s="1" t="n"/>
      <c r="BA947" s="1" t="n"/>
    </row>
    <row r="948" ht="16.5" customHeight="1" s="220">
      <c r="A948" s="1" t="n"/>
      <c r="B948" s="1" t="n"/>
      <c r="C948" s="2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Q948" s="1" t="n"/>
      <c r="AR948" s="1" t="n"/>
      <c r="AS948" s="1" t="n"/>
      <c r="AT948" s="1" t="n"/>
      <c r="AU948" s="1" t="n"/>
      <c r="AV948" s="1" t="n"/>
      <c r="AW948" s="1" t="n"/>
      <c r="AX948" s="1" t="n"/>
      <c r="AY948" s="1" t="n"/>
      <c r="AZ948" s="1" t="n"/>
      <c r="BA948" s="1" t="n"/>
    </row>
    <row r="949" ht="16.5" customHeight="1" s="220">
      <c r="A949" s="1" t="n"/>
      <c r="B949" s="1" t="n"/>
      <c r="C949" s="2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  <c r="AR949" s="1" t="n"/>
      <c r="AS949" s="1" t="n"/>
      <c r="AT949" s="1" t="n"/>
      <c r="AU949" s="1" t="n"/>
      <c r="AV949" s="1" t="n"/>
      <c r="AW949" s="1" t="n"/>
      <c r="AX949" s="1" t="n"/>
      <c r="AY949" s="1" t="n"/>
      <c r="AZ949" s="1" t="n"/>
      <c r="BA949" s="1" t="n"/>
    </row>
    <row r="950" ht="16.5" customHeight="1" s="220">
      <c r="A950" s="1" t="n"/>
      <c r="B950" s="1" t="n"/>
      <c r="C950" s="2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Q950" s="1" t="n"/>
      <c r="AR950" s="1" t="n"/>
      <c r="AS950" s="1" t="n"/>
      <c r="AT950" s="1" t="n"/>
      <c r="AU950" s="1" t="n"/>
      <c r="AV950" s="1" t="n"/>
      <c r="AW950" s="1" t="n"/>
      <c r="AX950" s="1" t="n"/>
      <c r="AY950" s="1" t="n"/>
      <c r="AZ950" s="1" t="n"/>
      <c r="BA950" s="1" t="n"/>
    </row>
    <row r="951" ht="16.5" customHeight="1" s="220">
      <c r="A951" s="1" t="n"/>
      <c r="B951" s="1" t="n"/>
      <c r="C951" s="2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  <c r="AR951" s="1" t="n"/>
      <c r="AS951" s="1" t="n"/>
      <c r="AT951" s="1" t="n"/>
      <c r="AU951" s="1" t="n"/>
      <c r="AV951" s="1" t="n"/>
      <c r="AW951" s="1" t="n"/>
      <c r="AX951" s="1" t="n"/>
      <c r="AY951" s="1" t="n"/>
      <c r="AZ951" s="1" t="n"/>
      <c r="BA951" s="1" t="n"/>
    </row>
    <row r="952" ht="16.5" customHeight="1" s="220">
      <c r="A952" s="1" t="n"/>
      <c r="B952" s="1" t="n"/>
      <c r="C952" s="2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Q952" s="1" t="n"/>
      <c r="AR952" s="1" t="n"/>
      <c r="AS952" s="1" t="n"/>
      <c r="AT952" s="1" t="n"/>
      <c r="AU952" s="1" t="n"/>
      <c r="AV952" s="1" t="n"/>
      <c r="AW952" s="1" t="n"/>
      <c r="AX952" s="1" t="n"/>
      <c r="AY952" s="1" t="n"/>
      <c r="AZ952" s="1" t="n"/>
      <c r="BA952" s="1" t="n"/>
    </row>
    <row r="953" ht="16.5" customHeight="1" s="220">
      <c r="A953" s="1" t="n"/>
      <c r="B953" s="1" t="n"/>
      <c r="C953" s="2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  <c r="AR953" s="1" t="n"/>
      <c r="AS953" s="1" t="n"/>
      <c r="AT953" s="1" t="n"/>
      <c r="AU953" s="1" t="n"/>
      <c r="AV953" s="1" t="n"/>
      <c r="AW953" s="1" t="n"/>
      <c r="AX953" s="1" t="n"/>
      <c r="AY953" s="1" t="n"/>
      <c r="AZ953" s="1" t="n"/>
      <c r="BA953" s="1" t="n"/>
    </row>
    <row r="954" ht="16.5" customHeight="1" s="220">
      <c r="A954" s="1" t="n"/>
      <c r="B954" s="1" t="n"/>
      <c r="C954" s="2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Q954" s="1" t="n"/>
      <c r="AR954" s="1" t="n"/>
      <c r="AS954" s="1" t="n"/>
      <c r="AT954" s="1" t="n"/>
      <c r="AU954" s="1" t="n"/>
      <c r="AV954" s="1" t="n"/>
      <c r="AW954" s="1" t="n"/>
      <c r="AX954" s="1" t="n"/>
      <c r="AY954" s="1" t="n"/>
      <c r="AZ954" s="1" t="n"/>
      <c r="BA954" s="1" t="n"/>
    </row>
    <row r="955" ht="16.5" customHeight="1" s="220">
      <c r="A955" s="1" t="n"/>
      <c r="B955" s="1" t="n"/>
      <c r="C955" s="2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  <c r="AR955" s="1" t="n"/>
      <c r="AS955" s="1" t="n"/>
      <c r="AT955" s="1" t="n"/>
      <c r="AU955" s="1" t="n"/>
      <c r="AV955" s="1" t="n"/>
      <c r="AW955" s="1" t="n"/>
      <c r="AX955" s="1" t="n"/>
      <c r="AY955" s="1" t="n"/>
      <c r="AZ955" s="1" t="n"/>
      <c r="BA955" s="1" t="n"/>
    </row>
    <row r="956" ht="16.5" customHeight="1" s="220">
      <c r="A956" s="1" t="n"/>
      <c r="B956" s="1" t="n"/>
      <c r="C956" s="2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Q956" s="1" t="n"/>
      <c r="AR956" s="1" t="n"/>
      <c r="AS956" s="1" t="n"/>
      <c r="AT956" s="1" t="n"/>
      <c r="AU956" s="1" t="n"/>
      <c r="AV956" s="1" t="n"/>
      <c r="AW956" s="1" t="n"/>
      <c r="AX956" s="1" t="n"/>
      <c r="AY956" s="1" t="n"/>
      <c r="AZ956" s="1" t="n"/>
      <c r="BA956" s="1" t="n"/>
    </row>
    <row r="957" ht="16.5" customHeight="1" s="220">
      <c r="A957" s="1" t="n"/>
      <c r="B957" s="1" t="n"/>
      <c r="C957" s="2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  <c r="AR957" s="1" t="n"/>
      <c r="AS957" s="1" t="n"/>
      <c r="AT957" s="1" t="n"/>
      <c r="AU957" s="1" t="n"/>
      <c r="AV957" s="1" t="n"/>
      <c r="AW957" s="1" t="n"/>
      <c r="AX957" s="1" t="n"/>
      <c r="AY957" s="1" t="n"/>
      <c r="AZ957" s="1" t="n"/>
      <c r="BA957" s="1" t="n"/>
    </row>
    <row r="958" ht="16.5" customHeight="1" s="220">
      <c r="A958" s="1" t="n"/>
      <c r="B958" s="1" t="n"/>
      <c r="C958" s="2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Q958" s="1" t="n"/>
      <c r="AR958" s="1" t="n"/>
      <c r="AS958" s="1" t="n"/>
      <c r="AT958" s="1" t="n"/>
      <c r="AU958" s="1" t="n"/>
      <c r="AV958" s="1" t="n"/>
      <c r="AW958" s="1" t="n"/>
      <c r="AX958" s="1" t="n"/>
      <c r="AY958" s="1" t="n"/>
      <c r="AZ958" s="1" t="n"/>
      <c r="BA958" s="1" t="n"/>
    </row>
    <row r="959" ht="16.5" customHeight="1" s="220">
      <c r="A959" s="1" t="n"/>
      <c r="B959" s="1" t="n"/>
      <c r="C959" s="2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  <c r="AR959" s="1" t="n"/>
      <c r="AS959" s="1" t="n"/>
      <c r="AT959" s="1" t="n"/>
      <c r="AU959" s="1" t="n"/>
      <c r="AV959" s="1" t="n"/>
      <c r="AW959" s="1" t="n"/>
      <c r="AX959" s="1" t="n"/>
      <c r="AY959" s="1" t="n"/>
      <c r="AZ959" s="1" t="n"/>
      <c r="BA959" s="1" t="n"/>
    </row>
    <row r="960" ht="16.5" customHeight="1" s="220">
      <c r="A960" s="1" t="n"/>
      <c r="B960" s="1" t="n"/>
      <c r="C960" s="2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Q960" s="1" t="n"/>
      <c r="AR960" s="1" t="n"/>
      <c r="AS960" s="1" t="n"/>
      <c r="AT960" s="1" t="n"/>
      <c r="AU960" s="1" t="n"/>
      <c r="AV960" s="1" t="n"/>
      <c r="AW960" s="1" t="n"/>
      <c r="AX960" s="1" t="n"/>
      <c r="AY960" s="1" t="n"/>
      <c r="AZ960" s="1" t="n"/>
      <c r="BA960" s="1" t="n"/>
    </row>
    <row r="961" ht="16.5" customHeight="1" s="220">
      <c r="A961" s="1" t="n"/>
      <c r="B961" s="1" t="n"/>
      <c r="C961" s="2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  <c r="AR961" s="1" t="n"/>
      <c r="AS961" s="1" t="n"/>
      <c r="AT961" s="1" t="n"/>
      <c r="AU961" s="1" t="n"/>
      <c r="AV961" s="1" t="n"/>
      <c r="AW961" s="1" t="n"/>
      <c r="AX961" s="1" t="n"/>
      <c r="AY961" s="1" t="n"/>
      <c r="AZ961" s="1" t="n"/>
      <c r="BA961" s="1" t="n"/>
    </row>
    <row r="962" ht="16.5" customHeight="1" s="220">
      <c r="A962" s="1" t="n"/>
      <c r="B962" s="1" t="n"/>
      <c r="C962" s="2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Q962" s="1" t="n"/>
      <c r="AR962" s="1" t="n"/>
      <c r="AS962" s="1" t="n"/>
      <c r="AT962" s="1" t="n"/>
      <c r="AU962" s="1" t="n"/>
      <c r="AV962" s="1" t="n"/>
      <c r="AW962" s="1" t="n"/>
      <c r="AX962" s="1" t="n"/>
      <c r="AY962" s="1" t="n"/>
      <c r="AZ962" s="1" t="n"/>
      <c r="BA962" s="1" t="n"/>
    </row>
    <row r="963" ht="16.5" customHeight="1" s="220">
      <c r="A963" s="1" t="n"/>
      <c r="B963" s="1" t="n"/>
      <c r="C963" s="2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  <c r="AR963" s="1" t="n"/>
      <c r="AS963" s="1" t="n"/>
      <c r="AT963" s="1" t="n"/>
      <c r="AU963" s="1" t="n"/>
      <c r="AV963" s="1" t="n"/>
      <c r="AW963" s="1" t="n"/>
      <c r="AX963" s="1" t="n"/>
      <c r="AY963" s="1" t="n"/>
      <c r="AZ963" s="1" t="n"/>
      <c r="BA963" s="1" t="n"/>
    </row>
    <row r="964" ht="16.5" customHeight="1" s="220">
      <c r="A964" s="1" t="n"/>
      <c r="B964" s="1" t="n"/>
      <c r="C964" s="2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Q964" s="1" t="n"/>
      <c r="AR964" s="1" t="n"/>
      <c r="AS964" s="1" t="n"/>
      <c r="AT964" s="1" t="n"/>
      <c r="AU964" s="1" t="n"/>
      <c r="AV964" s="1" t="n"/>
      <c r="AW964" s="1" t="n"/>
      <c r="AX964" s="1" t="n"/>
      <c r="AY964" s="1" t="n"/>
      <c r="AZ964" s="1" t="n"/>
      <c r="BA964" s="1" t="n"/>
    </row>
    <row r="965" ht="16.5" customHeight="1" s="220">
      <c r="A965" s="1" t="n"/>
      <c r="B965" s="1" t="n"/>
      <c r="C965" s="2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  <c r="AR965" s="1" t="n"/>
      <c r="AS965" s="1" t="n"/>
      <c r="AT965" s="1" t="n"/>
      <c r="AU965" s="1" t="n"/>
      <c r="AV965" s="1" t="n"/>
      <c r="AW965" s="1" t="n"/>
      <c r="AX965" s="1" t="n"/>
      <c r="AY965" s="1" t="n"/>
      <c r="AZ965" s="1" t="n"/>
      <c r="BA965" s="1" t="n"/>
    </row>
    <row r="966" ht="16.5" customHeight="1" s="220">
      <c r="A966" s="1" t="n"/>
      <c r="B966" s="1" t="n"/>
      <c r="C966" s="2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Q966" s="1" t="n"/>
      <c r="AR966" s="1" t="n"/>
      <c r="AS966" s="1" t="n"/>
      <c r="AT966" s="1" t="n"/>
      <c r="AU966" s="1" t="n"/>
      <c r="AV966" s="1" t="n"/>
      <c r="AW966" s="1" t="n"/>
      <c r="AX966" s="1" t="n"/>
      <c r="AY966" s="1" t="n"/>
      <c r="AZ966" s="1" t="n"/>
      <c r="BA966" s="1" t="n"/>
    </row>
    <row r="967" ht="16.5" customHeight="1" s="220">
      <c r="A967" s="1" t="n"/>
      <c r="B967" s="1" t="n"/>
      <c r="C967" s="2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  <c r="AR967" s="1" t="n"/>
      <c r="AS967" s="1" t="n"/>
      <c r="AT967" s="1" t="n"/>
      <c r="AU967" s="1" t="n"/>
      <c r="AV967" s="1" t="n"/>
      <c r="AW967" s="1" t="n"/>
      <c r="AX967" s="1" t="n"/>
      <c r="AY967" s="1" t="n"/>
      <c r="AZ967" s="1" t="n"/>
      <c r="BA967" s="1" t="n"/>
    </row>
    <row r="968" ht="16.5" customHeight="1" s="220">
      <c r="A968" s="1" t="n"/>
      <c r="B968" s="1" t="n"/>
      <c r="C968" s="2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Q968" s="1" t="n"/>
      <c r="AR968" s="1" t="n"/>
      <c r="AS968" s="1" t="n"/>
      <c r="AT968" s="1" t="n"/>
      <c r="AU968" s="1" t="n"/>
      <c r="AV968" s="1" t="n"/>
      <c r="AW968" s="1" t="n"/>
      <c r="AX968" s="1" t="n"/>
      <c r="AY968" s="1" t="n"/>
      <c r="AZ968" s="1" t="n"/>
      <c r="BA968" s="1" t="n"/>
    </row>
    <row r="969" ht="16.5" customHeight="1" s="220">
      <c r="A969" s="1" t="n"/>
      <c r="B969" s="1" t="n"/>
      <c r="C969" s="2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  <c r="AR969" s="1" t="n"/>
      <c r="AS969" s="1" t="n"/>
      <c r="AT969" s="1" t="n"/>
      <c r="AU969" s="1" t="n"/>
      <c r="AV969" s="1" t="n"/>
      <c r="AW969" s="1" t="n"/>
      <c r="AX969" s="1" t="n"/>
      <c r="AY969" s="1" t="n"/>
      <c r="AZ969" s="1" t="n"/>
      <c r="BA969" s="1" t="n"/>
    </row>
    <row r="970" ht="16.5" customHeight="1" s="220">
      <c r="A970" s="1" t="n"/>
      <c r="B970" s="1" t="n"/>
      <c r="C970" s="2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Q970" s="1" t="n"/>
      <c r="AR970" s="1" t="n"/>
      <c r="AS970" s="1" t="n"/>
      <c r="AT970" s="1" t="n"/>
      <c r="AU970" s="1" t="n"/>
      <c r="AV970" s="1" t="n"/>
      <c r="AW970" s="1" t="n"/>
      <c r="AX970" s="1" t="n"/>
      <c r="AY970" s="1" t="n"/>
      <c r="AZ970" s="1" t="n"/>
      <c r="BA970" s="1" t="n"/>
    </row>
    <row r="971" ht="16.5" customHeight="1" s="220">
      <c r="A971" s="1" t="n"/>
      <c r="B971" s="1" t="n"/>
      <c r="C971" s="2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  <c r="AR971" s="1" t="n"/>
      <c r="AS971" s="1" t="n"/>
      <c r="AT971" s="1" t="n"/>
      <c r="AU971" s="1" t="n"/>
      <c r="AV971" s="1" t="n"/>
      <c r="AW971" s="1" t="n"/>
      <c r="AX971" s="1" t="n"/>
      <c r="AY971" s="1" t="n"/>
      <c r="AZ971" s="1" t="n"/>
      <c r="BA971" s="1" t="n"/>
    </row>
    <row r="972" ht="16.5" customHeight="1" s="220">
      <c r="A972" s="1" t="n"/>
      <c r="B972" s="1" t="n"/>
      <c r="C972" s="2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Q972" s="1" t="n"/>
      <c r="AR972" s="1" t="n"/>
      <c r="AS972" s="1" t="n"/>
      <c r="AT972" s="1" t="n"/>
      <c r="AU972" s="1" t="n"/>
      <c r="AV972" s="1" t="n"/>
      <c r="AW972" s="1" t="n"/>
      <c r="AX972" s="1" t="n"/>
      <c r="AY972" s="1" t="n"/>
      <c r="AZ972" s="1" t="n"/>
      <c r="BA972" s="1" t="n"/>
    </row>
    <row r="973" ht="16.5" customHeight="1" s="220">
      <c r="A973" s="1" t="n"/>
      <c r="B973" s="1" t="n"/>
      <c r="C973" s="2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  <c r="AR973" s="1" t="n"/>
      <c r="AS973" s="1" t="n"/>
      <c r="AT973" s="1" t="n"/>
      <c r="AU973" s="1" t="n"/>
      <c r="AV973" s="1" t="n"/>
      <c r="AW973" s="1" t="n"/>
      <c r="AX973" s="1" t="n"/>
      <c r="AY973" s="1" t="n"/>
      <c r="AZ973" s="1" t="n"/>
      <c r="BA973" s="1" t="n"/>
    </row>
    <row r="974" ht="16.5" customHeight="1" s="220">
      <c r="A974" s="1" t="n"/>
      <c r="B974" s="1" t="n"/>
      <c r="C974" s="2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Q974" s="1" t="n"/>
      <c r="AR974" s="1" t="n"/>
      <c r="AS974" s="1" t="n"/>
      <c r="AT974" s="1" t="n"/>
      <c r="AU974" s="1" t="n"/>
      <c r="AV974" s="1" t="n"/>
      <c r="AW974" s="1" t="n"/>
      <c r="AX974" s="1" t="n"/>
      <c r="AY974" s="1" t="n"/>
      <c r="AZ974" s="1" t="n"/>
      <c r="BA974" s="1" t="n"/>
    </row>
    <row r="975" ht="16.5" customHeight="1" s="220">
      <c r="A975" s="1" t="n"/>
      <c r="B975" s="1" t="n"/>
      <c r="C975" s="2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  <c r="AR975" s="1" t="n"/>
      <c r="AS975" s="1" t="n"/>
      <c r="AT975" s="1" t="n"/>
      <c r="AU975" s="1" t="n"/>
      <c r="AV975" s="1" t="n"/>
      <c r="AW975" s="1" t="n"/>
      <c r="AX975" s="1" t="n"/>
      <c r="AY975" s="1" t="n"/>
      <c r="AZ975" s="1" t="n"/>
      <c r="BA975" s="1" t="n"/>
    </row>
    <row r="976" ht="16.5" customHeight="1" s="220">
      <c r="A976" s="1" t="n"/>
      <c r="B976" s="1" t="n"/>
      <c r="C976" s="2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Q976" s="1" t="n"/>
      <c r="AR976" s="1" t="n"/>
      <c r="AS976" s="1" t="n"/>
      <c r="AT976" s="1" t="n"/>
      <c r="AU976" s="1" t="n"/>
      <c r="AV976" s="1" t="n"/>
      <c r="AW976" s="1" t="n"/>
      <c r="AX976" s="1" t="n"/>
      <c r="AY976" s="1" t="n"/>
      <c r="AZ976" s="1" t="n"/>
      <c r="BA976" s="1" t="n"/>
    </row>
    <row r="977" ht="16.5" customHeight="1" s="220">
      <c r="A977" s="1" t="n"/>
      <c r="B977" s="1" t="n"/>
      <c r="C977" s="2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  <c r="AR977" s="1" t="n"/>
      <c r="AS977" s="1" t="n"/>
      <c r="AT977" s="1" t="n"/>
      <c r="AU977" s="1" t="n"/>
      <c r="AV977" s="1" t="n"/>
      <c r="AW977" s="1" t="n"/>
      <c r="AX977" s="1" t="n"/>
      <c r="AY977" s="1" t="n"/>
      <c r="AZ977" s="1" t="n"/>
      <c r="BA977" s="1" t="n"/>
    </row>
    <row r="978" ht="16.5" customHeight="1" s="220">
      <c r="A978" s="1" t="n"/>
      <c r="B978" s="1" t="n"/>
      <c r="C978" s="2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Q978" s="1" t="n"/>
      <c r="AR978" s="1" t="n"/>
      <c r="AS978" s="1" t="n"/>
      <c r="AT978" s="1" t="n"/>
      <c r="AU978" s="1" t="n"/>
      <c r="AV978" s="1" t="n"/>
      <c r="AW978" s="1" t="n"/>
      <c r="AX978" s="1" t="n"/>
      <c r="AY978" s="1" t="n"/>
      <c r="AZ978" s="1" t="n"/>
      <c r="BA978" s="1" t="n"/>
    </row>
    <row r="979" ht="16.5" customHeight="1" s="220">
      <c r="A979" s="1" t="n"/>
      <c r="B979" s="1" t="n"/>
      <c r="C979" s="2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  <c r="AR979" s="1" t="n"/>
      <c r="AS979" s="1" t="n"/>
      <c r="AT979" s="1" t="n"/>
      <c r="AU979" s="1" t="n"/>
      <c r="AV979" s="1" t="n"/>
      <c r="AW979" s="1" t="n"/>
      <c r="AX979" s="1" t="n"/>
      <c r="AY979" s="1" t="n"/>
      <c r="AZ979" s="1" t="n"/>
      <c r="BA979" s="1" t="n"/>
    </row>
    <row r="980" ht="16.5" customHeight="1" s="220">
      <c r="A980" s="1" t="n"/>
      <c r="B980" s="1" t="n"/>
      <c r="C980" s="2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Q980" s="1" t="n"/>
      <c r="AR980" s="1" t="n"/>
      <c r="AS980" s="1" t="n"/>
      <c r="AT980" s="1" t="n"/>
      <c r="AU980" s="1" t="n"/>
      <c r="AV980" s="1" t="n"/>
      <c r="AW980" s="1" t="n"/>
      <c r="AX980" s="1" t="n"/>
      <c r="AY980" s="1" t="n"/>
      <c r="AZ980" s="1" t="n"/>
      <c r="BA980" s="1" t="n"/>
    </row>
    <row r="981" ht="16.5" customHeight="1" s="220">
      <c r="A981" s="1" t="n"/>
      <c r="B981" s="1" t="n"/>
      <c r="C981" s="2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  <c r="AR981" s="1" t="n"/>
      <c r="AS981" s="1" t="n"/>
      <c r="AT981" s="1" t="n"/>
      <c r="AU981" s="1" t="n"/>
      <c r="AV981" s="1" t="n"/>
      <c r="AW981" s="1" t="n"/>
      <c r="AX981" s="1" t="n"/>
      <c r="AY981" s="1" t="n"/>
      <c r="AZ981" s="1" t="n"/>
      <c r="BA981" s="1" t="n"/>
    </row>
    <row r="982" ht="16.5" customHeight="1" s="220">
      <c r="A982" s="1" t="n"/>
      <c r="B982" s="1" t="n"/>
      <c r="C982" s="2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Q982" s="1" t="n"/>
      <c r="AR982" s="1" t="n"/>
      <c r="AS982" s="1" t="n"/>
      <c r="AT982" s="1" t="n"/>
      <c r="AU982" s="1" t="n"/>
      <c r="AV982" s="1" t="n"/>
      <c r="AW982" s="1" t="n"/>
      <c r="AX982" s="1" t="n"/>
      <c r="AY982" s="1" t="n"/>
      <c r="AZ982" s="1" t="n"/>
      <c r="BA982" s="1" t="n"/>
    </row>
    <row r="983" ht="16.5" customHeight="1" s="220">
      <c r="A983" s="1" t="n"/>
      <c r="B983" s="1" t="n"/>
      <c r="C983" s="2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  <c r="AR983" s="1" t="n"/>
      <c r="AS983" s="1" t="n"/>
      <c r="AT983" s="1" t="n"/>
      <c r="AU983" s="1" t="n"/>
      <c r="AV983" s="1" t="n"/>
      <c r="AW983" s="1" t="n"/>
      <c r="AX983" s="1" t="n"/>
      <c r="AY983" s="1" t="n"/>
      <c r="AZ983" s="1" t="n"/>
      <c r="BA983" s="1" t="n"/>
    </row>
    <row r="984" ht="16.5" customHeight="1" s="220">
      <c r="A984" s="1" t="n"/>
      <c r="B984" s="1" t="n"/>
      <c r="C984" s="2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Q984" s="1" t="n"/>
      <c r="AR984" s="1" t="n"/>
      <c r="AS984" s="1" t="n"/>
      <c r="AT984" s="1" t="n"/>
      <c r="AU984" s="1" t="n"/>
      <c r="AV984" s="1" t="n"/>
      <c r="AW984" s="1" t="n"/>
      <c r="AX984" s="1" t="n"/>
      <c r="AY984" s="1" t="n"/>
      <c r="AZ984" s="1" t="n"/>
      <c r="BA984" s="1" t="n"/>
    </row>
    <row r="985" ht="16.5" customHeight="1" s="220">
      <c r="A985" s="1" t="n"/>
      <c r="B985" s="1" t="n"/>
      <c r="C985" s="2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  <c r="AR985" s="1" t="n"/>
      <c r="AS985" s="1" t="n"/>
      <c r="AT985" s="1" t="n"/>
      <c r="AU985" s="1" t="n"/>
      <c r="AV985" s="1" t="n"/>
      <c r="AW985" s="1" t="n"/>
      <c r="AX985" s="1" t="n"/>
      <c r="AY985" s="1" t="n"/>
      <c r="AZ985" s="1" t="n"/>
      <c r="BA985" s="1" t="n"/>
    </row>
    <row r="986" ht="16.5" customHeight="1" s="220">
      <c r="A986" s="1" t="n"/>
      <c r="B986" s="1" t="n"/>
      <c r="C986" s="2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Q986" s="1" t="n"/>
      <c r="AR986" s="1" t="n"/>
      <c r="AS986" s="1" t="n"/>
      <c r="AT986" s="1" t="n"/>
      <c r="AU986" s="1" t="n"/>
      <c r="AV986" s="1" t="n"/>
      <c r="AW986" s="1" t="n"/>
      <c r="AX986" s="1" t="n"/>
      <c r="AY986" s="1" t="n"/>
      <c r="AZ986" s="1" t="n"/>
      <c r="BA986" s="1" t="n"/>
    </row>
    <row r="987" ht="16.5" customHeight="1" s="220">
      <c r="A987" s="1" t="n"/>
      <c r="B987" s="1" t="n"/>
      <c r="C987" s="2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  <c r="AR987" s="1" t="n"/>
      <c r="AS987" s="1" t="n"/>
      <c r="AT987" s="1" t="n"/>
      <c r="AU987" s="1" t="n"/>
      <c r="AV987" s="1" t="n"/>
      <c r="AW987" s="1" t="n"/>
      <c r="AX987" s="1" t="n"/>
      <c r="AY987" s="1" t="n"/>
      <c r="AZ987" s="1" t="n"/>
      <c r="BA987" s="1" t="n"/>
    </row>
    <row r="988" ht="16.5" customHeight="1" s="220">
      <c r="A988" s="1" t="n"/>
      <c r="B988" s="1" t="n"/>
      <c r="C988" s="2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Q988" s="1" t="n"/>
      <c r="AR988" s="1" t="n"/>
      <c r="AS988" s="1" t="n"/>
      <c r="AT988" s="1" t="n"/>
      <c r="AU988" s="1" t="n"/>
      <c r="AV988" s="1" t="n"/>
      <c r="AW988" s="1" t="n"/>
      <c r="AX988" s="1" t="n"/>
      <c r="AY988" s="1" t="n"/>
      <c r="AZ988" s="1" t="n"/>
      <c r="BA988" s="1" t="n"/>
    </row>
    <row r="989" ht="16.5" customHeight="1" s="220">
      <c r="A989" s="1" t="n"/>
      <c r="B989" s="1" t="n"/>
      <c r="C989" s="2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  <c r="AR989" s="1" t="n"/>
      <c r="AS989" s="1" t="n"/>
      <c r="AT989" s="1" t="n"/>
      <c r="AU989" s="1" t="n"/>
      <c r="AV989" s="1" t="n"/>
      <c r="AW989" s="1" t="n"/>
      <c r="AX989" s="1" t="n"/>
      <c r="AY989" s="1" t="n"/>
      <c r="AZ989" s="1" t="n"/>
      <c r="BA989" s="1" t="n"/>
    </row>
    <row r="990" ht="16.5" customHeight="1" s="220">
      <c r="A990" s="1" t="n"/>
      <c r="B990" s="1" t="n"/>
      <c r="C990" s="2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  <c r="AQ990" s="1" t="n"/>
      <c r="AR990" s="1" t="n"/>
      <c r="AS990" s="1" t="n"/>
      <c r="AT990" s="1" t="n"/>
      <c r="AU990" s="1" t="n"/>
      <c r="AV990" s="1" t="n"/>
      <c r="AW990" s="1" t="n"/>
      <c r="AX990" s="1" t="n"/>
      <c r="AY990" s="1" t="n"/>
      <c r="AZ990" s="1" t="n"/>
      <c r="BA990" s="1" t="n"/>
    </row>
    <row r="991" ht="16.5" customHeight="1" s="220">
      <c r="A991" s="1" t="n"/>
      <c r="B991" s="1" t="n"/>
      <c r="C991" s="2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  <c r="AR991" s="1" t="n"/>
      <c r="AS991" s="1" t="n"/>
      <c r="AT991" s="1" t="n"/>
      <c r="AU991" s="1" t="n"/>
      <c r="AV991" s="1" t="n"/>
      <c r="AW991" s="1" t="n"/>
      <c r="AX991" s="1" t="n"/>
      <c r="AY991" s="1" t="n"/>
      <c r="AZ991" s="1" t="n"/>
      <c r="BA991" s="1" t="n"/>
    </row>
    <row r="992" ht="16.5" customHeight="1" s="220">
      <c r="A992" s="1" t="n"/>
      <c r="B992" s="1" t="n"/>
      <c r="C992" s="2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  <c r="AQ992" s="1" t="n"/>
      <c r="AR992" s="1" t="n"/>
      <c r="AS992" s="1" t="n"/>
      <c r="AT992" s="1" t="n"/>
      <c r="AU992" s="1" t="n"/>
      <c r="AV992" s="1" t="n"/>
      <c r="AW992" s="1" t="n"/>
      <c r="AX992" s="1" t="n"/>
      <c r="AY992" s="1" t="n"/>
      <c r="AZ992" s="1" t="n"/>
      <c r="BA992" s="1" t="n"/>
    </row>
    <row r="993" ht="16.5" customHeight="1" s="220">
      <c r="A993" s="1" t="n"/>
      <c r="B993" s="1" t="n"/>
      <c r="C993" s="2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Q993" s="1" t="n"/>
      <c r="AR993" s="1" t="n"/>
      <c r="AS993" s="1" t="n"/>
      <c r="AT993" s="1" t="n"/>
      <c r="AU993" s="1" t="n"/>
      <c r="AV993" s="1" t="n"/>
      <c r="AW993" s="1" t="n"/>
      <c r="AX993" s="1" t="n"/>
      <c r="AY993" s="1" t="n"/>
      <c r="AZ993" s="1" t="n"/>
      <c r="BA993" s="1" t="n"/>
    </row>
    <row r="994" ht="16.5" customHeight="1" s="220">
      <c r="A994" s="1" t="n"/>
      <c r="B994" s="1" t="n"/>
      <c r="C994" s="2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Q994" s="1" t="n"/>
      <c r="AR994" s="1" t="n"/>
      <c r="AS994" s="1" t="n"/>
      <c r="AT994" s="1" t="n"/>
      <c r="AU994" s="1" t="n"/>
      <c r="AV994" s="1" t="n"/>
      <c r="AW994" s="1" t="n"/>
      <c r="AX994" s="1" t="n"/>
      <c r="AY994" s="1" t="n"/>
      <c r="AZ994" s="1" t="n"/>
      <c r="BA994" s="1" t="n"/>
    </row>
    <row r="995" ht="16.5" customHeight="1" s="220">
      <c r="A995" s="1" t="n"/>
      <c r="B995" s="1" t="n"/>
      <c r="C995" s="2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  <c r="AR995" s="1" t="n"/>
      <c r="AS995" s="1" t="n"/>
      <c r="AT995" s="1" t="n"/>
      <c r="AU995" s="1" t="n"/>
      <c r="AV995" s="1" t="n"/>
      <c r="AW995" s="1" t="n"/>
      <c r="AX995" s="1" t="n"/>
      <c r="AY995" s="1" t="n"/>
      <c r="AZ995" s="1" t="n"/>
      <c r="BA995" s="1" t="n"/>
    </row>
    <row r="996" ht="16.5" customHeight="1" s="220">
      <c r="A996" s="1" t="n"/>
      <c r="B996" s="1" t="n"/>
      <c r="C996" s="2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Q996" s="1" t="n"/>
      <c r="AR996" s="1" t="n"/>
      <c r="AS996" s="1" t="n"/>
      <c r="AT996" s="1" t="n"/>
      <c r="AU996" s="1" t="n"/>
      <c r="AV996" s="1" t="n"/>
      <c r="AW996" s="1" t="n"/>
      <c r="AX996" s="1" t="n"/>
      <c r="AY996" s="1" t="n"/>
      <c r="AZ996" s="1" t="n"/>
      <c r="BA996" s="1" t="n"/>
    </row>
    <row r="997" ht="16.5" customHeight="1" s="220">
      <c r="A997" s="1" t="n"/>
      <c r="B997" s="1" t="n"/>
      <c r="C997" s="2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  <c r="AR997" s="1" t="n"/>
      <c r="AS997" s="1" t="n"/>
      <c r="AT997" s="1" t="n"/>
      <c r="AU997" s="1" t="n"/>
      <c r="AV997" s="1" t="n"/>
      <c r="AW997" s="1" t="n"/>
      <c r="AX997" s="1" t="n"/>
      <c r="AY997" s="1" t="n"/>
      <c r="AZ997" s="1" t="n"/>
      <c r="BA997" s="1" t="n"/>
    </row>
    <row r="998" ht="16.5" customHeight="1" s="220">
      <c r="A998" s="1" t="n"/>
      <c r="B998" s="1" t="n"/>
      <c r="C998" s="2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  <c r="AQ998" s="1" t="n"/>
      <c r="AR998" s="1" t="n"/>
      <c r="AS998" s="1" t="n"/>
      <c r="AT998" s="1" t="n"/>
      <c r="AU998" s="1" t="n"/>
      <c r="AV998" s="1" t="n"/>
      <c r="AW998" s="1" t="n"/>
      <c r="AX998" s="1" t="n"/>
      <c r="AY998" s="1" t="n"/>
      <c r="AZ998" s="1" t="n"/>
      <c r="BA998" s="1" t="n"/>
    </row>
    <row r="999" ht="16.5" customHeight="1" s="220">
      <c r="A999" s="1" t="n"/>
      <c r="B999" s="1" t="n"/>
      <c r="C999" s="2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Q999" s="1" t="n"/>
      <c r="AR999" s="1" t="n"/>
      <c r="AS999" s="1" t="n"/>
      <c r="AT999" s="1" t="n"/>
      <c r="AU999" s="1" t="n"/>
      <c r="AV999" s="1" t="n"/>
      <c r="AW999" s="1" t="n"/>
      <c r="AX999" s="1" t="n"/>
      <c r="AY999" s="1" t="n"/>
      <c r="AZ999" s="1" t="n"/>
      <c r="BA999" s="1" t="n"/>
    </row>
    <row r="1000" ht="16.5" customHeight="1" s="220">
      <c r="A1000" s="1" t="n"/>
      <c r="B1000" s="1" t="n"/>
      <c r="C1000" s="2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  <c r="AQ1000" s="1" t="n"/>
      <c r="AR1000" s="1" t="n"/>
      <c r="AS1000" s="1" t="n"/>
      <c r="AT1000" s="1" t="n"/>
      <c r="AU1000" s="1" t="n"/>
      <c r="AV1000" s="1" t="n"/>
      <c r="AW1000" s="1" t="n"/>
      <c r="AX1000" s="1" t="n"/>
      <c r="AY1000" s="1" t="n"/>
      <c r="AZ1000" s="1" t="n"/>
      <c r="BA1000" s="1" t="n"/>
    </row>
  </sheetData>
  <mergeCells count="48">
    <mergeCell ref="F4:G4"/>
    <mergeCell ref="Y5:AA5"/>
    <mergeCell ref="Q5:S5"/>
    <mergeCell ref="AY3:AZ3"/>
    <mergeCell ref="B3:C3"/>
    <mergeCell ref="V33:W33"/>
    <mergeCell ref="N4:O4"/>
    <mergeCell ref="AY33:AZ33"/>
    <mergeCell ref="R4:S4"/>
    <mergeCell ref="F3:G3"/>
    <mergeCell ref="AT3:AU3"/>
    <mergeCell ref="V4:W4"/>
    <mergeCell ref="AE3:AF3"/>
    <mergeCell ref="N3:O3"/>
    <mergeCell ref="AY4:AZ4"/>
    <mergeCell ref="A5:C5"/>
    <mergeCell ref="AT33:AU33"/>
    <mergeCell ref="AO3:AP3"/>
    <mergeCell ref="I5:K5"/>
    <mergeCell ref="F33:G33"/>
    <mergeCell ref="AO33:AP33"/>
    <mergeCell ref="N33:O33"/>
    <mergeCell ref="AE33:AF33"/>
    <mergeCell ref="AT4:AU4"/>
    <mergeCell ref="Z3:AA3"/>
    <mergeCell ref="J4:K4"/>
    <mergeCell ref="AJ3:AK3"/>
    <mergeCell ref="U5:W5"/>
    <mergeCell ref="AX5:AZ5"/>
    <mergeCell ref="AI5:AK5"/>
    <mergeCell ref="AJ33:AK33"/>
    <mergeCell ref="Z33:AA33"/>
    <mergeCell ref="AS5:AU5"/>
    <mergeCell ref="R3:S3"/>
    <mergeCell ref="AO4:AP4"/>
    <mergeCell ref="J3:K3"/>
    <mergeCell ref="AJ4:AK4"/>
    <mergeCell ref="Z4:AA4"/>
    <mergeCell ref="AD5:AF5"/>
    <mergeCell ref="B33:C33"/>
    <mergeCell ref="E5:G5"/>
    <mergeCell ref="AN5:AP5"/>
    <mergeCell ref="M5:O5"/>
    <mergeCell ref="J33:K33"/>
    <mergeCell ref="R33:S33"/>
    <mergeCell ref="B4:C4"/>
    <mergeCell ref="V3:W3"/>
    <mergeCell ref="AE4:AF4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00CCFF"/>
    <outlinePr summaryBelow="1" summaryRight="1"/>
    <pageSetUpPr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32.5" customWidth="1" style="220" min="1" max="1"/>
    <col width="76.13" customWidth="1" style="220" min="2" max="2"/>
    <col width="43.5" customWidth="1" style="220" min="3" max="3"/>
    <col width="27.75" customWidth="1" style="220" min="4" max="4"/>
    <col width="33" customWidth="1" style="220" min="5" max="5"/>
    <col width="56.75" customWidth="1" style="220" min="6" max="6"/>
    <col width="33.88" customWidth="1" style="220" min="7" max="7"/>
    <col width="28" customWidth="1" style="220" min="8" max="8"/>
    <col width="33" customWidth="1" style="220" min="9" max="9"/>
    <col width="56.75" customWidth="1" style="220" min="10" max="10"/>
    <col width="30.13" customWidth="1" style="220" min="11" max="11"/>
    <col width="28" customWidth="1" style="220" min="12" max="12"/>
    <col width="33.13" customWidth="1" style="220" min="13" max="13"/>
    <col width="56.75" customWidth="1" style="220" min="14" max="14"/>
    <col width="30.13" customWidth="1" style="220" min="15" max="15"/>
    <col width="41.75" customWidth="1" style="220" min="16" max="16"/>
    <col hidden="1" width="28.13" customWidth="1" style="220" min="17" max="17"/>
    <col hidden="1" width="56.75" customWidth="1" style="220" min="18" max="18"/>
    <col hidden="1" width="30.13" customWidth="1" style="220" min="19" max="19"/>
    <col hidden="1" width="27.38" customWidth="1" style="220" min="20" max="20"/>
    <col width="33.38" customWidth="1" style="220" min="21" max="21"/>
    <col width="56.75" customWidth="1" style="220" min="22" max="22"/>
    <col width="30.13" customWidth="1" style="220" min="23" max="23"/>
    <col width="47.63" customWidth="1" style="220" min="24" max="24"/>
    <col width="33.88" customWidth="1" style="220" min="25" max="25"/>
    <col width="56.75" customWidth="1" style="220" min="26" max="26"/>
    <col width="30.13" customWidth="1" style="220" min="27" max="27"/>
    <col width="22.88" customWidth="1" style="220" min="28" max="28"/>
    <col width="8.880000000000001" customWidth="1" style="220" min="29" max="29"/>
    <col width="32.75" customWidth="1" style="220" min="30" max="30"/>
    <col width="56.75" customWidth="1" style="220" min="31" max="31"/>
    <col width="30.13" customWidth="1" style="220" min="32" max="32"/>
    <col width="22.88" customWidth="1" style="220" min="33" max="33"/>
    <col width="8.880000000000001" customWidth="1" style="220" min="34" max="34"/>
    <col hidden="1" width="31.88" customWidth="1" style="220" min="35" max="35"/>
    <col hidden="1" width="52.63" customWidth="1" style="220" min="36" max="36"/>
    <col hidden="1" width="20" customWidth="1" style="220" min="37" max="37"/>
    <col hidden="1" width="19.25" customWidth="1" style="220" min="38" max="38"/>
  </cols>
  <sheetData>
    <row r="1" ht="16.5" customHeight="1" s="220">
      <c r="A1" s="1" t="n"/>
      <c r="B1" s="1" t="n"/>
      <c r="C1" s="2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17.25" customHeight="1" s="220">
      <c r="A2" s="1" t="n"/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</row>
    <row r="3" ht="23.25" customHeight="1" s="220">
      <c r="A3" s="3" t="inlineStr">
        <is>
          <t>MONTH/YEAR:</t>
        </is>
      </c>
      <c r="B3" s="221" t="n">
        <v>46023</v>
      </c>
      <c r="C3" s="222" t="n"/>
      <c r="D3" s="1" t="n"/>
      <c r="E3" s="3" t="inlineStr">
        <is>
          <t>MONTH/YEAR:</t>
        </is>
      </c>
      <c r="F3" s="221">
        <f>B3</f>
        <v/>
      </c>
      <c r="G3" s="222" t="n"/>
      <c r="H3" s="1" t="n"/>
      <c r="I3" s="3" t="inlineStr">
        <is>
          <t>MONTH/YEAR:</t>
        </is>
      </c>
      <c r="J3" s="221">
        <f>B3</f>
        <v/>
      </c>
      <c r="K3" s="222" t="n"/>
      <c r="L3" s="1" t="n"/>
      <c r="M3" s="3" t="inlineStr">
        <is>
          <t>MONTH/YEAR:</t>
        </is>
      </c>
      <c r="N3" s="221">
        <f>B3</f>
        <v/>
      </c>
      <c r="O3" s="222" t="n"/>
      <c r="P3" s="1" t="n"/>
      <c r="Q3" s="3" t="inlineStr">
        <is>
          <t>MONTH/YEAR:</t>
        </is>
      </c>
      <c r="R3" s="221">
        <f>B3</f>
        <v/>
      </c>
      <c r="S3" s="222" t="n"/>
      <c r="T3" s="1" t="n"/>
      <c r="U3" s="3" t="inlineStr">
        <is>
          <t>MONTH/YEAR:</t>
        </is>
      </c>
      <c r="V3" s="221">
        <f>B3</f>
        <v/>
      </c>
      <c r="W3" s="222" t="n"/>
      <c r="X3" s="1" t="n"/>
      <c r="Y3" s="3" t="inlineStr">
        <is>
          <t>MONTH/YEAR:</t>
        </is>
      </c>
      <c r="Z3" s="221">
        <f>B3</f>
        <v/>
      </c>
      <c r="AA3" s="222" t="n"/>
      <c r="AB3" s="1" t="n"/>
      <c r="AC3" s="1" t="n"/>
      <c r="AD3" s="3" t="inlineStr">
        <is>
          <t>MONTH/YEAR:</t>
        </is>
      </c>
      <c r="AE3" s="221">
        <f>B3</f>
        <v/>
      </c>
      <c r="AF3" s="222" t="n"/>
      <c r="AG3" s="1" t="n"/>
      <c r="AH3" s="1" t="n"/>
      <c r="AI3" s="3" t="inlineStr">
        <is>
          <t>MONTH/YEAR:</t>
        </is>
      </c>
      <c r="AJ3" s="221">
        <f>AE3</f>
        <v/>
      </c>
      <c r="AK3" s="222" t="n"/>
      <c r="AL3" s="1" t="n"/>
    </row>
    <row r="4" ht="31.5" customHeight="1" s="220">
      <c r="A4" s="6" t="inlineStr">
        <is>
          <t>BRANCH:</t>
        </is>
      </c>
      <c r="B4" s="223" t="inlineStr">
        <is>
          <t>CASA DENTAL BUKIT BATOK PTE LTD</t>
        </is>
      </c>
      <c r="C4" s="224" t="n"/>
      <c r="D4" s="1" t="n"/>
      <c r="E4" s="6" t="inlineStr">
        <is>
          <t>BRANCH:</t>
        </is>
      </c>
      <c r="F4" s="223">
        <f>B4</f>
        <v/>
      </c>
      <c r="G4" s="224" t="n"/>
      <c r="H4" s="1" t="n"/>
      <c r="I4" s="6" t="inlineStr">
        <is>
          <t>BRANCH:</t>
        </is>
      </c>
      <c r="J4" s="223">
        <f>F4</f>
        <v/>
      </c>
      <c r="K4" s="224" t="n"/>
      <c r="L4" s="1" t="n"/>
      <c r="M4" s="6" t="inlineStr">
        <is>
          <t>BRANCH:</t>
        </is>
      </c>
      <c r="N4" s="223">
        <f>J4</f>
        <v/>
      </c>
      <c r="O4" s="224" t="n"/>
      <c r="P4" s="1" t="n"/>
      <c r="Q4" s="6" t="inlineStr">
        <is>
          <t>BRANCH:</t>
        </is>
      </c>
      <c r="R4" s="223" t="inlineStr">
        <is>
          <t>CASA DENTAL AMK PTE LTD</t>
        </is>
      </c>
      <c r="S4" s="224" t="n"/>
      <c r="T4" s="1" t="n"/>
      <c r="U4" s="6" t="inlineStr">
        <is>
          <t>BRANCH:</t>
        </is>
      </c>
      <c r="V4" s="223">
        <f>N4</f>
        <v/>
      </c>
      <c r="W4" s="224" t="n"/>
      <c r="X4" s="1" t="n"/>
      <c r="Y4" s="6" t="inlineStr">
        <is>
          <t>BRANCH:</t>
        </is>
      </c>
      <c r="Z4" s="223">
        <f>V4</f>
        <v/>
      </c>
      <c r="AA4" s="224" t="n"/>
      <c r="AB4" s="1" t="n"/>
      <c r="AC4" s="1" t="n"/>
      <c r="AD4" s="6" t="inlineStr">
        <is>
          <t>BRANCH:</t>
        </is>
      </c>
      <c r="AE4" s="223">
        <f>Z4</f>
        <v/>
      </c>
      <c r="AF4" s="224" t="n"/>
      <c r="AG4" s="1" t="n"/>
      <c r="AH4" s="1" t="n"/>
      <c r="AI4" s="6" t="inlineStr">
        <is>
          <t>BRANCH:</t>
        </is>
      </c>
      <c r="AJ4" s="223" t="inlineStr">
        <is>
          <t>CASA DENTAL AMK PTE LTD</t>
        </is>
      </c>
      <c r="AK4" s="224" t="n"/>
      <c r="AL4" s="1" t="n"/>
    </row>
    <row r="5" ht="34.5" customHeight="1" s="220">
      <c r="A5" s="225" t="inlineStr">
        <is>
          <t>ALL PROVIDERS SETTLEMENT</t>
        </is>
      </c>
      <c r="C5" s="226" t="n"/>
      <c r="D5" s="1" t="n"/>
      <c r="E5" s="227" t="inlineStr">
        <is>
          <t>DR ANGELA TRAN</t>
        </is>
      </c>
      <c r="F5" s="228" t="n"/>
      <c r="G5" s="229" t="n"/>
      <c r="H5" s="1" t="n"/>
      <c r="I5" s="227" t="inlineStr">
        <is>
          <t>DR JENNIFER HOANG</t>
        </is>
      </c>
      <c r="J5" s="228" t="n"/>
      <c r="K5" s="229" t="n"/>
      <c r="L5" s="1" t="n"/>
      <c r="M5" s="227" t="inlineStr">
        <is>
          <t>DR KALIE CHIA</t>
        </is>
      </c>
      <c r="N5" s="228" t="n"/>
      <c r="O5" s="229" t="n"/>
      <c r="P5" s="1" t="n"/>
      <c r="Q5" s="227" t="inlineStr">
        <is>
          <t xml:space="preserve">DR KALIE </t>
        </is>
      </c>
      <c r="R5" s="228" t="n"/>
      <c r="S5" s="229" t="n"/>
      <c r="T5" s="1" t="n"/>
      <c r="U5" s="227" t="inlineStr">
        <is>
          <t>DR YVETTE CHOW</t>
        </is>
      </c>
      <c r="V5" s="228" t="n"/>
      <c r="W5" s="229" t="n"/>
      <c r="X5" s="1" t="n"/>
      <c r="Y5" s="227" t="inlineStr">
        <is>
          <t>DR PETER KEITH</t>
        </is>
      </c>
      <c r="Z5" s="228" t="n"/>
      <c r="AA5" s="229" t="n"/>
      <c r="AB5" s="1" t="n"/>
      <c r="AC5" s="1" t="n"/>
      <c r="AD5" s="227" t="inlineStr">
        <is>
          <t>DR NICHOLAS LIEW</t>
        </is>
      </c>
      <c r="AE5" s="228" t="n"/>
      <c r="AF5" s="229" t="n"/>
      <c r="AG5" s="1" t="n"/>
      <c r="AH5" s="1" t="n"/>
      <c r="AI5" s="227" t="inlineStr">
        <is>
          <t>DR ANDREW YIN</t>
        </is>
      </c>
      <c r="AJ5" s="228" t="n"/>
      <c r="AK5" s="229" t="n"/>
      <c r="AL5" s="1" t="n"/>
    </row>
    <row r="6" ht="18.75" customHeight="1" s="220">
      <c r="A6" s="14" t="n"/>
      <c r="B6" s="15" t="n"/>
      <c r="C6" s="16" t="inlineStr">
        <is>
          <t>ADMIN CHARGES</t>
        </is>
      </c>
      <c r="D6" s="17" t="n"/>
      <c r="E6" s="18" t="n"/>
      <c r="F6" s="15" t="n"/>
      <c r="G6" s="16" t="inlineStr">
        <is>
          <t>ADMIN CHARGES</t>
        </is>
      </c>
      <c r="H6" s="17" t="n"/>
      <c r="I6" s="19" t="n"/>
      <c r="J6" s="15" t="inlineStr">
        <is>
          <t>TOTALS</t>
        </is>
      </c>
      <c r="K6" s="20" t="inlineStr">
        <is>
          <t>ADMIN CHARGES</t>
        </is>
      </c>
      <c r="L6" s="17" t="n"/>
      <c r="M6" s="21" t="n"/>
      <c r="N6" s="22" t="n"/>
      <c r="O6" s="16" t="inlineStr">
        <is>
          <t>ADMIN CHARGES</t>
        </is>
      </c>
      <c r="P6" s="1" t="n"/>
      <c r="Q6" s="23" t="n"/>
      <c r="R6" s="24" t="n"/>
      <c r="S6" s="25" t="inlineStr">
        <is>
          <t>ADMIN CHARGES</t>
        </is>
      </c>
      <c r="T6" s="1" t="n"/>
      <c r="U6" s="26" t="n"/>
      <c r="V6" s="24" t="n"/>
      <c r="W6" s="27" t="inlineStr">
        <is>
          <t>ADMIN CHARGES</t>
        </is>
      </c>
      <c r="X6" s="28" t="n"/>
      <c r="Y6" s="14" t="n"/>
      <c r="Z6" s="29" t="n"/>
      <c r="AA6" s="22" t="inlineStr">
        <is>
          <t>ADMIN CHARGES</t>
        </is>
      </c>
      <c r="AB6" s="1" t="n"/>
      <c r="AC6" s="1" t="n"/>
      <c r="AD6" s="26" t="n"/>
      <c r="AE6" s="27" t="n"/>
      <c r="AF6" s="27" t="inlineStr">
        <is>
          <t>ADMIN CHARGES</t>
        </is>
      </c>
      <c r="AG6" s="30" t="n"/>
      <c r="AH6" s="1" t="n"/>
      <c r="AI6" s="23" t="n"/>
      <c r="AJ6" s="25" t="n"/>
      <c r="AK6" s="25" t="inlineStr">
        <is>
          <t>ADMIN CHARGES</t>
        </is>
      </c>
      <c r="AL6" s="1" t="n"/>
    </row>
    <row r="7" ht="27.75" customHeight="1" s="220">
      <c r="A7" s="31" t="inlineStr">
        <is>
          <t>AIA</t>
        </is>
      </c>
      <c r="B7" s="174" t="n"/>
      <c r="C7" s="33">
        <f>B7*0.05*1.09</f>
        <v/>
      </c>
      <c r="D7" s="34" t="n"/>
      <c r="E7" s="35" t="inlineStr">
        <is>
          <t>AIA</t>
        </is>
      </c>
      <c r="F7" s="36" t="n"/>
      <c r="G7" s="33">
        <f>F7*0.05*1.09</f>
        <v/>
      </c>
      <c r="H7" s="37" t="n"/>
      <c r="I7" s="35" t="inlineStr">
        <is>
          <t>AIA</t>
        </is>
      </c>
      <c r="J7" s="174" t="n"/>
      <c r="K7" s="33">
        <f>J7*0.05*1.09</f>
        <v/>
      </c>
      <c r="L7" s="37" t="n"/>
      <c r="M7" s="35" t="inlineStr">
        <is>
          <t>AIA</t>
        </is>
      </c>
      <c r="N7" s="174" t="n"/>
      <c r="O7" s="33">
        <f>N7*0.05*1.09</f>
        <v/>
      </c>
      <c r="P7" s="38" t="n"/>
      <c r="Q7" s="31" t="inlineStr">
        <is>
          <t>AIA</t>
        </is>
      </c>
      <c r="R7" s="39" t="n"/>
      <c r="S7" s="40">
        <f>R7*0.05*1.09</f>
        <v/>
      </c>
      <c r="T7" s="38" t="n"/>
      <c r="U7" s="41" t="inlineStr">
        <is>
          <t>AIA</t>
        </is>
      </c>
      <c r="V7" s="173" t="n"/>
      <c r="W7" s="43">
        <f>V7*0.05*1.09</f>
        <v/>
      </c>
      <c r="X7" s="44" t="n"/>
      <c r="Y7" s="31" t="inlineStr">
        <is>
          <t>AIA</t>
        </is>
      </c>
      <c r="Z7" s="174" t="n"/>
      <c r="AA7" s="45">
        <f>Z7*0.05*1.09</f>
        <v/>
      </c>
      <c r="AB7" s="46" t="n"/>
      <c r="AC7" s="46" t="n"/>
      <c r="AD7" s="35" t="inlineStr">
        <is>
          <t>AIA</t>
        </is>
      </c>
      <c r="AE7" s="174" t="n"/>
      <c r="AF7" s="43">
        <f>AE7*0.05*1.09</f>
        <v/>
      </c>
      <c r="AG7" s="48" t="n"/>
      <c r="AH7" s="46" t="n"/>
      <c r="AI7" s="31" t="inlineStr">
        <is>
          <t>AIA</t>
        </is>
      </c>
      <c r="AJ7" s="39" t="n"/>
      <c r="AK7" s="40">
        <f>AJ7*0.05*1.09</f>
        <v/>
      </c>
      <c r="AL7" s="46" t="n"/>
    </row>
    <row r="8" ht="27.75" customHeight="1" s="220">
      <c r="A8" s="31" t="inlineStr">
        <is>
          <t>ALLIANCE</t>
        </is>
      </c>
      <c r="B8" s="174" t="n"/>
      <c r="C8" s="33">
        <f>B8*0.05*1.09</f>
        <v/>
      </c>
      <c r="D8" s="34" t="n"/>
      <c r="E8" s="35" t="inlineStr">
        <is>
          <t>ALLIANCE</t>
        </is>
      </c>
      <c r="F8" s="36" t="n"/>
      <c r="G8" s="33">
        <f>F8*0.05*1.09</f>
        <v/>
      </c>
      <c r="H8" s="37" t="n"/>
      <c r="I8" s="35" t="inlineStr">
        <is>
          <t>ALLIANCE</t>
        </is>
      </c>
      <c r="J8" s="174" t="n"/>
      <c r="K8" s="33">
        <f>J8*0.05*1.09</f>
        <v/>
      </c>
      <c r="L8" s="37" t="n"/>
      <c r="M8" s="35" t="inlineStr">
        <is>
          <t>ALLIANCE</t>
        </is>
      </c>
      <c r="N8" s="174" t="n"/>
      <c r="O8" s="33">
        <f>N8*0.05*1.09</f>
        <v/>
      </c>
      <c r="P8" s="38" t="n"/>
      <c r="Q8" s="31" t="n"/>
      <c r="R8" s="39" t="n"/>
      <c r="S8" s="40" t="n"/>
      <c r="T8" s="38" t="n"/>
      <c r="U8" s="41" t="inlineStr">
        <is>
          <t>ALLIANCE</t>
        </is>
      </c>
      <c r="V8" s="173" t="n"/>
      <c r="W8" s="43">
        <f>V8*0.05*1.09</f>
        <v/>
      </c>
      <c r="X8" s="44" t="n"/>
      <c r="Y8" s="31" t="inlineStr">
        <is>
          <t>ALLIANCE</t>
        </is>
      </c>
      <c r="Z8" s="36" t="n"/>
      <c r="AA8" s="45">
        <f>Z8*0.05*1.09</f>
        <v/>
      </c>
      <c r="AB8" s="46" t="n"/>
      <c r="AC8" s="46" t="n"/>
      <c r="AD8" s="35" t="inlineStr">
        <is>
          <t>ALLIANCE</t>
        </is>
      </c>
      <c r="AE8" s="174" t="n"/>
      <c r="AF8" s="43">
        <f>AE8*0.05*1.09</f>
        <v/>
      </c>
      <c r="AG8" s="48" t="n"/>
      <c r="AH8" s="46" t="n"/>
      <c r="AI8" s="31" t="n"/>
      <c r="AJ8" s="39" t="n"/>
      <c r="AK8" s="40" t="n"/>
      <c r="AL8" s="46" t="n"/>
    </row>
    <row r="9" ht="27.75" customHeight="1" s="220">
      <c r="A9" s="31" t="inlineStr">
        <is>
          <t>AMEX</t>
        </is>
      </c>
      <c r="B9" s="174" t="n"/>
      <c r="C9" s="33">
        <f>B9*0.0195</f>
        <v/>
      </c>
      <c r="D9" s="34" t="n"/>
      <c r="E9" s="35" t="inlineStr">
        <is>
          <t>AMEX</t>
        </is>
      </c>
      <c r="F9" s="36" t="n"/>
      <c r="G9" s="33">
        <f>F9*0.0195</f>
        <v/>
      </c>
      <c r="H9" s="34" t="n"/>
      <c r="I9" s="35" t="inlineStr">
        <is>
          <t>AMEX</t>
        </is>
      </c>
      <c r="J9" s="174" t="n"/>
      <c r="K9" s="33">
        <f>J9*0.0195</f>
        <v/>
      </c>
      <c r="L9" s="34" t="n"/>
      <c r="M9" s="35" t="inlineStr">
        <is>
          <t>AMEX</t>
        </is>
      </c>
      <c r="N9" s="174" t="n"/>
      <c r="O9" s="33">
        <f>N9*0.0195</f>
        <v/>
      </c>
      <c r="P9" s="46" t="n"/>
      <c r="Q9" s="31" t="inlineStr">
        <is>
          <t>AMEX</t>
        </is>
      </c>
      <c r="R9" s="39" t="n"/>
      <c r="S9" s="40">
        <f>R9*0.0195</f>
        <v/>
      </c>
      <c r="T9" s="46" t="n"/>
      <c r="U9" s="41" t="inlineStr">
        <is>
          <t>AMEX</t>
        </is>
      </c>
      <c r="V9" s="51" t="n"/>
      <c r="W9" s="43">
        <f>V9*0.0195</f>
        <v/>
      </c>
      <c r="X9" s="49" t="n"/>
      <c r="Y9" s="31" t="inlineStr">
        <is>
          <t>AMEX</t>
        </is>
      </c>
      <c r="Z9" s="36" t="n"/>
      <c r="AA9" s="45">
        <f>Z9*0.0195</f>
        <v/>
      </c>
      <c r="AB9" s="46" t="n"/>
      <c r="AC9" s="46" t="n"/>
      <c r="AD9" s="35" t="inlineStr">
        <is>
          <t>AMEX</t>
        </is>
      </c>
      <c r="AE9" s="174" t="n"/>
      <c r="AF9" s="43">
        <f>AE9*0.0195</f>
        <v/>
      </c>
      <c r="AG9" s="48" t="n"/>
      <c r="AH9" s="46" t="n"/>
      <c r="AI9" s="31" t="inlineStr">
        <is>
          <t>AMEX</t>
        </is>
      </c>
      <c r="AJ9" s="39" t="n"/>
      <c r="AK9" s="40">
        <f>AJ9*0.0195</f>
        <v/>
      </c>
      <c r="AL9" s="46" t="n"/>
    </row>
    <row r="10" ht="27.75" customHeight="1" s="220">
      <c r="A10" s="31" t="inlineStr">
        <is>
          <t>BABYBONUS</t>
        </is>
      </c>
      <c r="B10" s="194" t="n"/>
      <c r="C10" s="33">
        <f>B10*0.008</f>
        <v/>
      </c>
      <c r="D10" s="34" t="n"/>
      <c r="E10" s="35" t="inlineStr">
        <is>
          <t>BABYBONUS</t>
        </is>
      </c>
      <c r="F10" s="50" t="n"/>
      <c r="G10" s="33">
        <f>F10*0.008</f>
        <v/>
      </c>
      <c r="H10" s="34" t="n"/>
      <c r="I10" s="35" t="inlineStr">
        <is>
          <t>BABYBONUS</t>
        </is>
      </c>
      <c r="J10" s="50" t="n"/>
      <c r="K10" s="33">
        <f>J10*0.008</f>
        <v/>
      </c>
      <c r="L10" s="34" t="n"/>
      <c r="M10" s="35" t="inlineStr">
        <is>
          <t>BABYBONUS</t>
        </is>
      </c>
      <c r="N10" s="36" t="n"/>
      <c r="O10" s="33">
        <f>N10*0.008</f>
        <v/>
      </c>
      <c r="P10" s="46" t="n"/>
      <c r="Q10" s="31" t="n"/>
      <c r="R10" s="39" t="n"/>
      <c r="S10" s="40" t="n"/>
      <c r="T10" s="46" t="n"/>
      <c r="U10" s="35" t="inlineStr">
        <is>
          <t>BABYBONUS</t>
        </is>
      </c>
      <c r="V10" s="36" t="n"/>
      <c r="W10" s="33">
        <f>V10*0.008</f>
        <v/>
      </c>
      <c r="X10" s="49" t="n"/>
      <c r="Y10" s="31" t="inlineStr">
        <is>
          <t>BABYBONUS</t>
        </is>
      </c>
      <c r="Z10" s="36" t="n"/>
      <c r="AA10" s="45">
        <f>Z10*0.008</f>
        <v/>
      </c>
      <c r="AB10" s="46" t="n"/>
      <c r="AC10" s="46" t="n"/>
      <c r="AD10" s="35" t="inlineStr">
        <is>
          <t>BABYBONUS</t>
        </is>
      </c>
      <c r="AE10" s="195" t="n"/>
      <c r="AF10" s="43">
        <f>AE10*0.008</f>
        <v/>
      </c>
      <c r="AG10" s="48" t="n"/>
      <c r="AH10" s="46" t="n"/>
      <c r="AI10" s="31" t="n"/>
      <c r="AJ10" s="39" t="n"/>
      <c r="AK10" s="40" t="n"/>
      <c r="AL10" s="46" t="n"/>
    </row>
    <row r="11" ht="27.75" customHeight="1" s="220">
      <c r="A11" s="31" t="inlineStr">
        <is>
          <t>CASH</t>
        </is>
      </c>
      <c r="B11" s="32" t="n"/>
      <c r="C11" s="33" t="n"/>
      <c r="D11" s="34" t="n"/>
      <c r="E11" s="35" t="inlineStr">
        <is>
          <t>CASH</t>
        </is>
      </c>
      <c r="F11" s="36" t="n"/>
      <c r="G11" s="33" t="n"/>
      <c r="H11" s="34" t="n"/>
      <c r="I11" s="35" t="inlineStr">
        <is>
          <t>CASH</t>
        </is>
      </c>
      <c r="J11" s="36" t="n"/>
      <c r="K11" s="33" t="n"/>
      <c r="L11" s="34" t="n"/>
      <c r="M11" s="35" t="inlineStr">
        <is>
          <t>CASH</t>
        </is>
      </c>
      <c r="N11" s="36" t="n"/>
      <c r="O11" s="33" t="n"/>
      <c r="P11" s="46" t="n"/>
      <c r="Q11" s="31" t="inlineStr">
        <is>
          <t>ALLIANCE</t>
        </is>
      </c>
      <c r="R11" s="39" t="n"/>
      <c r="S11" s="40">
        <f>R11*0.05*1.09</f>
        <v/>
      </c>
      <c r="T11" s="46" t="n"/>
      <c r="U11" s="35" t="inlineStr">
        <is>
          <t>CASH</t>
        </is>
      </c>
      <c r="V11" s="51" t="n"/>
      <c r="W11" s="33" t="n"/>
      <c r="X11" s="49" t="n"/>
      <c r="Y11" s="31" t="inlineStr">
        <is>
          <t>CASH</t>
        </is>
      </c>
      <c r="Z11" s="36" t="n"/>
      <c r="AA11" s="45" t="n"/>
      <c r="AB11" s="46" t="n"/>
      <c r="AC11" s="46" t="n"/>
      <c r="AD11" s="35" t="inlineStr">
        <is>
          <t>CASH</t>
        </is>
      </c>
      <c r="AE11" s="195" t="n"/>
      <c r="AF11" s="43" t="n"/>
      <c r="AG11" s="48" t="n"/>
      <c r="AH11" s="46" t="n"/>
      <c r="AI11" s="31" t="inlineStr">
        <is>
          <t>ALLIANCE</t>
        </is>
      </c>
      <c r="AJ11" s="39" t="n"/>
      <c r="AK11" s="40">
        <f>AJ11*0.05*1.09</f>
        <v/>
      </c>
      <c r="AL11" s="46" t="n"/>
    </row>
    <row r="12" ht="27.75" customHeight="1" s="220">
      <c r="A12" s="31" t="inlineStr">
        <is>
          <t>CASA VOUCHER</t>
        </is>
      </c>
      <c r="B12" s="32" t="n"/>
      <c r="C12" s="33" t="n"/>
      <c r="D12" s="34" t="n"/>
      <c r="E12" s="35" t="inlineStr">
        <is>
          <t>CASA VOUCHER</t>
        </is>
      </c>
      <c r="F12" s="36" t="n"/>
      <c r="G12" s="33" t="n"/>
      <c r="H12" s="34" t="n"/>
      <c r="I12" s="35" t="inlineStr">
        <is>
          <t>CASA VOUCHER</t>
        </is>
      </c>
      <c r="J12" s="36" t="n"/>
      <c r="K12" s="33" t="n"/>
      <c r="L12" s="34" t="n"/>
      <c r="M12" s="35" t="inlineStr">
        <is>
          <t>CASA VOUCHER</t>
        </is>
      </c>
      <c r="N12" s="36" t="n"/>
      <c r="O12" s="33" t="n"/>
      <c r="P12" s="46" t="n"/>
      <c r="Q12" s="31" t="inlineStr">
        <is>
          <t>CASH</t>
        </is>
      </c>
      <c r="R12" s="39" t="n"/>
      <c r="S12" s="40" t="n"/>
      <c r="T12" s="46" t="n"/>
      <c r="U12" s="35" t="inlineStr">
        <is>
          <t>CASA VOUCHER</t>
        </is>
      </c>
      <c r="V12" s="51" t="n"/>
      <c r="W12" s="33" t="n"/>
      <c r="X12" s="49" t="n"/>
      <c r="Y12" s="31" t="inlineStr">
        <is>
          <t>CASA VOUCHER</t>
        </is>
      </c>
      <c r="Z12" s="36" t="n"/>
      <c r="AA12" s="45" t="n"/>
      <c r="AB12" s="46" t="n"/>
      <c r="AC12" s="46" t="n"/>
      <c r="AD12" s="35" t="inlineStr">
        <is>
          <t>CASA VOUCHER</t>
        </is>
      </c>
      <c r="AE12" s="195" t="n"/>
      <c r="AF12" s="43" t="n"/>
      <c r="AG12" s="48" t="n"/>
      <c r="AH12" s="46" t="n"/>
      <c r="AI12" s="31" t="inlineStr">
        <is>
          <t>CASH</t>
        </is>
      </c>
      <c r="AJ12" s="39" t="n"/>
      <c r="AK12" s="40" t="n"/>
      <c r="AL12" s="46" t="n"/>
    </row>
    <row r="13" ht="27.75" customHeight="1" s="220">
      <c r="A13" s="52" t="inlineStr">
        <is>
          <t>CDC VOUCHER</t>
        </is>
      </c>
      <c r="B13" s="53" t="n"/>
      <c r="C13" s="54" t="n"/>
      <c r="D13" s="34" t="n"/>
      <c r="E13" s="35" t="inlineStr">
        <is>
          <t>CDC VOUCHER</t>
        </is>
      </c>
      <c r="F13" s="36" t="n"/>
      <c r="G13" s="33" t="n"/>
      <c r="H13" s="34" t="n"/>
      <c r="I13" s="35" t="inlineStr">
        <is>
          <t>CDC VOUCHER</t>
        </is>
      </c>
      <c r="J13" s="36" t="n"/>
      <c r="K13" s="33" t="n"/>
      <c r="L13" s="34" t="n"/>
      <c r="M13" s="35" t="inlineStr">
        <is>
          <t>CDC VOUCHER</t>
        </is>
      </c>
      <c r="N13" s="36" t="n"/>
      <c r="O13" s="33" t="n"/>
      <c r="P13" s="46" t="n"/>
      <c r="Q13" s="31" t="inlineStr">
        <is>
          <t>CASA VOUCHER</t>
        </is>
      </c>
      <c r="R13" s="39" t="n"/>
      <c r="S13" s="40" t="n"/>
      <c r="T13" s="46" t="n"/>
      <c r="U13" s="35" t="inlineStr">
        <is>
          <t>CDC VOUCHER</t>
        </is>
      </c>
      <c r="V13" s="51" t="n"/>
      <c r="W13" s="33" t="n"/>
      <c r="X13" s="49" t="n"/>
      <c r="Y13" s="52" t="inlineStr">
        <is>
          <t>CDC VOUCHER</t>
        </is>
      </c>
      <c r="Z13" s="55" t="n"/>
      <c r="AA13" s="56" t="n"/>
      <c r="AB13" s="46" t="n"/>
      <c r="AC13" s="46" t="n"/>
      <c r="AD13" s="35" t="inlineStr">
        <is>
          <t>CDC VOUCHER</t>
        </is>
      </c>
      <c r="AE13" s="196" t="n"/>
      <c r="AF13" s="59" t="n"/>
      <c r="AG13" s="48" t="n"/>
      <c r="AH13" s="46" t="n"/>
      <c r="AI13" s="31" t="inlineStr">
        <is>
          <t>CASA VOUCHER</t>
        </is>
      </c>
      <c r="AJ13" s="39" t="n"/>
      <c r="AK13" s="40" t="n"/>
      <c r="AL13" s="46" t="n"/>
    </row>
    <row r="14" ht="27.75" customHeight="1" s="220">
      <c r="A14" s="31" t="inlineStr">
        <is>
          <t>CHAS</t>
        </is>
      </c>
      <c r="B14" s="174" t="n"/>
      <c r="C14" s="33" t="n"/>
      <c r="D14" s="34" t="n"/>
      <c r="E14" s="35" t="inlineStr">
        <is>
          <t>CHAS</t>
        </is>
      </c>
      <c r="F14" s="36" t="n"/>
      <c r="G14" s="33" t="n"/>
      <c r="H14" s="34" t="n"/>
      <c r="I14" s="35" t="inlineStr">
        <is>
          <t>CHAS</t>
        </is>
      </c>
      <c r="J14" s="174" t="n"/>
      <c r="K14" s="33" t="n"/>
      <c r="L14" s="34" t="n"/>
      <c r="M14" s="35" t="inlineStr">
        <is>
          <t>CHAS</t>
        </is>
      </c>
      <c r="N14" s="174" t="n"/>
      <c r="O14" s="33" t="n"/>
      <c r="P14" s="46" t="n"/>
      <c r="Q14" s="31" t="n"/>
      <c r="R14" s="39" t="n"/>
      <c r="S14" s="40" t="n"/>
      <c r="T14" s="46" t="n"/>
      <c r="U14" s="35" t="inlineStr">
        <is>
          <t>CHAS</t>
        </is>
      </c>
      <c r="V14" s="174" t="n"/>
      <c r="W14" s="33" t="n"/>
      <c r="X14" s="49" t="n"/>
      <c r="Y14" s="31" t="inlineStr">
        <is>
          <t>CHAS</t>
        </is>
      </c>
      <c r="Z14" s="174" t="n"/>
      <c r="AA14" s="45" t="n"/>
      <c r="AB14" s="46" t="n"/>
      <c r="AC14" s="46" t="n"/>
      <c r="AD14" s="35" t="inlineStr">
        <is>
          <t>CHAS</t>
        </is>
      </c>
      <c r="AE14" s="174" t="n"/>
      <c r="AF14" s="43" t="n"/>
      <c r="AG14" s="48" t="n"/>
      <c r="AH14" s="46" t="n"/>
      <c r="AI14" s="31" t="n"/>
      <c r="AJ14" s="39" t="n"/>
      <c r="AK14" s="40" t="n"/>
      <c r="AL14" s="46" t="n"/>
    </row>
    <row r="15" ht="27.75" customHeight="1" s="220">
      <c r="A15" s="31" t="inlineStr">
        <is>
          <t>CYNERGY</t>
        </is>
      </c>
      <c r="B15" s="174" t="n"/>
      <c r="C15" s="33" t="n"/>
      <c r="D15" s="34" t="n"/>
      <c r="E15" s="35" t="inlineStr">
        <is>
          <t>CYNERGY</t>
        </is>
      </c>
      <c r="F15" s="36" t="n"/>
      <c r="G15" s="33" t="n"/>
      <c r="H15" s="34" t="n"/>
      <c r="I15" s="35" t="inlineStr">
        <is>
          <t>CYNERGY</t>
        </is>
      </c>
      <c r="J15" s="174" t="n"/>
      <c r="K15" s="33" t="n"/>
      <c r="L15" s="34" t="n"/>
      <c r="M15" s="35" t="inlineStr">
        <is>
          <t>CYNERGY</t>
        </is>
      </c>
      <c r="N15" s="174" t="n"/>
      <c r="O15" s="33" t="n"/>
      <c r="P15" s="46" t="n"/>
      <c r="Q15" s="31" t="n"/>
      <c r="R15" s="39" t="n"/>
      <c r="S15" s="40" t="n"/>
      <c r="T15" s="46" t="n"/>
      <c r="U15" s="35" t="inlineStr">
        <is>
          <t>CYNERGY</t>
        </is>
      </c>
      <c r="V15" s="174" t="n"/>
      <c r="W15" s="33" t="n"/>
      <c r="X15" s="49" t="n"/>
      <c r="Y15" s="31" t="inlineStr">
        <is>
          <t>CYNERGY</t>
        </is>
      </c>
      <c r="Z15" s="174" t="n"/>
      <c r="AA15" s="45" t="n"/>
      <c r="AB15" s="46" t="n"/>
      <c r="AC15" s="46" t="n"/>
      <c r="AD15" s="35" t="inlineStr">
        <is>
          <t>CYNERGY</t>
        </is>
      </c>
      <c r="AE15" s="174" t="n"/>
      <c r="AF15" s="43" t="n"/>
      <c r="AG15" s="48" t="n"/>
      <c r="AH15" s="46" t="n"/>
      <c r="AI15" s="31" t="n"/>
      <c r="AJ15" s="39" t="n"/>
      <c r="AK15" s="40" t="n"/>
      <c r="AL15" s="46" t="n"/>
    </row>
    <row r="16" ht="27.75" customHeight="1" s="220">
      <c r="A16" s="35" t="inlineStr">
        <is>
          <t>DA ADEPT HEALTH</t>
        </is>
      </c>
      <c r="B16" s="174" t="n"/>
      <c r="C16" s="33">
        <f>B16*8%</f>
        <v/>
      </c>
      <c r="D16" s="34" t="n"/>
      <c r="E16" s="35" t="inlineStr">
        <is>
          <t>DA ADEPT HEALTH</t>
        </is>
      </c>
      <c r="F16" s="36" t="n"/>
      <c r="G16" s="33">
        <f>F16*8%</f>
        <v/>
      </c>
      <c r="H16" s="34" t="n"/>
      <c r="I16" s="35" t="inlineStr">
        <is>
          <t>DA ADEPT HEALTH</t>
        </is>
      </c>
      <c r="J16" s="36" t="n"/>
      <c r="K16" s="33">
        <f>J16*8%</f>
        <v/>
      </c>
      <c r="L16" s="34" t="n"/>
      <c r="M16" s="35" t="inlineStr">
        <is>
          <t>DA ADEPT HEALTH</t>
        </is>
      </c>
      <c r="N16" s="174" t="n"/>
      <c r="O16" s="33">
        <f>N16*8%</f>
        <v/>
      </c>
      <c r="P16" s="46" t="n"/>
      <c r="Q16" s="31" t="n"/>
      <c r="R16" s="39" t="n"/>
      <c r="S16" s="40" t="n"/>
      <c r="T16" s="46" t="n"/>
      <c r="U16" s="35" t="inlineStr">
        <is>
          <t>DA ADEPT HEALTH</t>
        </is>
      </c>
      <c r="V16" s="174" t="n"/>
      <c r="W16" s="33">
        <f>V16*8%</f>
        <v/>
      </c>
      <c r="X16" s="49" t="n"/>
      <c r="Y16" s="52" t="inlineStr">
        <is>
          <t>DA ADEPT HEALTH</t>
        </is>
      </c>
      <c r="Z16" s="174" t="n"/>
      <c r="AA16" s="56">
        <f>Z16*8%</f>
        <v/>
      </c>
      <c r="AB16" s="46" t="n"/>
      <c r="AC16" s="46" t="n"/>
      <c r="AD16" s="57" t="inlineStr">
        <is>
          <t>DA ADEPT HEALTH</t>
        </is>
      </c>
      <c r="AE16" s="58" t="n"/>
      <c r="AF16" s="59">
        <f>AE16*8%</f>
        <v/>
      </c>
      <c r="AG16" s="48" t="n"/>
      <c r="AH16" s="46" t="n"/>
      <c r="AI16" s="31" t="n"/>
      <c r="AJ16" s="39" t="n"/>
      <c r="AK16" s="40" t="n"/>
      <c r="AL16" s="46" t="n"/>
    </row>
    <row r="17" ht="27.75" customHeight="1" s="220">
      <c r="A17" s="60" t="inlineStr">
        <is>
          <t>DEPOSIT</t>
        </is>
      </c>
      <c r="B17" s="174" t="n"/>
      <c r="C17" s="33">
        <f>G17+K17+O17+O17+S17+W17+AA17+AF17</f>
        <v/>
      </c>
      <c r="D17" s="34" t="n"/>
      <c r="E17" s="61" t="inlineStr">
        <is>
          <t>DEPOSIT</t>
        </is>
      </c>
      <c r="F17" s="36" t="n"/>
      <c r="G17" s="33" t="n"/>
      <c r="H17" s="34" t="n"/>
      <c r="I17" s="61" t="inlineStr">
        <is>
          <t>DEPOSIT</t>
        </is>
      </c>
      <c r="J17" s="174" t="n"/>
      <c r="K17" s="33" t="n"/>
      <c r="L17" s="34" t="n"/>
      <c r="M17" s="61" t="inlineStr">
        <is>
          <t>DEPOSIT</t>
        </is>
      </c>
      <c r="N17" s="174" t="n"/>
      <c r="O17" s="33" t="n"/>
      <c r="P17" s="46" t="n"/>
      <c r="Q17" s="31" t="inlineStr">
        <is>
          <t>DEPOSIT</t>
        </is>
      </c>
      <c r="R17" s="39" t="n"/>
      <c r="S17" s="40" t="n">
        <v>0</v>
      </c>
      <c r="T17" s="46" t="n"/>
      <c r="U17" s="61" t="inlineStr">
        <is>
          <t>DEPOSIT</t>
        </is>
      </c>
      <c r="V17" s="51" t="n"/>
      <c r="W17" s="33" t="n"/>
      <c r="X17" s="49" t="n"/>
      <c r="Y17" s="60" t="inlineStr">
        <is>
          <t>DEPOSIT</t>
        </is>
      </c>
      <c r="Z17" s="174" t="n"/>
      <c r="AA17" s="45" t="n"/>
      <c r="AB17" s="46" t="n"/>
      <c r="AC17" s="46" t="n"/>
      <c r="AD17" s="61" t="inlineStr">
        <is>
          <t>DEPOSIT</t>
        </is>
      </c>
      <c r="AE17" s="174" t="n"/>
      <c r="AF17" s="43" t="n"/>
      <c r="AG17" s="48" t="n"/>
      <c r="AH17" s="46" t="n"/>
      <c r="AI17" s="60" t="inlineStr">
        <is>
          <t>DEPOSIT</t>
        </is>
      </c>
      <c r="AJ17" s="39" t="n"/>
      <c r="AK17" s="40" t="n"/>
      <c r="AL17" s="46" t="n"/>
    </row>
    <row r="18" ht="27.75" customHeight="1" s="220">
      <c r="A18" s="31" t="inlineStr">
        <is>
          <t>IHP</t>
        </is>
      </c>
      <c r="B18" s="174" t="n"/>
      <c r="C18" s="33">
        <f>B18*0.051*1.09</f>
        <v/>
      </c>
      <c r="D18" s="34" t="n"/>
      <c r="E18" s="35" t="inlineStr">
        <is>
          <t>IHP</t>
        </is>
      </c>
      <c r="F18" s="36" t="n"/>
      <c r="G18" s="33">
        <f>F18*0.051*1.09</f>
        <v/>
      </c>
      <c r="H18" s="34" t="n"/>
      <c r="I18" s="35" t="inlineStr">
        <is>
          <t>IHP</t>
        </is>
      </c>
      <c r="J18" s="174" t="n"/>
      <c r="K18" s="33">
        <f>J18*0.051*1.09</f>
        <v/>
      </c>
      <c r="L18" s="34" t="n"/>
      <c r="M18" s="35" t="inlineStr">
        <is>
          <t>IHP</t>
        </is>
      </c>
      <c r="N18" s="174" t="n"/>
      <c r="O18" s="33">
        <f>N18*0.051*1.09</f>
        <v/>
      </c>
      <c r="P18" s="46" t="n"/>
      <c r="Q18" s="31" t="n"/>
      <c r="R18" s="39" t="n"/>
      <c r="S18" s="40" t="n"/>
      <c r="T18" s="46" t="n"/>
      <c r="U18" s="35" t="inlineStr">
        <is>
          <t>IHP</t>
        </is>
      </c>
      <c r="V18" s="174" t="n"/>
      <c r="W18" s="33">
        <f>V18*0.051*1.09</f>
        <v/>
      </c>
      <c r="X18" s="49" t="n"/>
      <c r="Y18" s="31" t="inlineStr">
        <is>
          <t>IHP</t>
        </is>
      </c>
      <c r="Z18" s="174" t="n"/>
      <c r="AA18" s="45">
        <f>Z18*0.051*1.09</f>
        <v/>
      </c>
      <c r="AB18" s="46" t="n"/>
      <c r="AC18" s="46" t="n"/>
      <c r="AD18" s="35" t="inlineStr">
        <is>
          <t>IHP</t>
        </is>
      </c>
      <c r="AE18" s="174" t="n"/>
      <c r="AF18" s="43">
        <f>AE18*0.051*1.09</f>
        <v/>
      </c>
      <c r="AG18" s="48" t="n"/>
      <c r="AH18" s="46" t="n"/>
      <c r="AI18" s="60" t="n"/>
      <c r="AJ18" s="39" t="n"/>
      <c r="AK18" s="40" t="n"/>
      <c r="AL18" s="46" t="n"/>
    </row>
    <row r="19" ht="27.75" customHeight="1" s="220">
      <c r="A19" s="31" t="inlineStr">
        <is>
          <t>JCB</t>
        </is>
      </c>
      <c r="B19" s="32" t="n"/>
      <c r="C19" s="33">
        <f>B19*0.15*1.09</f>
        <v/>
      </c>
      <c r="D19" s="34" t="n"/>
      <c r="E19" s="35" t="inlineStr">
        <is>
          <t>JCB</t>
        </is>
      </c>
      <c r="F19" s="50" t="n"/>
      <c r="G19" s="33">
        <f>F19*0.15*1.09</f>
        <v/>
      </c>
      <c r="H19" s="34" t="n"/>
      <c r="I19" s="35" t="inlineStr">
        <is>
          <t>JCB</t>
        </is>
      </c>
      <c r="J19" s="50" t="n"/>
      <c r="K19" s="33">
        <f>J19*0.15*1.09</f>
        <v/>
      </c>
      <c r="L19" s="34" t="n"/>
      <c r="M19" s="35" t="inlineStr">
        <is>
          <t>JCB</t>
        </is>
      </c>
      <c r="N19" s="50" t="n"/>
      <c r="O19" s="33">
        <f>N19*0.15*1.09</f>
        <v/>
      </c>
      <c r="P19" s="46" t="n"/>
      <c r="Q19" s="31" t="n"/>
      <c r="R19" s="39" t="n"/>
      <c r="S19" s="40" t="n"/>
      <c r="T19" s="46" t="n"/>
      <c r="U19" s="35" t="inlineStr">
        <is>
          <t>JCB</t>
        </is>
      </c>
      <c r="V19" s="50" t="n"/>
      <c r="W19" s="33">
        <f>V19*0.15*1.09</f>
        <v/>
      </c>
      <c r="X19" s="49" t="n"/>
      <c r="Y19" s="31" t="inlineStr">
        <is>
          <t>JCB</t>
        </is>
      </c>
      <c r="Z19" s="50" t="n"/>
      <c r="AA19" s="45">
        <f>Z19*0.15*1.09</f>
        <v/>
      </c>
      <c r="AB19" s="46" t="n"/>
      <c r="AC19" s="46" t="n"/>
      <c r="AD19" s="35" t="inlineStr">
        <is>
          <t>JCB</t>
        </is>
      </c>
      <c r="AE19" s="62" t="n"/>
      <c r="AF19" s="43">
        <f>AE19*0.15*1.09</f>
        <v/>
      </c>
      <c r="AG19" s="48" t="n"/>
      <c r="AH19" s="46" t="n"/>
      <c r="AI19" s="60" t="n"/>
      <c r="AJ19" s="39" t="n"/>
      <c r="AK19" s="40" t="n"/>
      <c r="AL19" s="46" t="n"/>
    </row>
    <row r="20" ht="27.75" customHeight="1" s="220">
      <c r="A20" s="31" t="inlineStr">
        <is>
          <t>MASTER</t>
        </is>
      </c>
      <c r="B20" s="174" t="n"/>
      <c r="C20" s="33">
        <f>B20*0.0225</f>
        <v/>
      </c>
      <c r="D20" s="34" t="n"/>
      <c r="E20" s="35" t="inlineStr">
        <is>
          <t>MASTER</t>
        </is>
      </c>
      <c r="F20" s="36" t="n"/>
      <c r="G20" s="33">
        <f>F20*0.0225</f>
        <v/>
      </c>
      <c r="H20" s="34" t="n"/>
      <c r="I20" s="35" t="inlineStr">
        <is>
          <t>MASTER</t>
        </is>
      </c>
      <c r="J20" s="174" t="n"/>
      <c r="K20" s="33">
        <f>J20*0.0225</f>
        <v/>
      </c>
      <c r="L20" s="34" t="n"/>
      <c r="M20" s="35" t="inlineStr">
        <is>
          <t>MASTER</t>
        </is>
      </c>
      <c r="N20" s="174" t="n"/>
      <c r="O20" s="33">
        <f>N20*0.0225</f>
        <v/>
      </c>
      <c r="P20" s="46" t="n"/>
      <c r="Q20" s="31" t="n"/>
      <c r="R20" s="39" t="n"/>
      <c r="S20" s="40" t="n"/>
      <c r="T20" s="46" t="n"/>
      <c r="U20" s="35" t="inlineStr">
        <is>
          <t>MASTER</t>
        </is>
      </c>
      <c r="V20" s="174" t="n"/>
      <c r="W20" s="33">
        <f>V20*0.0225</f>
        <v/>
      </c>
      <c r="X20" s="49" t="n"/>
      <c r="Y20" s="31" t="inlineStr">
        <is>
          <t>MASTER</t>
        </is>
      </c>
      <c r="Z20" s="174" t="n"/>
      <c r="AA20" s="45">
        <f>Z20*0.0225</f>
        <v/>
      </c>
      <c r="AB20" s="46" t="n"/>
      <c r="AC20" s="46" t="n"/>
      <c r="AD20" s="35" t="inlineStr">
        <is>
          <t>MASTER</t>
        </is>
      </c>
      <c r="AE20" s="174" t="n"/>
      <c r="AF20" s="43">
        <f>AE20*0.0225</f>
        <v/>
      </c>
      <c r="AG20" s="48" t="n"/>
      <c r="AH20" s="46" t="n"/>
      <c r="AI20" s="60" t="n"/>
      <c r="AJ20" s="39" t="n"/>
      <c r="AK20" s="40" t="n"/>
      <c r="AL20" s="46" t="n"/>
    </row>
    <row r="21" ht="27.75" customHeight="1" s="220">
      <c r="A21" s="31" t="inlineStr">
        <is>
          <t>MEDISAVE</t>
        </is>
      </c>
      <c r="B21" s="174" t="n"/>
      <c r="C21" s="33" t="n"/>
      <c r="D21" s="34" t="n"/>
      <c r="E21" s="35" t="inlineStr">
        <is>
          <t>MEDISAVE</t>
        </is>
      </c>
      <c r="F21" s="36" t="n"/>
      <c r="G21" s="33" t="n"/>
      <c r="H21" s="34" t="n"/>
      <c r="I21" s="35" t="inlineStr">
        <is>
          <t>MEDISAVE</t>
        </is>
      </c>
      <c r="J21" s="174" t="n"/>
      <c r="K21" s="33" t="n"/>
      <c r="L21" s="34" t="n"/>
      <c r="M21" s="35" t="inlineStr">
        <is>
          <t>MEDISAVE</t>
        </is>
      </c>
      <c r="N21" s="174" t="n"/>
      <c r="O21" s="33" t="n"/>
      <c r="P21" s="46" t="n"/>
      <c r="Q21" s="31" t="n"/>
      <c r="R21" s="39" t="n"/>
      <c r="S21" s="40" t="n"/>
      <c r="T21" s="46" t="n"/>
      <c r="U21" s="35" t="inlineStr">
        <is>
          <t>MEDISAVE</t>
        </is>
      </c>
      <c r="V21" s="197" t="n"/>
      <c r="W21" s="33" t="n"/>
      <c r="X21" s="49" t="n"/>
      <c r="Y21" s="31" t="inlineStr">
        <is>
          <t>MEDISAVE</t>
        </is>
      </c>
      <c r="Z21" s="174" t="n"/>
      <c r="AA21" s="45" t="n"/>
      <c r="AB21" s="46" t="n"/>
      <c r="AC21" s="46" t="n"/>
      <c r="AD21" s="35" t="inlineStr">
        <is>
          <t>MEDISAVE</t>
        </is>
      </c>
      <c r="AE21" s="174" t="n"/>
      <c r="AF21" s="43" t="n"/>
      <c r="AG21" s="48" t="n"/>
      <c r="AH21" s="46" t="n"/>
      <c r="AI21" s="60" t="n"/>
      <c r="AJ21" s="39" t="n"/>
      <c r="AK21" s="40" t="n"/>
      <c r="AL21" s="46" t="n"/>
    </row>
    <row r="22" ht="27.75" customHeight="1" s="220">
      <c r="A22" s="52" t="inlineStr">
        <is>
          <t>mednefits</t>
        </is>
      </c>
      <c r="B22" s="53" t="n"/>
      <c r="C22" s="54">
        <f>B22*20%</f>
        <v/>
      </c>
      <c r="D22" s="34" t="n"/>
      <c r="E22" s="35" t="inlineStr">
        <is>
          <t>mednefits</t>
        </is>
      </c>
      <c r="F22" s="50" t="n"/>
      <c r="G22" s="33">
        <f>F22*20%</f>
        <v/>
      </c>
      <c r="H22" s="34" t="n"/>
      <c r="I22" s="35" t="inlineStr">
        <is>
          <t>mednefits</t>
        </is>
      </c>
      <c r="J22" s="50" t="n"/>
      <c r="K22" s="33">
        <f>J22*20%</f>
        <v/>
      </c>
      <c r="L22" s="34" t="n"/>
      <c r="M22" s="35" t="inlineStr">
        <is>
          <t>mednefits</t>
        </is>
      </c>
      <c r="N22" s="36" t="n"/>
      <c r="O22" s="33">
        <f>N22*20%</f>
        <v/>
      </c>
      <c r="P22" s="46" t="n"/>
      <c r="Q22" s="31" t="n"/>
      <c r="R22" s="39" t="n"/>
      <c r="S22" s="40" t="n"/>
      <c r="T22" s="46" t="n"/>
      <c r="U22" s="35" t="inlineStr">
        <is>
          <t>mednefits</t>
        </is>
      </c>
      <c r="V22" s="36" t="n"/>
      <c r="W22" s="33">
        <f>V22*20%</f>
        <v/>
      </c>
      <c r="X22" s="49" t="n"/>
      <c r="Y22" s="52" t="inlineStr">
        <is>
          <t>mednefits</t>
        </is>
      </c>
      <c r="Z22" s="55" t="n"/>
      <c r="AA22" s="56">
        <f>Z22*20%</f>
        <v/>
      </c>
      <c r="AB22" s="46" t="n"/>
      <c r="AC22" s="46" t="n"/>
      <c r="AD22" s="57" t="inlineStr">
        <is>
          <t>mednefits</t>
        </is>
      </c>
      <c r="AE22" s="58" t="n"/>
      <c r="AF22" s="59">
        <f>AE22*20%</f>
        <v/>
      </c>
      <c r="AG22" s="48" t="n"/>
      <c r="AH22" s="46" t="n"/>
      <c r="AI22" s="60" t="n"/>
      <c r="AJ22" s="39" t="n"/>
      <c r="AK22" s="40" t="n"/>
      <c r="AL22" s="46" t="n"/>
    </row>
    <row r="23" ht="27.75" customHeight="1" s="220">
      <c r="A23" s="35" t="inlineStr">
        <is>
          <t>MHC</t>
        </is>
      </c>
      <c r="B23" s="174" t="n"/>
      <c r="C23" s="33">
        <f>B23*0.15*1.09</f>
        <v/>
      </c>
      <c r="D23" s="34" t="n"/>
      <c r="E23" s="35" t="inlineStr">
        <is>
          <t>MHC</t>
        </is>
      </c>
      <c r="F23" s="36" t="n"/>
      <c r="G23" s="33">
        <f>F23*0.15*1.09</f>
        <v/>
      </c>
      <c r="H23" s="34" t="n"/>
      <c r="I23" s="35" t="inlineStr">
        <is>
          <t>MHC</t>
        </is>
      </c>
      <c r="J23" s="174" t="n"/>
      <c r="K23" s="33">
        <f>J23*0.15*1.09</f>
        <v/>
      </c>
      <c r="L23" s="34" t="n"/>
      <c r="M23" s="35" t="inlineStr">
        <is>
          <t>MHC</t>
        </is>
      </c>
      <c r="N23" s="36" t="n"/>
      <c r="O23" s="33">
        <f>N23*0.15*1.09</f>
        <v/>
      </c>
      <c r="P23" s="46" t="n"/>
      <c r="Q23" s="31" t="n"/>
      <c r="R23" s="39" t="n"/>
      <c r="S23" s="40" t="n"/>
      <c r="T23" s="46" t="n"/>
      <c r="U23" s="35" t="inlineStr">
        <is>
          <t>MHC</t>
        </is>
      </c>
      <c r="V23" s="197" t="n"/>
      <c r="W23" s="33">
        <f>V23*0.15*1.09</f>
        <v/>
      </c>
      <c r="X23" s="48" t="n"/>
      <c r="Y23" s="35" t="inlineStr">
        <is>
          <t>MHC</t>
        </is>
      </c>
      <c r="Z23" s="36" t="n"/>
      <c r="AA23" s="33">
        <f>Z23*0.15*1.09</f>
        <v/>
      </c>
      <c r="AB23" s="46" t="n"/>
      <c r="AC23" s="46" t="n"/>
      <c r="AD23" s="35" t="inlineStr">
        <is>
          <t>MHC</t>
        </is>
      </c>
      <c r="AE23" s="174" t="n"/>
      <c r="AF23" s="33">
        <f>AE23*0.15*1.09</f>
        <v/>
      </c>
      <c r="AG23" s="48" t="n"/>
      <c r="AH23" s="46" t="n"/>
      <c r="AI23" s="60" t="n"/>
      <c r="AJ23" s="39" t="n"/>
      <c r="AK23" s="40" t="n"/>
      <c r="AL23" s="46" t="n"/>
    </row>
    <row r="24" ht="27.75" customHeight="1" s="220">
      <c r="A24" s="31" t="inlineStr">
        <is>
          <t>NETS</t>
        </is>
      </c>
      <c r="B24" s="194" t="n"/>
      <c r="C24" s="33">
        <f>B24*0.008</f>
        <v/>
      </c>
      <c r="D24" s="34" t="n"/>
      <c r="E24" s="35" t="inlineStr">
        <is>
          <t>NETS</t>
        </is>
      </c>
      <c r="F24" s="36" t="n"/>
      <c r="G24" s="33">
        <f>F24*0.008</f>
        <v/>
      </c>
      <c r="H24" s="34" t="n"/>
      <c r="I24" s="35" t="inlineStr">
        <is>
          <t>NETS</t>
        </is>
      </c>
      <c r="J24" s="36" t="n"/>
      <c r="K24" s="33">
        <f>J24*0.008</f>
        <v/>
      </c>
      <c r="L24" s="34" t="n"/>
      <c r="M24" s="35" t="inlineStr">
        <is>
          <t>NETS</t>
        </is>
      </c>
      <c r="N24" s="174" t="n"/>
      <c r="O24" s="33">
        <f>N24*0.008</f>
        <v/>
      </c>
      <c r="P24" s="46" t="n"/>
      <c r="Q24" s="31" t="n"/>
      <c r="R24" s="39" t="n"/>
      <c r="S24" s="40" t="n"/>
      <c r="T24" s="46" t="n"/>
      <c r="U24" s="35" t="inlineStr">
        <is>
          <t>NETS</t>
        </is>
      </c>
      <c r="V24" s="36" t="n"/>
      <c r="W24" s="33">
        <f>V24*0.008</f>
        <v/>
      </c>
      <c r="X24" s="48" t="n"/>
      <c r="Y24" s="35" t="inlineStr">
        <is>
          <t>NETS</t>
        </is>
      </c>
      <c r="Z24" s="36" t="n"/>
      <c r="AA24" s="33">
        <f>Z24*0.008</f>
        <v/>
      </c>
      <c r="AB24" s="46" t="n"/>
      <c r="AC24" s="46" t="n"/>
      <c r="AD24" s="35" t="inlineStr">
        <is>
          <t>NETS</t>
        </is>
      </c>
      <c r="AE24" s="36" t="n"/>
      <c r="AF24" s="33">
        <f>AE24*0.008</f>
        <v/>
      </c>
      <c r="AG24" s="48" t="n"/>
      <c r="AH24" s="46" t="n"/>
      <c r="AI24" s="60" t="n"/>
      <c r="AJ24" s="39" t="n"/>
      <c r="AK24" s="40" t="n"/>
      <c r="AL24" s="46" t="n"/>
    </row>
    <row r="25" ht="27.75" customHeight="1" s="220">
      <c r="A25" s="35" t="inlineStr">
        <is>
          <t>PARKWAY</t>
        </is>
      </c>
      <c r="B25" s="174" t="n"/>
      <c r="C25" s="61">
        <f>B25*10%</f>
        <v/>
      </c>
      <c r="D25" s="34" t="n"/>
      <c r="E25" s="35" t="inlineStr">
        <is>
          <t>PARKWAY</t>
        </is>
      </c>
      <c r="F25" s="36" t="n"/>
      <c r="G25" s="61">
        <f>F25*10%</f>
        <v/>
      </c>
      <c r="H25" s="34" t="n"/>
      <c r="I25" s="35" t="inlineStr">
        <is>
          <t>PARKWAY</t>
        </is>
      </c>
      <c r="J25" s="174" t="n"/>
      <c r="K25" s="61">
        <f>J25*10%</f>
        <v/>
      </c>
      <c r="L25" s="34" t="n"/>
      <c r="M25" s="35" t="inlineStr">
        <is>
          <t>PARKWAY</t>
        </is>
      </c>
      <c r="N25" s="36" t="n"/>
      <c r="O25" s="61">
        <f>N25*10%</f>
        <v/>
      </c>
      <c r="P25" s="46" t="n"/>
      <c r="Q25" s="31" t="n"/>
      <c r="R25" s="39" t="n"/>
      <c r="S25" s="40" t="n"/>
      <c r="T25" s="46" t="n"/>
      <c r="U25" s="35" t="inlineStr">
        <is>
          <t>PARKWAY</t>
        </is>
      </c>
      <c r="V25" s="36" t="n"/>
      <c r="W25" s="61">
        <f>V25*10%</f>
        <v/>
      </c>
      <c r="X25" s="48" t="n"/>
      <c r="Y25" s="35" t="inlineStr">
        <is>
          <t>PARKWAY</t>
        </is>
      </c>
      <c r="Z25" s="36" t="n"/>
      <c r="AA25" s="33">
        <f>Z25*10%</f>
        <v/>
      </c>
      <c r="AB25" s="46" t="n"/>
      <c r="AC25" s="46" t="n"/>
      <c r="AD25" s="35" t="inlineStr">
        <is>
          <t>PARKWAY</t>
        </is>
      </c>
      <c r="AE25" s="36" t="n"/>
      <c r="AF25" s="33">
        <f>AE25*10%</f>
        <v/>
      </c>
      <c r="AG25" s="48" t="n"/>
      <c r="AH25" s="46" t="n"/>
      <c r="AI25" s="60" t="n"/>
      <c r="AJ25" s="39" t="n"/>
      <c r="AK25" s="40" t="n"/>
      <c r="AL25" s="46" t="n"/>
    </row>
    <row r="26" ht="27.75" customHeight="1" s="220">
      <c r="A26" s="31" t="inlineStr">
        <is>
          <t>PAYNOW</t>
        </is>
      </c>
      <c r="B26" s="174" t="n"/>
      <c r="C26" s="33" t="n"/>
      <c r="D26" s="34" t="n"/>
      <c r="E26" s="35" t="inlineStr">
        <is>
          <t>PAYNOW</t>
        </is>
      </c>
      <c r="F26" s="36" t="n"/>
      <c r="G26" s="33" t="n"/>
      <c r="H26" s="34" t="n"/>
      <c r="I26" s="35" t="inlineStr">
        <is>
          <t>PAYNOW</t>
        </is>
      </c>
      <c r="J26" s="174" t="n"/>
      <c r="K26" s="33" t="n"/>
      <c r="L26" s="34" t="n"/>
      <c r="M26" s="35" t="inlineStr">
        <is>
          <t>PAYNOW</t>
        </is>
      </c>
      <c r="N26" s="174" t="n"/>
      <c r="O26" s="33" t="n"/>
      <c r="P26" s="46" t="n"/>
      <c r="Q26" s="31" t="n"/>
      <c r="R26" s="39" t="n"/>
      <c r="S26" s="40" t="n"/>
      <c r="T26" s="46" t="n"/>
      <c r="U26" s="35" t="inlineStr">
        <is>
          <t>PAYNOW</t>
        </is>
      </c>
      <c r="V26" s="174" t="n"/>
      <c r="W26" s="33" t="n"/>
      <c r="X26" s="48" t="n"/>
      <c r="Y26" s="35" t="inlineStr">
        <is>
          <t>PAYNOW</t>
        </is>
      </c>
      <c r="Z26" s="174" t="n"/>
      <c r="AA26" s="33" t="n"/>
      <c r="AB26" s="46" t="n"/>
      <c r="AC26" s="46" t="n"/>
      <c r="AD26" s="35" t="inlineStr">
        <is>
          <t>PAYNOW</t>
        </is>
      </c>
      <c r="AE26" s="174" t="n"/>
      <c r="AF26" s="33" t="n"/>
      <c r="AG26" s="48" t="n"/>
      <c r="AH26" s="46" t="n"/>
      <c r="AI26" s="60" t="n"/>
      <c r="AJ26" s="39" t="n"/>
      <c r="AK26" s="40" t="n"/>
      <c r="AL26" s="46" t="n"/>
    </row>
    <row r="27" ht="27.75" customHeight="1" s="220">
      <c r="A27" s="63" t="inlineStr">
        <is>
          <t>RHI</t>
        </is>
      </c>
      <c r="B27" s="64" t="n"/>
      <c r="C27" s="65" t="n"/>
      <c r="D27" s="34" t="n"/>
      <c r="E27" s="35" t="inlineStr">
        <is>
          <t>RHI</t>
        </is>
      </c>
      <c r="F27" s="36" t="n"/>
      <c r="G27" s="33" t="n"/>
      <c r="H27" s="34" t="n"/>
      <c r="I27" s="35" t="inlineStr">
        <is>
          <t>RHI</t>
        </is>
      </c>
      <c r="J27" s="36" t="n"/>
      <c r="K27" s="33" t="n"/>
      <c r="L27" s="34" t="n"/>
      <c r="M27" s="35" t="inlineStr">
        <is>
          <t>RHI</t>
        </is>
      </c>
      <c r="N27" s="36" t="n"/>
      <c r="O27" s="33" t="n"/>
      <c r="P27" s="46" t="n"/>
      <c r="Q27" s="31" t="n"/>
      <c r="R27" s="39" t="n"/>
      <c r="S27" s="40" t="n"/>
      <c r="T27" s="46" t="n"/>
      <c r="U27" s="35" t="inlineStr">
        <is>
          <t>RHI</t>
        </is>
      </c>
      <c r="V27" s="51" t="n"/>
      <c r="W27" s="33" t="n"/>
      <c r="X27" s="48" t="n"/>
      <c r="Y27" s="35" t="inlineStr">
        <is>
          <t>RHI</t>
        </is>
      </c>
      <c r="Z27" s="36" t="n"/>
      <c r="AA27" s="33" t="n"/>
      <c r="AB27" s="46" t="n"/>
      <c r="AC27" s="46" t="n"/>
      <c r="AD27" s="35" t="inlineStr">
        <is>
          <t>RHI</t>
        </is>
      </c>
      <c r="AE27" s="36" t="n"/>
      <c r="AF27" s="33" t="n"/>
      <c r="AG27" s="48" t="n"/>
      <c r="AH27" s="46" t="n"/>
      <c r="AI27" s="60" t="n"/>
      <c r="AJ27" s="39" t="n"/>
      <c r="AK27" s="40" t="n"/>
      <c r="AL27" s="46" t="n"/>
    </row>
    <row r="28" ht="27.75" customHeight="1" s="220">
      <c r="A28" s="35" t="inlineStr">
        <is>
          <t>SAH</t>
        </is>
      </c>
      <c r="B28" s="36" t="n"/>
      <c r="C28" s="61">
        <f>B28*8%</f>
        <v/>
      </c>
      <c r="D28" s="34" t="n"/>
      <c r="E28" s="35" t="inlineStr">
        <is>
          <t>SAH</t>
        </is>
      </c>
      <c r="F28" s="36" t="n"/>
      <c r="G28" s="61">
        <f>F28*8%</f>
        <v/>
      </c>
      <c r="H28" s="34" t="n"/>
      <c r="I28" s="35" t="inlineStr">
        <is>
          <t>SAH</t>
        </is>
      </c>
      <c r="J28" s="36" t="n"/>
      <c r="K28" s="61">
        <f>J28*8%</f>
        <v/>
      </c>
      <c r="L28" s="34" t="n"/>
      <c r="M28" s="35" t="inlineStr">
        <is>
          <t>SAH</t>
        </is>
      </c>
      <c r="N28" s="36" t="n"/>
      <c r="O28" s="61">
        <f>N28*8%</f>
        <v/>
      </c>
      <c r="P28" s="46" t="n"/>
      <c r="Q28" s="31" t="n"/>
      <c r="R28" s="39" t="n"/>
      <c r="S28" s="40" t="n"/>
      <c r="T28" s="46" t="n"/>
      <c r="U28" s="35" t="inlineStr">
        <is>
          <t>SAH</t>
        </is>
      </c>
      <c r="V28" s="36" t="n"/>
      <c r="W28" s="61">
        <f>V28*8%</f>
        <v/>
      </c>
      <c r="X28" s="48" t="n"/>
      <c r="Y28" s="35" t="inlineStr">
        <is>
          <t>SAH</t>
        </is>
      </c>
      <c r="Z28" s="36" t="n"/>
      <c r="AA28" s="61">
        <f>Z28*8%</f>
        <v/>
      </c>
      <c r="AB28" s="46" t="n"/>
      <c r="AC28" s="46" t="n"/>
      <c r="AD28" s="35" t="inlineStr">
        <is>
          <t>SAH</t>
        </is>
      </c>
      <c r="AE28" s="36" t="n"/>
      <c r="AF28" s="61">
        <f>AE28*8%</f>
        <v/>
      </c>
      <c r="AG28" s="48" t="n"/>
      <c r="AH28" s="46" t="n"/>
      <c r="AI28" s="60" t="n"/>
      <c r="AJ28" s="39" t="n"/>
      <c r="AK28" s="40" t="n"/>
      <c r="AL28" s="46" t="n"/>
    </row>
    <row r="29" ht="27.75" customHeight="1" s="220">
      <c r="A29" s="52" t="inlineStr">
        <is>
          <t>UNION PAY</t>
        </is>
      </c>
      <c r="B29" s="174" t="n"/>
      <c r="C29" s="54">
        <f>B29*2.5%</f>
        <v/>
      </c>
      <c r="D29" s="34" t="n"/>
      <c r="E29" s="35" t="inlineStr">
        <is>
          <t>UNION PAY</t>
        </is>
      </c>
      <c r="F29" s="36" t="n"/>
      <c r="G29" s="33">
        <f>F29*2.5%</f>
        <v/>
      </c>
      <c r="H29" s="34" t="n"/>
      <c r="I29" s="35" t="inlineStr">
        <is>
          <t>UNION PAY</t>
        </is>
      </c>
      <c r="J29" s="174" t="n"/>
      <c r="K29" s="33">
        <f>J29*2.5%</f>
        <v/>
      </c>
      <c r="L29" s="34" t="n"/>
      <c r="M29" s="35" t="inlineStr">
        <is>
          <t>UNION PAY</t>
        </is>
      </c>
      <c r="N29" s="36" t="n"/>
      <c r="O29" s="33">
        <f>N29*2.5%</f>
        <v/>
      </c>
      <c r="P29" s="46" t="n"/>
      <c r="Q29" s="31" t="n"/>
      <c r="R29" s="39" t="n"/>
      <c r="S29" s="40" t="n"/>
      <c r="T29" s="46" t="n"/>
      <c r="U29" s="35" t="inlineStr">
        <is>
          <t>UNION PAY</t>
        </is>
      </c>
      <c r="V29" s="36" t="n"/>
      <c r="W29" s="33">
        <f>V29*2.5%</f>
        <v/>
      </c>
      <c r="X29" s="48" t="n"/>
      <c r="Y29" s="35" t="inlineStr">
        <is>
          <t>UNION PAY</t>
        </is>
      </c>
      <c r="Z29" s="36" t="n"/>
      <c r="AA29" s="33">
        <f>Z29*2.5%</f>
        <v/>
      </c>
      <c r="AB29" s="46" t="n"/>
      <c r="AC29" s="46" t="n"/>
      <c r="AD29" s="35" t="inlineStr">
        <is>
          <t>UNION PAY</t>
        </is>
      </c>
      <c r="AE29" s="36" t="n"/>
      <c r="AF29" s="33">
        <f>AE29*2.5%</f>
        <v/>
      </c>
      <c r="AG29" s="48" t="n"/>
      <c r="AH29" s="46" t="n"/>
      <c r="AI29" s="60" t="n"/>
      <c r="AJ29" s="39" t="n"/>
      <c r="AK29" s="40" t="n"/>
      <c r="AL29" s="46" t="n"/>
    </row>
    <row r="30" ht="28.5" customHeight="1" s="220">
      <c r="A30" s="66" t="inlineStr">
        <is>
          <t>VISA</t>
        </is>
      </c>
      <c r="B30" s="67" t="n"/>
      <c r="C30" s="68">
        <f>B30*0.0225</f>
        <v/>
      </c>
      <c r="D30" s="34" t="n"/>
      <c r="E30" s="69" t="inlineStr">
        <is>
          <t>VISA</t>
        </is>
      </c>
      <c r="F30" s="70" t="n"/>
      <c r="G30" s="68">
        <f>F30*0.0225</f>
        <v/>
      </c>
      <c r="H30" s="34" t="n"/>
      <c r="I30" s="69" t="inlineStr">
        <is>
          <t>VISA</t>
        </is>
      </c>
      <c r="J30" s="70" t="n"/>
      <c r="K30" s="68">
        <f>J30*0.0225</f>
        <v/>
      </c>
      <c r="L30" s="34" t="n"/>
      <c r="M30" s="69" t="inlineStr">
        <is>
          <t>VISA</t>
        </is>
      </c>
      <c r="N30" s="70" t="n"/>
      <c r="O30" s="68">
        <f>N30*0.0225</f>
        <v/>
      </c>
      <c r="P30" s="46" t="n"/>
      <c r="Q30" s="31" t="n"/>
      <c r="R30" s="39" t="n"/>
      <c r="S30" s="40" t="n"/>
      <c r="T30" s="46" t="n"/>
      <c r="U30" s="69" t="inlineStr">
        <is>
          <t>VISA</t>
        </is>
      </c>
      <c r="V30" s="71" t="n"/>
      <c r="W30" s="68">
        <f>V30*0.0225</f>
        <v/>
      </c>
      <c r="X30" s="48" t="n"/>
      <c r="Y30" s="69" t="inlineStr">
        <is>
          <t>VISA</t>
        </is>
      </c>
      <c r="Z30" s="70" t="n"/>
      <c r="AA30" s="68">
        <f>Z30*0.0225</f>
        <v/>
      </c>
      <c r="AB30" s="46" t="n"/>
      <c r="AC30" s="46" t="n"/>
      <c r="AD30" s="69" t="inlineStr">
        <is>
          <t>VISA</t>
        </is>
      </c>
      <c r="AE30" s="70" t="n"/>
      <c r="AF30" s="68">
        <f>AE30*0.0225</f>
        <v/>
      </c>
      <c r="AG30" s="48" t="n"/>
      <c r="AH30" s="46" t="n"/>
      <c r="AI30" s="60" t="n"/>
      <c r="AJ30" s="39" t="n"/>
      <c r="AK30" s="40" t="n"/>
      <c r="AL30" s="46" t="n"/>
    </row>
    <row r="31" ht="32.25" customHeight="1" s="220">
      <c r="A31" s="72" t="inlineStr">
        <is>
          <t>TOTAL INCOME</t>
        </is>
      </c>
      <c r="B31" s="188">
        <f>SUM(B7:B30)</f>
        <v/>
      </c>
      <c r="C31" s="74">
        <f>SUM(C7:C30)</f>
        <v/>
      </c>
      <c r="D31" s="34" t="n"/>
      <c r="E31" s="75" t="inlineStr">
        <is>
          <t>DR TOTAL INCOME</t>
        </is>
      </c>
      <c r="F31" s="75">
        <f>SUM(F7:F30)</f>
        <v/>
      </c>
      <c r="G31" s="76">
        <f>SUM(G7:G30)</f>
        <v/>
      </c>
      <c r="H31" s="34" t="n"/>
      <c r="I31" s="77" t="inlineStr">
        <is>
          <t>DR TOTAL INCOME</t>
        </is>
      </c>
      <c r="J31" s="189">
        <f>SUM(J7:J30)</f>
        <v/>
      </c>
      <c r="K31" s="79">
        <f>SUM(K7:K30)</f>
        <v/>
      </c>
      <c r="L31" s="34" t="n"/>
      <c r="M31" s="77" t="inlineStr">
        <is>
          <t>DR TOTAL INCOME</t>
        </is>
      </c>
      <c r="N31" s="189">
        <f>SUM(N7:N30)</f>
        <v/>
      </c>
      <c r="O31" s="80">
        <f>SUM(O7:O30)</f>
        <v/>
      </c>
      <c r="P31" s="46" t="n"/>
      <c r="Q31" s="31" t="n"/>
      <c r="R31" s="39" t="n"/>
      <c r="S31" s="40" t="n"/>
      <c r="T31" s="46" t="n"/>
      <c r="U31" s="75" t="inlineStr">
        <is>
          <t>DR TOTAL INCOME</t>
        </is>
      </c>
      <c r="V31" s="190">
        <f>SUM(V7:V30)</f>
        <v/>
      </c>
      <c r="W31" s="82">
        <f>SUM(W7:W30)</f>
        <v/>
      </c>
      <c r="X31" s="49" t="n"/>
      <c r="Y31" s="77" t="inlineStr">
        <is>
          <t>DR TOTAL INCOME</t>
        </is>
      </c>
      <c r="Z31" s="191">
        <f>SUM(Z7:Z30)</f>
        <v/>
      </c>
      <c r="AA31" s="79">
        <f>SUM(AA7:AA30)</f>
        <v/>
      </c>
      <c r="AB31" s="46" t="n"/>
      <c r="AC31" s="46" t="n"/>
      <c r="AD31" s="84" t="inlineStr">
        <is>
          <t>DR TOTAL INCOME</t>
        </is>
      </c>
      <c r="AE31" s="192">
        <f>SUM(AE7:AE30)</f>
        <v/>
      </c>
      <c r="AF31" s="82">
        <f>SUM(AF7:AF30)</f>
        <v/>
      </c>
      <c r="AG31" s="48" t="n"/>
      <c r="AH31" s="46" t="n"/>
      <c r="AI31" s="60" t="n"/>
      <c r="AJ31" s="39" t="n"/>
      <c r="AK31" s="40" t="n"/>
      <c r="AL31" s="46" t="n"/>
    </row>
    <row r="32" ht="29.25" customHeight="1" s="220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31" t="n"/>
      <c r="R32" s="39" t="n"/>
      <c r="S32" s="40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8" t="n"/>
      <c r="AH32" s="46" t="n"/>
      <c r="AI32" s="60" t="n"/>
      <c r="AJ32" s="39" t="n"/>
      <c r="AK32" s="40" t="n"/>
      <c r="AL32" s="46" t="n"/>
    </row>
    <row r="33" ht="23.25" customHeight="1" s="220">
      <c r="A33" s="86" t="n"/>
      <c r="B33" s="230" t="inlineStr">
        <is>
          <t>EXPENSES</t>
        </is>
      </c>
      <c r="C33" s="231" t="n"/>
      <c r="D33" s="86" t="n"/>
      <c r="E33" s="86" t="n"/>
      <c r="F33" s="232" t="inlineStr">
        <is>
          <t>DEDUCTIONS</t>
        </is>
      </c>
      <c r="G33" s="222" t="n"/>
      <c r="H33" s="90" t="inlineStr">
        <is>
          <t>REMARKS</t>
        </is>
      </c>
      <c r="I33" s="86" t="n"/>
      <c r="J33" s="230" t="inlineStr">
        <is>
          <t>DEDUCTIONS</t>
        </is>
      </c>
      <c r="K33" s="231" t="n"/>
      <c r="L33" s="90" t="inlineStr">
        <is>
          <t>REMARKS</t>
        </is>
      </c>
      <c r="M33" s="86" t="n"/>
      <c r="N33" s="230" t="inlineStr">
        <is>
          <t>DEDUCTIONS</t>
        </is>
      </c>
      <c r="O33" s="231" t="n"/>
      <c r="P33" s="90" t="inlineStr">
        <is>
          <t>REMARKS</t>
        </is>
      </c>
      <c r="Q33" s="86" t="n"/>
      <c r="R33" s="232" t="inlineStr">
        <is>
          <t>DEDUCTIONS</t>
        </is>
      </c>
      <c r="S33" s="222" t="n"/>
      <c r="T33" s="90" t="inlineStr">
        <is>
          <t>REMARKS</t>
        </is>
      </c>
      <c r="U33" s="86" t="n"/>
      <c r="V33" s="230" t="inlineStr">
        <is>
          <t>DEDUCTIONS</t>
        </is>
      </c>
      <c r="W33" s="231" t="n"/>
      <c r="X33" s="90" t="inlineStr">
        <is>
          <t>REMARKS</t>
        </is>
      </c>
      <c r="Y33" s="86" t="n"/>
      <c r="Z33" s="230" t="inlineStr">
        <is>
          <t>DEDUCTIONS</t>
        </is>
      </c>
      <c r="AA33" s="231" t="n"/>
      <c r="AB33" s="90" t="inlineStr">
        <is>
          <t>REMARKS</t>
        </is>
      </c>
      <c r="AC33" s="86" t="n"/>
      <c r="AD33" s="86" t="n"/>
      <c r="AE33" s="230" t="inlineStr">
        <is>
          <t>DEDUCTIONS</t>
        </is>
      </c>
      <c r="AF33" s="231" t="n"/>
      <c r="AG33" s="90" t="inlineStr">
        <is>
          <t>REMARKS</t>
        </is>
      </c>
      <c r="AH33" s="86" t="n"/>
      <c r="AI33" s="86" t="n"/>
      <c r="AJ33" s="232" t="inlineStr">
        <is>
          <t>DEDUCTIONS</t>
        </is>
      </c>
      <c r="AK33" s="222" t="n"/>
      <c r="AL33" s="90" t="inlineStr">
        <is>
          <t>REMARKS</t>
        </is>
      </c>
    </row>
    <row r="34" ht="30.75" customHeight="1" s="220">
      <c r="A34" s="1" t="n"/>
      <c r="B34" s="96" t="inlineStr">
        <is>
          <t>ADMIN FEE</t>
        </is>
      </c>
      <c r="C34" s="97">
        <f>SUM(C7:C30)</f>
        <v/>
      </c>
      <c r="D34" s="1" t="n"/>
      <c r="E34" s="1" t="n"/>
      <c r="F34" s="31" t="inlineStr">
        <is>
          <t>ADMIN CHARGES</t>
        </is>
      </c>
      <c r="G34" s="93">
        <f>G31</f>
        <v/>
      </c>
      <c r="H34" s="90" t="n"/>
      <c r="I34" s="1" t="n"/>
      <c r="J34" s="35" t="inlineStr">
        <is>
          <t>ADMIN CHARGES</t>
        </is>
      </c>
      <c r="K34" s="94">
        <f>K31</f>
        <v/>
      </c>
      <c r="L34" s="90" t="n"/>
      <c r="M34" s="1" t="n"/>
      <c r="N34" s="35" t="inlineStr">
        <is>
          <t>ADMIN CHARGES</t>
        </is>
      </c>
      <c r="O34" s="94">
        <f>O31</f>
        <v/>
      </c>
      <c r="P34" s="90" t="n"/>
      <c r="Q34" s="1" t="n"/>
      <c r="R34" s="31" t="inlineStr">
        <is>
          <t>ADMIN CHARGES</t>
        </is>
      </c>
      <c r="S34" s="93">
        <f>#REF!</f>
        <v/>
      </c>
      <c r="T34" s="90" t="n"/>
      <c r="U34" s="1" t="n"/>
      <c r="V34" s="35" t="inlineStr">
        <is>
          <t>ADMIN CHARGES</t>
        </is>
      </c>
      <c r="W34" s="94">
        <f>W31</f>
        <v/>
      </c>
      <c r="X34" s="90" t="n"/>
      <c r="Y34" s="1" t="n"/>
      <c r="Z34" s="35" t="inlineStr">
        <is>
          <t>ADMIN CHARGES</t>
        </is>
      </c>
      <c r="AA34" s="94">
        <f>AA31</f>
        <v/>
      </c>
      <c r="AB34" s="90" t="n"/>
      <c r="AC34" s="1" t="n"/>
      <c r="AD34" s="1" t="n"/>
      <c r="AE34" s="35" t="inlineStr">
        <is>
          <t>ADMIN CHARGES</t>
        </is>
      </c>
      <c r="AF34" s="111">
        <f>AF31</f>
        <v/>
      </c>
      <c r="AG34" s="90" t="n"/>
      <c r="AH34" s="1" t="n"/>
      <c r="AI34" s="1" t="n"/>
      <c r="AJ34" s="31" t="inlineStr">
        <is>
          <t>ADMIN CHARGES</t>
        </is>
      </c>
      <c r="AK34" s="93">
        <f>#REF!</f>
        <v/>
      </c>
      <c r="AL34" s="90" t="n"/>
    </row>
    <row r="35" ht="30.75" customHeight="1" s="220">
      <c r="A35" s="1" t="n"/>
      <c r="B35" s="96" t="inlineStr">
        <is>
          <t>GST</t>
        </is>
      </c>
      <c r="C35" s="97">
        <f>G35+K35+O35+S35+W35+AA35+AF35+AK35</f>
        <v/>
      </c>
      <c r="D35" s="1" t="n"/>
      <c r="E35" s="1" t="n"/>
      <c r="F35" s="31" t="inlineStr">
        <is>
          <t>GST</t>
        </is>
      </c>
      <c r="G35" s="100" t="n"/>
      <c r="H35" s="90" t="n"/>
      <c r="I35" s="1" t="n"/>
      <c r="J35" s="35" t="inlineStr">
        <is>
          <t>GST</t>
        </is>
      </c>
      <c r="K35" s="51" t="n"/>
      <c r="L35" s="90" t="n"/>
      <c r="M35" s="1" t="n"/>
      <c r="N35" s="35" t="inlineStr">
        <is>
          <t>GST</t>
        </is>
      </c>
      <c r="O35" s="51" t="n"/>
      <c r="P35" s="90" t="n"/>
      <c r="Q35" s="1" t="n"/>
      <c r="R35" s="31" t="inlineStr">
        <is>
          <t>GST</t>
        </is>
      </c>
      <c r="S35" s="100" t="n"/>
      <c r="T35" s="90" t="n"/>
      <c r="U35" s="1" t="n"/>
      <c r="V35" s="35" t="inlineStr">
        <is>
          <t>GST</t>
        </is>
      </c>
      <c r="W35" s="51" t="n"/>
      <c r="X35" s="90" t="n"/>
      <c r="Y35" s="1" t="n"/>
      <c r="Z35" s="35" t="inlineStr">
        <is>
          <t>GST</t>
        </is>
      </c>
      <c r="AA35" s="51" t="n"/>
      <c r="AB35" s="90" t="n"/>
      <c r="AC35" s="1" t="n"/>
      <c r="AD35" s="1" t="n"/>
      <c r="AE35" s="35" t="inlineStr">
        <is>
          <t>GST</t>
        </is>
      </c>
      <c r="AF35" s="36" t="n"/>
      <c r="AG35" s="90" t="n"/>
      <c r="AH35" s="1" t="n"/>
      <c r="AI35" s="1" t="n"/>
      <c r="AJ35" s="31" t="inlineStr">
        <is>
          <t>GST</t>
        </is>
      </c>
      <c r="AK35" s="100" t="n"/>
      <c r="AL35" s="90" t="n"/>
    </row>
    <row r="36" ht="30.75" customHeight="1" s="220">
      <c r="A36" s="1" t="n"/>
      <c r="B36" s="96" t="inlineStr">
        <is>
          <t>RENTAL</t>
        </is>
      </c>
      <c r="C36" s="97" t="n"/>
      <c r="D36" s="1" t="n"/>
      <c r="E36" s="1" t="n"/>
      <c r="F36" s="31" t="inlineStr">
        <is>
          <t>ICC-5</t>
        </is>
      </c>
      <c r="G36" s="100" t="n"/>
      <c r="H36" s="90" t="n"/>
      <c r="I36" s="1" t="n"/>
      <c r="J36" s="35" t="inlineStr">
        <is>
          <t>ICC-5</t>
        </is>
      </c>
      <c r="K36" s="51" t="n"/>
      <c r="L36" s="90" t="n"/>
      <c r="M36" s="1" t="n"/>
      <c r="N36" s="35" t="inlineStr">
        <is>
          <t>ICC-5</t>
        </is>
      </c>
      <c r="O36" s="51" t="n"/>
      <c r="P36" s="90" t="n"/>
      <c r="Q36" s="1" t="n"/>
      <c r="R36" s="31" t="n"/>
      <c r="S36" s="100" t="n"/>
      <c r="T36" s="90" t="n"/>
      <c r="U36" s="1" t="n"/>
      <c r="V36" s="35" t="inlineStr">
        <is>
          <t>ICC-5</t>
        </is>
      </c>
      <c r="W36" s="51" t="n"/>
      <c r="X36" s="90" t="n"/>
      <c r="Y36" s="1" t="n"/>
      <c r="Z36" s="35" t="inlineStr">
        <is>
          <t>ICC-5</t>
        </is>
      </c>
      <c r="AA36" s="51" t="n"/>
      <c r="AB36" s="90" t="n"/>
      <c r="AC36" s="1" t="n"/>
      <c r="AD36" s="1" t="n"/>
      <c r="AE36" s="35" t="inlineStr">
        <is>
          <t>ICC-5</t>
        </is>
      </c>
      <c r="AF36" s="36" t="n"/>
      <c r="AG36" s="90" t="n"/>
      <c r="AH36" s="1" t="n"/>
      <c r="AI36" s="1" t="n"/>
      <c r="AJ36" s="31" t="n"/>
      <c r="AK36" s="100" t="n"/>
      <c r="AL36" s="90" t="n"/>
    </row>
    <row r="37" ht="30.75" customHeight="1" s="220">
      <c r="A37" s="1" t="n"/>
      <c r="B37" s="96" t="inlineStr">
        <is>
          <t>LOAN INTEREST</t>
        </is>
      </c>
      <c r="C37" s="97" t="n">
        <v>22.12</v>
      </c>
      <c r="D37" s="1" t="n"/>
      <c r="E37" s="1" t="n"/>
      <c r="F37" s="31" t="inlineStr">
        <is>
          <t>PRODUCTS</t>
        </is>
      </c>
      <c r="G37" s="100" t="n"/>
      <c r="H37" s="90" t="n"/>
      <c r="I37" s="1" t="n"/>
      <c r="J37" s="35" t="inlineStr">
        <is>
          <t>PRODUCTS</t>
        </is>
      </c>
      <c r="K37" s="51" t="n"/>
      <c r="L37" s="90" t="n"/>
      <c r="M37" s="1" t="n"/>
      <c r="N37" s="35" t="inlineStr">
        <is>
          <t>PRODUCTS</t>
        </is>
      </c>
      <c r="O37" s="51" t="n"/>
      <c r="P37" s="90" t="n"/>
      <c r="Q37" s="1" t="n"/>
      <c r="R37" s="31" t="n"/>
      <c r="S37" s="100" t="n"/>
      <c r="T37" s="90" t="n"/>
      <c r="U37" s="1" t="n"/>
      <c r="V37" s="35" t="inlineStr">
        <is>
          <t>PRODUCTS</t>
        </is>
      </c>
      <c r="W37" s="51" t="n"/>
      <c r="X37" s="90" t="n"/>
      <c r="Y37" s="1" t="n"/>
      <c r="Z37" s="35" t="inlineStr">
        <is>
          <t>PRODUCTS</t>
        </is>
      </c>
      <c r="AA37" s="51" t="n"/>
      <c r="AB37" s="90" t="n"/>
      <c r="AC37" s="1" t="n"/>
      <c r="AD37" s="1" t="n"/>
      <c r="AE37" s="35" t="inlineStr">
        <is>
          <t>PRODUCTS</t>
        </is>
      </c>
      <c r="AF37" s="36" t="n"/>
      <c r="AG37" s="90" t="n"/>
      <c r="AH37" s="1" t="n"/>
      <c r="AI37" s="1" t="n"/>
      <c r="AJ37" s="31" t="n"/>
      <c r="AK37" s="100" t="n"/>
      <c r="AL37" s="90" t="n"/>
    </row>
    <row r="38" ht="30.75" customHeight="1" s="220">
      <c r="A38" s="1" t="n"/>
      <c r="B38" s="96" t="inlineStr">
        <is>
          <t xml:space="preserve">IRAS TAX </t>
        </is>
      </c>
      <c r="C38" s="97" t="n">
        <v>12386.28</v>
      </c>
      <c r="D38" s="136" t="n">
        <v>46023</v>
      </c>
      <c r="E38" s="1" t="n"/>
      <c r="F38" s="31" t="inlineStr">
        <is>
          <t>ORTHO (B+B)</t>
        </is>
      </c>
      <c r="G38" s="100" t="n"/>
      <c r="H38" s="90" t="n"/>
      <c r="I38" s="1" t="n"/>
      <c r="J38" s="35" t="inlineStr">
        <is>
          <t>ORTHO (B+B)</t>
        </is>
      </c>
      <c r="K38" s="51" t="n"/>
      <c r="L38" s="90" t="n"/>
      <c r="M38" s="1" t="n"/>
      <c r="N38" s="35" t="inlineStr">
        <is>
          <t>ORTHO (B+B)</t>
        </is>
      </c>
      <c r="O38" s="51" t="n"/>
      <c r="P38" s="90" t="n"/>
      <c r="Q38" s="1" t="n"/>
      <c r="R38" s="31" t="n"/>
      <c r="S38" s="100" t="n"/>
      <c r="T38" s="90" t="n"/>
      <c r="U38" s="1" t="n"/>
      <c r="V38" s="35" t="inlineStr">
        <is>
          <t>ORTHO (B+B)</t>
        </is>
      </c>
      <c r="W38" s="51" t="n"/>
      <c r="X38" s="90" t="n"/>
      <c r="Y38" s="1" t="n"/>
      <c r="Z38" s="35" t="inlineStr">
        <is>
          <t>ORTHO (B+B)</t>
        </is>
      </c>
      <c r="AA38" s="51" t="n"/>
      <c r="AB38" s="90" t="n"/>
      <c r="AC38" s="1" t="n"/>
      <c r="AD38" s="1" t="n"/>
      <c r="AE38" s="35" t="inlineStr">
        <is>
          <t>ORTHO (B+B)</t>
        </is>
      </c>
      <c r="AF38" s="36" t="n"/>
      <c r="AG38" s="90" t="n"/>
      <c r="AH38" s="1" t="n"/>
      <c r="AI38" s="1" t="n"/>
      <c r="AJ38" s="31" t="n"/>
      <c r="AK38" s="100" t="n"/>
      <c r="AL38" s="90" t="n"/>
    </row>
    <row r="39" ht="30.75" customHeight="1" s="220">
      <c r="A39" s="1" t="n"/>
      <c r="B39" s="96" t="inlineStr">
        <is>
          <t>CK SECRETARIAL / ACCOUNTS SERVICES</t>
        </is>
      </c>
      <c r="C39" s="97" t="n"/>
      <c r="D39" s="1" t="n">
        <v>12386.28</v>
      </c>
      <c r="E39" s="1" t="n"/>
      <c r="F39" s="31" t="inlineStr">
        <is>
          <t>ABUTMENTS</t>
        </is>
      </c>
      <c r="G39" s="100" t="n"/>
      <c r="H39" s="98" t="n"/>
      <c r="I39" s="1" t="n"/>
      <c r="J39" s="35" t="inlineStr">
        <is>
          <t>ABUTMENTS</t>
        </is>
      </c>
      <c r="K39" s="51" t="n"/>
      <c r="L39" s="90" t="n"/>
      <c r="M39" s="1" t="n"/>
      <c r="N39" s="35" t="inlineStr">
        <is>
          <t>ABUTMENTS</t>
        </is>
      </c>
      <c r="O39" s="51" t="n"/>
      <c r="P39" s="90" t="n"/>
      <c r="Q39" s="1" t="n"/>
      <c r="R39" s="31" t="n"/>
      <c r="S39" s="100" t="n"/>
      <c r="T39" s="90" t="n"/>
      <c r="U39" s="1" t="n"/>
      <c r="V39" s="35" t="inlineStr">
        <is>
          <t>ABUTMENTS</t>
        </is>
      </c>
      <c r="W39" s="51" t="n"/>
      <c r="X39" s="90" t="n"/>
      <c r="Y39" s="1" t="n"/>
      <c r="Z39" s="35" t="inlineStr">
        <is>
          <t>ABUTMENTS</t>
        </is>
      </c>
      <c r="AA39" s="51" t="n"/>
      <c r="AB39" s="90" t="n"/>
      <c r="AC39" s="1" t="n"/>
      <c r="AD39" s="1" t="n"/>
      <c r="AE39" s="35" t="inlineStr">
        <is>
          <t>ABUTMENTS</t>
        </is>
      </c>
      <c r="AF39" s="36" t="n"/>
      <c r="AG39" s="90" t="n"/>
      <c r="AH39" s="1" t="n"/>
      <c r="AI39" s="1" t="n"/>
      <c r="AJ39" s="31" t="n"/>
      <c r="AK39" s="100" t="n"/>
      <c r="AL39" s="90" t="n"/>
    </row>
    <row r="40" ht="30.75" customHeight="1" s="220">
      <c r="A40" s="1" t="n"/>
      <c r="B40" s="96" t="inlineStr">
        <is>
          <t>TOWN COUNCIL</t>
        </is>
      </c>
      <c r="C40" s="97" t="n"/>
      <c r="D40" s="1" t="n"/>
      <c r="E40" s="1" t="n"/>
      <c r="F40" s="31" t="inlineStr">
        <is>
          <t>IMPLANT</t>
        </is>
      </c>
      <c r="G40" s="99" t="n"/>
      <c r="H40" s="90" t="n"/>
      <c r="I40" s="1" t="n"/>
      <c r="J40" s="35" t="inlineStr">
        <is>
          <t>IMPLANT</t>
        </is>
      </c>
      <c r="K40" s="51" t="n"/>
      <c r="L40" s="90" t="n"/>
      <c r="M40" s="1" t="n"/>
      <c r="N40" s="35" t="inlineStr">
        <is>
          <t>IMPLANT</t>
        </is>
      </c>
      <c r="O40" s="51" t="n"/>
      <c r="P40" s="90" t="n"/>
      <c r="Q40" s="1" t="n"/>
      <c r="R40" s="31" t="n"/>
      <c r="S40" s="100" t="n"/>
      <c r="T40" s="90" t="n"/>
      <c r="U40" s="1" t="n"/>
      <c r="V40" s="35" t="inlineStr">
        <is>
          <t>IMPLANT</t>
        </is>
      </c>
      <c r="W40" s="51" t="n"/>
      <c r="X40" s="90" t="n"/>
      <c r="Y40" s="1" t="n"/>
      <c r="Z40" s="35" t="inlineStr">
        <is>
          <t>IMPLANT</t>
        </is>
      </c>
      <c r="AA40" s="51" t="n"/>
      <c r="AB40" s="90" t="n"/>
      <c r="AC40" s="1" t="n"/>
      <c r="AD40" s="1" t="n"/>
      <c r="AE40" s="35" t="inlineStr">
        <is>
          <t>IMPLANT</t>
        </is>
      </c>
      <c r="AF40" s="36" t="n"/>
      <c r="AG40" s="90" t="n"/>
      <c r="AH40" s="1" t="n"/>
      <c r="AI40" s="1" t="n"/>
      <c r="AJ40" s="31" t="n"/>
      <c r="AK40" s="100" t="n"/>
      <c r="AL40" s="90" t="n"/>
    </row>
    <row r="41" ht="30.75" customHeight="1" s="220">
      <c r="A41" s="1" t="n"/>
      <c r="B41" s="96" t="inlineStr">
        <is>
          <t>SERVICE &amp; CONSERVANCY CHARGES</t>
        </is>
      </c>
      <c r="C41" s="97" t="n"/>
      <c r="D41" s="1" t="n"/>
      <c r="E41" s="1" t="n"/>
      <c r="F41" s="31" t="inlineStr">
        <is>
          <t>SKY LAB</t>
        </is>
      </c>
      <c r="G41" s="100" t="n"/>
      <c r="H41" s="90" t="n"/>
      <c r="I41" s="1" t="n"/>
      <c r="J41" s="35" t="inlineStr">
        <is>
          <t>SKY LAB</t>
        </is>
      </c>
      <c r="K41" s="51" t="n"/>
      <c r="L41" s="90" t="n"/>
      <c r="M41" s="1" t="n"/>
      <c r="N41" s="35" t="inlineStr">
        <is>
          <t>SKY LAB</t>
        </is>
      </c>
      <c r="O41" s="51" t="n"/>
      <c r="P41" s="90" t="n"/>
      <c r="Q41" s="1" t="n"/>
      <c r="R41" s="31" t="n"/>
      <c r="S41" s="100" t="n"/>
      <c r="T41" s="90" t="n"/>
      <c r="U41" s="1" t="n"/>
      <c r="V41" s="35" t="inlineStr">
        <is>
          <t>SKY LAB</t>
        </is>
      </c>
      <c r="W41" s="51" t="n"/>
      <c r="X41" s="90" t="n"/>
      <c r="Y41" s="1" t="n"/>
      <c r="Z41" s="35" t="inlineStr">
        <is>
          <t>SKY LAB</t>
        </is>
      </c>
      <c r="AA41" s="51" t="n"/>
      <c r="AB41" s="90" t="n"/>
      <c r="AC41" s="1" t="n"/>
      <c r="AD41" s="1" t="n"/>
      <c r="AE41" s="35" t="inlineStr">
        <is>
          <t>SKY LAB</t>
        </is>
      </c>
      <c r="AF41" s="36" t="n"/>
      <c r="AG41" s="90" t="n"/>
      <c r="AH41" s="1" t="n"/>
      <c r="AI41" s="1" t="n"/>
      <c r="AJ41" s="31" t="n"/>
      <c r="AK41" s="100" t="n"/>
      <c r="AL41" s="90" t="n"/>
    </row>
    <row r="42" ht="30.75" customHeight="1" s="220">
      <c r="A42" s="1" t="n"/>
      <c r="B42" s="96" t="inlineStr">
        <is>
          <t>SP</t>
        </is>
      </c>
      <c r="C42" s="97" t="n"/>
      <c r="D42" s="1" t="n"/>
      <c r="E42" s="1" t="n"/>
      <c r="F42" s="31" t="inlineStr">
        <is>
          <t>DIGICADCAM</t>
        </is>
      </c>
      <c r="G42" s="100" t="n"/>
      <c r="H42" s="90" t="n"/>
      <c r="I42" s="1" t="n"/>
      <c r="J42" s="35" t="inlineStr">
        <is>
          <t>DIGICADCAM</t>
        </is>
      </c>
      <c r="K42" s="51" t="n"/>
      <c r="L42" s="90" t="n"/>
      <c r="M42" s="1" t="n"/>
      <c r="N42" s="35" t="inlineStr">
        <is>
          <t>DIGICADCAM</t>
        </is>
      </c>
      <c r="O42" s="51" t="n"/>
      <c r="P42" s="90" t="n"/>
      <c r="Q42" s="1" t="n"/>
      <c r="R42" s="31" t="n"/>
      <c r="S42" s="100" t="n"/>
      <c r="T42" s="90" t="n"/>
      <c r="U42" s="1" t="n"/>
      <c r="V42" s="35" t="inlineStr">
        <is>
          <t>DIGICADCAM</t>
        </is>
      </c>
      <c r="W42" s="51" t="n"/>
      <c r="X42" s="90" t="n"/>
      <c r="Y42" s="1" t="n"/>
      <c r="Z42" s="35" t="inlineStr">
        <is>
          <t>DIGICADCAM</t>
        </is>
      </c>
      <c r="AA42" s="51" t="n"/>
      <c r="AB42" s="90" t="n"/>
      <c r="AC42" s="1" t="n"/>
      <c r="AD42" s="1" t="n"/>
      <c r="AE42" s="35" t="inlineStr">
        <is>
          <t>DIGICADCAM</t>
        </is>
      </c>
      <c r="AF42" s="36" t="n"/>
      <c r="AG42" s="90" t="n"/>
      <c r="AH42" s="1" t="n"/>
      <c r="AI42" s="1" t="n"/>
      <c r="AJ42" s="31" t="n"/>
      <c r="AK42" s="100" t="n"/>
      <c r="AL42" s="90" t="n"/>
    </row>
    <row r="43" ht="30.75" customHeight="1" s="220">
      <c r="A43" s="1" t="n"/>
      <c r="B43" s="96" t="inlineStr">
        <is>
          <t>SINGTEL</t>
        </is>
      </c>
      <c r="C43" s="97" t="n"/>
      <c r="D43" s="1" t="n"/>
      <c r="E43" s="1" t="n"/>
      <c r="F43" s="31" t="inlineStr">
        <is>
          <t>OTHER LAB</t>
        </is>
      </c>
      <c r="G43" s="100" t="n"/>
      <c r="H43" s="101" t="n"/>
      <c r="I43" s="1" t="n"/>
      <c r="J43" s="35" t="inlineStr">
        <is>
          <t>OTHER LAB</t>
        </is>
      </c>
      <c r="K43" s="51" t="n"/>
      <c r="L43" s="101" t="n"/>
      <c r="M43" s="1" t="n"/>
      <c r="N43" s="35" t="inlineStr">
        <is>
          <t>OTHER LAB</t>
        </is>
      </c>
      <c r="O43" s="51" t="n"/>
      <c r="P43" s="101" t="n"/>
      <c r="Q43" s="1" t="n"/>
      <c r="R43" s="31" t="n"/>
      <c r="S43" s="100" t="n"/>
      <c r="T43" s="90" t="n"/>
      <c r="U43" s="1" t="n"/>
      <c r="V43" s="35" t="inlineStr">
        <is>
          <t>OTHER LAB</t>
        </is>
      </c>
      <c r="W43" s="51" t="n"/>
      <c r="X43" s="90" t="n"/>
      <c r="Y43" s="1" t="n"/>
      <c r="Z43" s="35" t="inlineStr">
        <is>
          <t>OTHER LAB</t>
        </is>
      </c>
      <c r="AA43" s="51" t="n"/>
      <c r="AB43" s="90" t="n"/>
      <c r="AC43" s="1" t="n"/>
      <c r="AD43" s="1" t="n"/>
      <c r="AE43" s="35" t="inlineStr">
        <is>
          <t>OTHER LAB</t>
        </is>
      </c>
      <c r="AF43" s="36" t="n"/>
      <c r="AG43" s="90" t="n"/>
      <c r="AH43" s="1" t="n"/>
      <c r="AI43" s="1" t="n"/>
      <c r="AJ43" s="31" t="n"/>
      <c r="AK43" s="100" t="n"/>
      <c r="AL43" s="90" t="n"/>
    </row>
    <row r="44" ht="30.75" customHeight="1" s="220">
      <c r="A44" s="1" t="n"/>
      <c r="B44" s="96" t="inlineStr">
        <is>
          <t>PRODUCTS</t>
        </is>
      </c>
      <c r="C44" s="97">
        <f>G37+K37+O37+S59+W37+AA37+AF37+AK59</f>
        <v/>
      </c>
      <c r="D44" s="1" t="n"/>
      <c r="E44" s="1" t="n"/>
      <c r="F44" s="31" t="inlineStr">
        <is>
          <t>INVISALIGN</t>
        </is>
      </c>
      <c r="G44" s="100" t="n"/>
      <c r="H44" s="101" t="n"/>
      <c r="I44" s="1" t="n"/>
      <c r="J44" s="35" t="inlineStr">
        <is>
          <t>INVISALIGN</t>
        </is>
      </c>
      <c r="K44" s="51" t="n"/>
      <c r="L44" s="101" t="n"/>
      <c r="M44" s="1" t="n"/>
      <c r="N44" s="35" t="inlineStr">
        <is>
          <t>INVISALIGN</t>
        </is>
      </c>
      <c r="O44" s="51" t="n"/>
      <c r="P44" s="90" t="n"/>
      <c r="Q44" s="1" t="n"/>
      <c r="R44" s="31" t="n"/>
      <c r="S44" s="100" t="n"/>
      <c r="T44" s="90" t="n"/>
      <c r="U44" s="1" t="n"/>
      <c r="V44" s="35" t="inlineStr">
        <is>
          <t>INVISALIGN</t>
        </is>
      </c>
      <c r="W44" s="51" t="n"/>
      <c r="X44" s="101" t="n"/>
      <c r="Y44" s="1" t="n"/>
      <c r="Z44" s="35" t="inlineStr">
        <is>
          <t>INVISALIGN</t>
        </is>
      </c>
      <c r="AA44" s="51" t="n"/>
      <c r="AB44" s="90" t="n"/>
      <c r="AC44" s="1" t="n"/>
      <c r="AD44" s="1" t="n"/>
      <c r="AE44" s="35" t="inlineStr">
        <is>
          <t>INVISALIGN</t>
        </is>
      </c>
      <c r="AF44" s="36" t="n"/>
      <c r="AG44" s="90" t="n"/>
      <c r="AH44" s="1" t="n"/>
      <c r="AI44" s="1" t="n"/>
      <c r="AJ44" s="31" t="n"/>
      <c r="AK44" s="100" t="n"/>
      <c r="AL44" s="90" t="n"/>
    </row>
    <row r="45" ht="30.75" customHeight="1" s="220">
      <c r="A45" s="1" t="n"/>
      <c r="B45" s="96" t="inlineStr">
        <is>
          <t>ADMIN STAFF &amp; OFFICE RENTAL</t>
        </is>
      </c>
      <c r="C45" s="97" t="n"/>
      <c r="D45" s="1" t="n"/>
      <c r="E45" s="1" t="n"/>
      <c r="F45" s="31" t="inlineStr">
        <is>
          <t>TRANSFER (+)</t>
        </is>
      </c>
      <c r="G45" s="100" t="n"/>
      <c r="H45" s="98" t="n"/>
      <c r="I45" s="1" t="n"/>
      <c r="J45" s="35" t="inlineStr">
        <is>
          <t>TRANSFER (+)</t>
        </is>
      </c>
      <c r="K45" s="51" t="n"/>
      <c r="L45" s="98" t="n"/>
      <c r="M45" s="1" t="n"/>
      <c r="N45" s="35" t="inlineStr">
        <is>
          <t>TRANSFER (+)</t>
        </is>
      </c>
      <c r="O45" s="51" t="n"/>
      <c r="P45" s="90" t="n"/>
      <c r="Q45" s="1" t="n"/>
      <c r="R45" s="31" t="n"/>
      <c r="S45" s="100" t="n"/>
      <c r="T45" s="90" t="n"/>
      <c r="U45" s="1" t="n"/>
      <c r="V45" s="35" t="inlineStr">
        <is>
          <t>TRANSFER (+)</t>
        </is>
      </c>
      <c r="W45" s="51" t="n"/>
      <c r="X45" s="102" t="n"/>
      <c r="Y45" s="1" t="n"/>
      <c r="Z45" s="35" t="inlineStr">
        <is>
          <t>TRANSFER (+)</t>
        </is>
      </c>
      <c r="AA45" s="51" t="n"/>
      <c r="AB45" s="98" t="n"/>
      <c r="AC45" s="1" t="n"/>
      <c r="AD45" s="1" t="n"/>
      <c r="AE45" s="35" t="inlineStr">
        <is>
          <t>TRANSFER (+)</t>
        </is>
      </c>
      <c r="AF45" s="36" t="n"/>
      <c r="AG45" s="98" t="n"/>
      <c r="AH45" s="1" t="n"/>
      <c r="AI45" s="1" t="n"/>
      <c r="AJ45" s="31" t="n"/>
      <c r="AK45" s="100" t="n"/>
      <c r="AL45" s="90" t="n"/>
    </row>
    <row r="46" ht="30.75" customHeight="1" s="220">
      <c r="A46" s="1" t="n"/>
      <c r="B46" s="96" t="inlineStr">
        <is>
          <t>SUPPLIERS</t>
        </is>
      </c>
      <c r="C46" s="97" t="n"/>
      <c r="D46" s="1" t="n"/>
      <c r="E46" s="1" t="n"/>
      <c r="F46" s="31" t="inlineStr">
        <is>
          <t>TRANSFER (-)</t>
        </is>
      </c>
      <c r="G46" s="100" t="n"/>
      <c r="H46" s="98" t="n"/>
      <c r="I46" s="1" t="n"/>
      <c r="J46" s="35" t="inlineStr">
        <is>
          <t>TRANSFER (-)</t>
        </is>
      </c>
      <c r="K46" s="51" t="n"/>
      <c r="L46" s="90" t="n"/>
      <c r="M46" s="1" t="n"/>
      <c r="N46" s="35" t="inlineStr">
        <is>
          <t>TRANSFER (-)</t>
        </is>
      </c>
      <c r="O46" s="51" t="n"/>
      <c r="P46" s="90" t="n"/>
      <c r="Q46" s="1" t="n"/>
      <c r="R46" s="31" t="n"/>
      <c r="S46" s="100" t="n"/>
      <c r="T46" s="90" t="n"/>
      <c r="U46" s="1" t="n"/>
      <c r="V46" s="35" t="inlineStr">
        <is>
          <t>TRANSFER (-)</t>
        </is>
      </c>
      <c r="W46" s="51" t="n"/>
      <c r="X46" s="103" t="n"/>
      <c r="Y46" s="1" t="n"/>
      <c r="Z46" s="35" t="inlineStr">
        <is>
          <t>TRANSFER (-)</t>
        </is>
      </c>
      <c r="AA46" s="51" t="n"/>
      <c r="AB46" s="102" t="n"/>
      <c r="AC46" s="1" t="n"/>
      <c r="AD46" s="1" t="n"/>
      <c r="AE46" s="35" t="inlineStr">
        <is>
          <t>TRANSFER (-)</t>
        </is>
      </c>
      <c r="AF46" s="36" t="n"/>
      <c r="AG46" s="102" t="n"/>
      <c r="AH46" s="1" t="n"/>
      <c r="AI46" s="1" t="n"/>
      <c r="AJ46" s="31" t="n"/>
      <c r="AK46" s="100" t="n"/>
      <c r="AL46" s="90" t="n"/>
    </row>
    <row r="47" ht="30.75" customHeight="1" s="220">
      <c r="A47" s="1" t="n"/>
      <c r="B47" s="104" t="inlineStr">
        <is>
          <t>VOUCHER</t>
        </is>
      </c>
      <c r="C47" s="97">
        <f>B12</f>
        <v/>
      </c>
      <c r="D47" s="1" t="n"/>
      <c r="E47" s="1" t="n"/>
      <c r="F47" s="52" t="inlineStr">
        <is>
          <t>REFUND/REFERRAL</t>
        </is>
      </c>
      <c r="G47" s="105" t="n"/>
      <c r="H47" s="90" t="n"/>
      <c r="I47" s="1" t="n"/>
      <c r="J47" s="35" t="inlineStr">
        <is>
          <t>REFUND/REFERRAL</t>
        </is>
      </c>
      <c r="K47" s="51" t="n"/>
      <c r="L47" s="90" t="n"/>
      <c r="M47" s="1" t="n"/>
      <c r="N47" s="35" t="inlineStr">
        <is>
          <t>REFUND/REFERRAL</t>
        </is>
      </c>
      <c r="O47" s="51" t="n"/>
      <c r="P47" s="98" t="n"/>
      <c r="Q47" s="1" t="n"/>
      <c r="R47" s="31" t="n"/>
      <c r="S47" s="100" t="n"/>
      <c r="T47" s="90" t="n"/>
      <c r="U47" s="1" t="n"/>
      <c r="V47" s="35" t="inlineStr">
        <is>
          <t>REFUND</t>
        </is>
      </c>
      <c r="W47" s="51" t="n"/>
      <c r="X47" s="90" t="n"/>
      <c r="Y47" s="1" t="n"/>
      <c r="Z47" s="35" t="inlineStr">
        <is>
          <t>REFUND</t>
        </is>
      </c>
      <c r="AA47" s="51" t="n"/>
      <c r="AB47" s="90" t="n"/>
      <c r="AC47" s="1" t="n"/>
      <c r="AD47" s="1" t="n"/>
      <c r="AE47" s="35" t="inlineStr">
        <is>
          <t>REFUND</t>
        </is>
      </c>
      <c r="AF47" s="36" t="n"/>
      <c r="AG47" s="90" t="n"/>
      <c r="AH47" s="1" t="n"/>
      <c r="AI47" s="1" t="n"/>
      <c r="AJ47" s="31" t="n"/>
      <c r="AK47" s="100" t="n"/>
      <c r="AL47" s="90" t="n"/>
    </row>
    <row r="48" ht="30.75" customHeight="1" s="220">
      <c r="A48" s="1" t="n"/>
      <c r="B48" s="96" t="inlineStr">
        <is>
          <t>PETTY CASH</t>
        </is>
      </c>
      <c r="C48" s="97" t="n"/>
      <c r="D48" s="1" t="n"/>
      <c r="E48" s="1" t="n"/>
      <c r="F48" s="52" t="inlineStr">
        <is>
          <t>VOUCHER</t>
        </is>
      </c>
      <c r="G48" s="105" t="n"/>
      <c r="H48" s="90" t="n"/>
      <c r="I48" s="1" t="n"/>
      <c r="J48" s="35" t="inlineStr">
        <is>
          <t>VOUCHER</t>
        </is>
      </c>
      <c r="K48" s="51" t="n"/>
      <c r="L48" s="90" t="n"/>
      <c r="M48" s="1" t="n"/>
      <c r="N48" s="35" t="inlineStr">
        <is>
          <t>VOUCHER</t>
        </is>
      </c>
      <c r="O48" s="51" t="n"/>
      <c r="P48" s="90" t="n"/>
      <c r="Q48" s="1" t="n"/>
      <c r="R48" s="31" t="n"/>
      <c r="S48" s="100" t="n"/>
      <c r="T48" s="90" t="n"/>
      <c r="U48" s="1" t="n"/>
      <c r="V48" s="35" t="inlineStr">
        <is>
          <t>VOUCHER</t>
        </is>
      </c>
      <c r="W48" s="51" t="n"/>
      <c r="X48" s="90" t="n"/>
      <c r="Y48" s="1" t="n"/>
      <c r="Z48" s="35" t="inlineStr">
        <is>
          <t>VOUCHER</t>
        </is>
      </c>
      <c r="AA48" s="51" t="n"/>
      <c r="AB48" s="90" t="n"/>
      <c r="AC48" s="1" t="n"/>
      <c r="AD48" s="1" t="n"/>
      <c r="AE48" s="35" t="inlineStr">
        <is>
          <t>SEDATION</t>
        </is>
      </c>
      <c r="AF48" s="36" t="n"/>
      <c r="AG48" s="90" t="n"/>
      <c r="AH48" s="1" t="n"/>
      <c r="AI48" s="1" t="n"/>
      <c r="AJ48" s="31" t="n"/>
      <c r="AK48" s="100" t="n"/>
      <c r="AL48" s="90" t="n"/>
    </row>
    <row r="49" ht="30.75" customHeight="1" s="220">
      <c r="A49" s="1" t="n"/>
      <c r="B49" s="96" t="inlineStr">
        <is>
          <t>STOCKS / CONSUMABLES FEES</t>
        </is>
      </c>
      <c r="C49" s="97" t="n"/>
      <c r="D49" s="1" t="n"/>
      <c r="E49" s="1" t="n"/>
      <c r="F49" s="31" t="inlineStr">
        <is>
          <t>RETAINERS/BT/SPLINT</t>
        </is>
      </c>
      <c r="G49" s="105" t="n"/>
      <c r="H49" s="90" t="n"/>
      <c r="I49" s="1" t="n"/>
      <c r="J49" s="35" t="inlineStr">
        <is>
          <t>RETAINERS/BT/SPLINT</t>
        </is>
      </c>
      <c r="K49" s="51" t="n"/>
      <c r="L49" s="90" t="n"/>
      <c r="M49" s="1" t="n"/>
      <c r="N49" s="35" t="inlineStr">
        <is>
          <t>RETAINERS/BT/SPLINT</t>
        </is>
      </c>
      <c r="O49" s="51" t="n"/>
      <c r="P49" s="90" t="n"/>
      <c r="Q49" s="1" t="n"/>
      <c r="R49" s="31" t="n"/>
      <c r="S49" s="100" t="n"/>
      <c r="T49" s="90" t="n"/>
      <c r="U49" s="1" t="n"/>
      <c r="V49" s="35" t="inlineStr">
        <is>
          <t>RETAINERS/BT/SPLINT</t>
        </is>
      </c>
      <c r="W49" s="51" t="n"/>
      <c r="X49" s="90" t="n"/>
      <c r="Y49" s="1" t="n"/>
      <c r="Z49" s="35" t="inlineStr">
        <is>
          <t>RETAINERS/BT/SPLINT</t>
        </is>
      </c>
      <c r="AA49" s="51" t="n"/>
      <c r="AB49" s="90" t="n"/>
      <c r="AC49" s="1" t="n"/>
      <c r="AD49" s="1" t="n"/>
      <c r="AE49" s="35" t="inlineStr">
        <is>
          <t>RETAINERS/BT/SPLINT</t>
        </is>
      </c>
      <c r="AF49" s="36" t="n"/>
      <c r="AG49" s="90" t="n"/>
      <c r="AH49" s="1" t="n"/>
      <c r="AI49" s="1" t="n"/>
      <c r="AJ49" s="31" t="n"/>
      <c r="AK49" s="100" t="n"/>
      <c r="AL49" s="90" t="n"/>
    </row>
    <row r="50" ht="30.75" customHeight="1" s="220">
      <c r="A50" s="1" t="n"/>
      <c r="B50" s="96" t="inlineStr">
        <is>
          <t xml:space="preserve">MARKETING FEE </t>
        </is>
      </c>
      <c r="C50" s="97" t="n"/>
      <c r="D50" s="1" t="n"/>
      <c r="E50" s="1" t="n"/>
      <c r="F50" s="31" t="inlineStr">
        <is>
          <t>INSTALLMENT</t>
        </is>
      </c>
      <c r="G50" s="105" t="n"/>
      <c r="H50" s="106" t="n"/>
      <c r="I50" s="1" t="n"/>
      <c r="J50" s="35" t="inlineStr">
        <is>
          <t>INSTALLMENT</t>
        </is>
      </c>
      <c r="K50" s="51" t="n"/>
      <c r="L50" s="106" t="n"/>
      <c r="M50" s="1" t="n"/>
      <c r="N50" s="35" t="inlineStr">
        <is>
          <t>INSTALLMENT</t>
        </is>
      </c>
      <c r="O50" s="51" t="n"/>
      <c r="P50" s="90" t="n"/>
      <c r="Q50" s="1" t="n"/>
      <c r="R50" s="31" t="n"/>
      <c r="S50" s="100" t="n"/>
      <c r="T50" s="90" t="n"/>
      <c r="U50" s="1" t="n"/>
      <c r="V50" s="35" t="inlineStr">
        <is>
          <t>INSTALLMENT</t>
        </is>
      </c>
      <c r="W50" s="51" t="n"/>
      <c r="X50" s="90" t="n"/>
      <c r="Y50" s="1" t="n"/>
      <c r="Z50" s="35" t="inlineStr">
        <is>
          <t>INSTALLMENT</t>
        </is>
      </c>
      <c r="AA50" s="51" t="n"/>
      <c r="AB50" s="90" t="n"/>
      <c r="AC50" s="1" t="n"/>
      <c r="AD50" s="1" t="n"/>
      <c r="AE50" s="35" t="inlineStr">
        <is>
          <t>INSTALLMENT</t>
        </is>
      </c>
      <c r="AF50" s="36" t="n"/>
      <c r="AG50" s="90" t="n"/>
      <c r="AH50" s="1" t="n"/>
      <c r="AI50" s="1" t="n"/>
      <c r="AJ50" s="31" t="n"/>
      <c r="AK50" s="100" t="n"/>
      <c r="AL50" s="90" t="n"/>
    </row>
    <row r="51" ht="31.5" customHeight="1" s="220">
      <c r="A51" s="1" t="n"/>
      <c r="B51" s="96" t="inlineStr">
        <is>
          <t>INVISALIGN</t>
        </is>
      </c>
      <c r="C51" s="97">
        <f>G44+K44+O44+S66+W44+AA44+AF44+AK66</f>
        <v/>
      </c>
      <c r="D51" s="1" t="n"/>
      <c r="E51" s="1" t="n"/>
      <c r="F51" s="35" t="inlineStr">
        <is>
          <t>DEDUCTIONS</t>
        </is>
      </c>
      <c r="G51" s="51" t="n"/>
      <c r="H51" s="101" t="n"/>
      <c r="I51" s="1" t="n"/>
      <c r="J51" s="35" t="inlineStr">
        <is>
          <t>DEDUCTIONS</t>
        </is>
      </c>
      <c r="K51" s="51" t="n"/>
      <c r="L51" s="90" t="n"/>
      <c r="M51" s="1" t="n"/>
      <c r="N51" s="35" t="inlineStr">
        <is>
          <t>DEDUCTIONS</t>
        </is>
      </c>
      <c r="O51" s="51" t="n"/>
      <c r="P51" s="90" t="n"/>
      <c r="Q51" s="1" t="n"/>
      <c r="R51" s="31" t="n"/>
      <c r="S51" s="100" t="n"/>
      <c r="T51" s="90" t="n"/>
      <c r="U51" s="1" t="n"/>
      <c r="V51" s="35" t="inlineStr">
        <is>
          <t>DEDUCTIONS</t>
        </is>
      </c>
      <c r="W51" s="51" t="n"/>
      <c r="X51" s="106" t="n"/>
      <c r="Y51" s="1" t="n"/>
      <c r="Z51" s="35" t="inlineStr">
        <is>
          <t>DEDUCTIONS</t>
        </is>
      </c>
      <c r="AA51" s="51" t="n"/>
      <c r="AB51" s="102" t="n"/>
      <c r="AC51" s="1" t="n"/>
      <c r="AD51" s="1" t="n"/>
      <c r="AE51" s="35" t="inlineStr">
        <is>
          <t>DEDUCTIONS</t>
        </is>
      </c>
      <c r="AF51" s="198" t="n"/>
      <c r="AG51" s="101" t="n"/>
      <c r="AH51" s="1" t="n"/>
      <c r="AI51" s="1" t="n"/>
      <c r="AJ51" s="31" t="n"/>
      <c r="AK51" s="100" t="n"/>
      <c r="AL51" s="90" t="n"/>
    </row>
    <row r="52" ht="30.75" customHeight="1" s="220">
      <c r="A52" s="1" t="n"/>
      <c r="B52" s="96" t="inlineStr">
        <is>
          <t>IMPLANT</t>
        </is>
      </c>
      <c r="C52" s="97">
        <f>G40+O40+S62+W40+AA40+AF40+K40+AK62</f>
        <v/>
      </c>
      <c r="D52" s="1" t="n"/>
      <c r="E52" s="1" t="n"/>
      <c r="F52" s="107" t="n"/>
      <c r="G52" s="108" t="n"/>
      <c r="H52" s="1" t="n"/>
      <c r="I52" s="1" t="n"/>
      <c r="J52" s="107" t="n"/>
      <c r="K52" s="108" t="n"/>
      <c r="L52" s="1" t="n"/>
      <c r="M52" s="1" t="n"/>
      <c r="N52" s="107" t="n"/>
      <c r="O52" s="108" t="n"/>
      <c r="P52" s="1" t="n"/>
      <c r="Q52" s="1" t="n"/>
      <c r="R52" s="31" t="n"/>
      <c r="S52" s="100" t="n"/>
      <c r="T52" s="90" t="n"/>
      <c r="U52" s="1" t="n"/>
      <c r="V52" s="107" t="n"/>
      <c r="W52" s="108" t="n"/>
      <c r="X52" s="1" t="n"/>
      <c r="Y52" s="1" t="n"/>
      <c r="Z52" s="107" t="n"/>
      <c r="AA52" s="108" t="n"/>
      <c r="AB52" s="1" t="n"/>
      <c r="AC52" s="1" t="n"/>
      <c r="AD52" s="1" t="n"/>
      <c r="AE52" s="107" t="n"/>
      <c r="AF52" s="108" t="n"/>
      <c r="AG52" s="1" t="n"/>
      <c r="AH52" s="1" t="n"/>
      <c r="AI52" s="1" t="n"/>
      <c r="AJ52" s="31" t="n"/>
      <c r="AK52" s="100" t="n"/>
      <c r="AL52" s="90" t="n"/>
    </row>
    <row r="53" ht="30.75" customHeight="1" s="220">
      <c r="A53" s="1" t="n"/>
      <c r="B53" s="96" t="inlineStr">
        <is>
          <t>SKYLAB</t>
        </is>
      </c>
      <c r="C53" s="97">
        <f>G41+O41+W41+S63+K41+AA41+AF41+AK63</f>
        <v/>
      </c>
      <c r="D53" s="1" t="n"/>
      <c r="E53" s="1" t="n"/>
      <c r="F53" s="61" t="inlineStr">
        <is>
          <t>TOTAL</t>
        </is>
      </c>
      <c r="G53" s="109">
        <f>F31-G34-G35-G37-G36-G38-G39-G40-G41-G42-G43-G44+G45-G46-G47-G48-G49-G50-G51</f>
        <v/>
      </c>
      <c r="H53" s="90" t="n"/>
      <c r="I53" s="1" t="n"/>
      <c r="J53" s="61" t="inlineStr">
        <is>
          <t>TOTAL</t>
        </is>
      </c>
      <c r="K53" s="109">
        <f>J31-K34-K35-K36-K37-K38-K39-K40-K41-K42-K43-K44+K45-K46-K47-K48-K49-K50-K51</f>
        <v/>
      </c>
      <c r="L53" s="90" t="n"/>
      <c r="M53" s="1" t="n"/>
      <c r="N53" s="61" t="inlineStr">
        <is>
          <t>TOTAL</t>
        </is>
      </c>
      <c r="O53" s="109">
        <f>N31-O34-O35-O36-O37-O38-O39-O40-O41-O42-O43-O44+O45-O46-O47-O48-O49-O50-O51</f>
        <v/>
      </c>
      <c r="P53" s="90" t="n"/>
      <c r="Q53" s="1" t="n"/>
      <c r="R53" s="31" t="n"/>
      <c r="S53" s="100" t="n"/>
      <c r="T53" s="90" t="n"/>
      <c r="U53" s="1" t="n"/>
      <c r="V53" s="61" t="inlineStr">
        <is>
          <t>TOTAL</t>
        </is>
      </c>
      <c r="W53" s="109">
        <f>V31-W34-W35-W36-W37-W38-W39-W40-W41-W42-W43-W44+W45-W46-W47-W48-W49-W50-W51</f>
        <v/>
      </c>
      <c r="X53" s="90" t="n"/>
      <c r="Y53" s="1" t="n"/>
      <c r="Z53" s="180" t="inlineStr">
        <is>
          <t>TOTAL</t>
        </is>
      </c>
      <c r="AA53" s="181">
        <f>Z31-AA34-AA35-AA36-AA37-AA38-AA39-AA40-AA41-AA42-AA43-AA44+AA45-AA46-AA47-AA48-AA49-AA50-AA51</f>
        <v/>
      </c>
      <c r="AB53" s="182" t="n"/>
      <c r="AC53" s="1" t="n"/>
      <c r="AD53" s="1" t="n"/>
      <c r="AE53" s="61" t="inlineStr">
        <is>
          <t>TOTAL</t>
        </is>
      </c>
      <c r="AF53" s="109">
        <f>AE31-AF34-AF35-AF36-AF37-AF38-AF39-AF40-AF41-AF42-AF43-AF44+AF45-AF46-AF47-AF48-AF49-AF50-AF51</f>
        <v/>
      </c>
      <c r="AG53" s="90" t="n"/>
      <c r="AH53" s="1" t="n"/>
      <c r="AI53" s="1" t="n"/>
      <c r="AJ53" s="31" t="n"/>
      <c r="AK53" s="100" t="n"/>
      <c r="AL53" s="90" t="n"/>
    </row>
    <row r="54" ht="30.75" customHeight="1" s="220">
      <c r="A54" s="1" t="n"/>
      <c r="B54" s="96" t="inlineStr">
        <is>
          <t>DIGICADCAM</t>
        </is>
      </c>
      <c r="C54" s="97">
        <f>G42+O42+W42+AA42+AF42+S64+K42+AK64</f>
        <v/>
      </c>
      <c r="D54" s="1" t="n"/>
      <c r="E54" s="1" t="n"/>
      <c r="F54" s="110" t="inlineStr">
        <is>
          <t>DOCTORS FEE BEFORE DEDUCTION</t>
        </is>
      </c>
      <c r="G54" s="111">
        <f>G53/2+G55</f>
        <v/>
      </c>
      <c r="H54" s="90" t="n"/>
      <c r="I54" s="1" t="n"/>
      <c r="J54" s="110" t="inlineStr">
        <is>
          <t>DOCTORS FEE BEFORE DEDUCTION</t>
        </is>
      </c>
      <c r="K54" s="111">
        <f>K53/2+K55</f>
        <v/>
      </c>
      <c r="L54" s="90" t="n"/>
      <c r="M54" s="1" t="n"/>
      <c r="N54" s="112" t="inlineStr">
        <is>
          <t>DOCTORS PAY</t>
        </is>
      </c>
      <c r="O54" s="111">
        <f>(O53*50%)+O55</f>
        <v/>
      </c>
      <c r="P54" s="90" t="n"/>
      <c r="Q54" s="1" t="n"/>
      <c r="R54" s="31" t="n"/>
      <c r="S54" s="100" t="n"/>
      <c r="T54" s="90" t="n"/>
      <c r="U54" s="1" t="n"/>
      <c r="V54" s="112" t="inlineStr">
        <is>
          <t>DOCTORS PAY</t>
        </is>
      </c>
      <c r="W54" s="111">
        <f>(W53*45%)+W55</f>
        <v/>
      </c>
      <c r="X54" s="90" t="n"/>
      <c r="Y54" s="1" t="n"/>
      <c r="Z54" s="112" t="inlineStr">
        <is>
          <t>DOCTORS PAY</t>
        </is>
      </c>
      <c r="AA54" s="111">
        <f>(AA53*50%)+AA55</f>
        <v/>
      </c>
      <c r="AB54" s="90" t="n"/>
      <c r="AC54" s="1" t="n"/>
      <c r="AD54" s="1" t="n"/>
      <c r="AE54" s="112" t="inlineStr">
        <is>
          <t>DOCTORS PAY</t>
        </is>
      </c>
      <c r="AF54" s="111">
        <f>(AF53*45%)+AF55</f>
        <v/>
      </c>
      <c r="AG54" s="90" t="n"/>
      <c r="AH54" s="1" t="n"/>
      <c r="AI54" s="1" t="n"/>
      <c r="AJ54" s="31" t="n"/>
      <c r="AK54" s="100" t="n"/>
      <c r="AL54" s="90" t="n"/>
    </row>
    <row r="55" ht="30.75" customHeight="1" s="220">
      <c r="A55" s="1" t="n"/>
      <c r="B55" s="113" t="inlineStr">
        <is>
          <t xml:space="preserve">OTHER LAB </t>
        </is>
      </c>
      <c r="C55" s="97">
        <f>G43+O43+K43+S65+W43+AA43+AF43+AK65</f>
        <v/>
      </c>
      <c r="D55" s="1" t="n"/>
      <c r="E55" s="1" t="n"/>
      <c r="F55" s="50" t="inlineStr">
        <is>
          <t>ADJUSTMENTS (+)</t>
        </is>
      </c>
      <c r="G55" s="36" t="n"/>
      <c r="H55" s="98" t="n"/>
      <c r="I55" s="1" t="n"/>
      <c r="J55" s="50" t="inlineStr">
        <is>
          <t>ADJUSTMENTS (+)</t>
        </is>
      </c>
      <c r="K55" s="36" t="n"/>
      <c r="L55" s="90" t="n"/>
      <c r="M55" s="1" t="n"/>
      <c r="N55" s="50" t="inlineStr">
        <is>
          <t>ADJUSTMENTS (+)</t>
        </is>
      </c>
      <c r="O55" s="36" t="n"/>
      <c r="P55" s="90" t="n"/>
      <c r="Q55" s="1" t="n"/>
      <c r="R55" s="31" t="n"/>
      <c r="S55" s="100" t="n"/>
      <c r="T55" s="90" t="n"/>
      <c r="U55" s="1" t="n"/>
      <c r="V55" s="50" t="inlineStr">
        <is>
          <t>ADJUSTMENTS (+)</t>
        </is>
      </c>
      <c r="W55" s="36" t="n"/>
      <c r="X55" s="114" t="n"/>
      <c r="Y55" s="1" t="n"/>
      <c r="Z55" s="50" t="inlineStr">
        <is>
          <t>ADJUSTMENTS (+)</t>
        </is>
      </c>
      <c r="AA55" s="36" t="n"/>
      <c r="AB55" s="90" t="n"/>
      <c r="AC55" s="1" t="n"/>
      <c r="AD55" s="1" t="n"/>
      <c r="AE55" s="50" t="inlineStr">
        <is>
          <t>ADJUSTMENTS (+)</t>
        </is>
      </c>
      <c r="AF55" s="36" t="n"/>
      <c r="AG55" s="98" t="n"/>
      <c r="AH55" s="1" t="n"/>
      <c r="AI55" s="1" t="n"/>
      <c r="AJ55" s="31" t="n"/>
      <c r="AK55" s="100" t="n"/>
      <c r="AL55" s="90" t="n"/>
    </row>
    <row r="56" ht="43.5" customHeight="1" s="220">
      <c r="A56" s="1" t="n"/>
      <c r="B56" s="96" t="inlineStr">
        <is>
          <t>ORTHO (B+B)</t>
        </is>
      </c>
      <c r="C56" s="97">
        <f>G38+K38+O38+S60+W38+AA38+AF38+AK60</f>
        <v/>
      </c>
      <c r="D56" s="1" t="n"/>
      <c r="E56" s="1" t="n"/>
      <c r="F56" s="50" t="inlineStr">
        <is>
          <t>ADJUSTMENTS (-)</t>
        </is>
      </c>
      <c r="G56" s="115">
        <f>G61+G65</f>
        <v/>
      </c>
      <c r="H56" s="114" t="inlineStr">
        <is>
          <t>ADDN MARKETING&amp; MEDISAVE ADMIN</t>
        </is>
      </c>
      <c r="I56" s="1" t="n"/>
      <c r="J56" s="50" t="inlineStr">
        <is>
          <t>ADJUSTMENTS (-)</t>
        </is>
      </c>
      <c r="K56" s="115">
        <f>K61+K65</f>
        <v/>
      </c>
      <c r="L56" s="114" t="inlineStr">
        <is>
          <t>ADDN MARKETING</t>
        </is>
      </c>
      <c r="M56" s="1" t="n"/>
      <c r="N56" s="50" t="inlineStr">
        <is>
          <t>ADJUSTMENTS (-)</t>
        </is>
      </c>
      <c r="O56" s="115">
        <f>O61+O65</f>
        <v/>
      </c>
      <c r="P56" s="114" t="inlineStr">
        <is>
          <t>ADDN MARKETING &amp; MEDISAVE ADMIN</t>
        </is>
      </c>
      <c r="Q56" s="1" t="n"/>
      <c r="R56" s="31" t="n"/>
      <c r="S56" s="100" t="n"/>
      <c r="T56" s="90" t="n"/>
      <c r="U56" s="1" t="n"/>
      <c r="V56" s="50" t="inlineStr">
        <is>
          <t>ADJUSTMENTS (-)</t>
        </is>
      </c>
      <c r="W56" s="116">
        <f>W61+W65</f>
        <v/>
      </c>
      <c r="X56" s="114" t="inlineStr">
        <is>
          <t>ADDN MKTRG &amp; MEDISAVE ADMIN</t>
        </is>
      </c>
      <c r="Y56" s="1" t="n"/>
      <c r="Z56" s="50" t="inlineStr">
        <is>
          <t>ADJUSTMENTS (-)</t>
        </is>
      </c>
      <c r="AA56" s="115">
        <f>AA61+AA65</f>
        <v/>
      </c>
      <c r="AB56" s="102" t="inlineStr">
        <is>
          <t xml:space="preserve">MEDISAVE ADMIN </t>
        </is>
      </c>
      <c r="AC56" s="1" t="n"/>
      <c r="AD56" s="1" t="n"/>
      <c r="AE56" s="50" t="inlineStr">
        <is>
          <t>ADJUSTMENTS (-)</t>
        </is>
      </c>
      <c r="AF56" s="116">
        <f>AF61+AF65</f>
        <v/>
      </c>
      <c r="AG56" s="102" t="inlineStr">
        <is>
          <t>MARKETING FEE &amp; MEDISAVE ADMIN</t>
        </is>
      </c>
      <c r="AH56" s="1" t="n"/>
      <c r="AI56" s="1" t="n"/>
      <c r="AJ56" s="31" t="n"/>
      <c r="AK56" s="100" t="n"/>
      <c r="AL56" s="90" t="n"/>
    </row>
    <row r="57" ht="30.75" customHeight="1" s="220">
      <c r="A57" s="1" t="n"/>
      <c r="B57" s="96" t="inlineStr">
        <is>
          <t>ABUTMENT</t>
        </is>
      </c>
      <c r="C57" s="97">
        <f>O39+G39+K39+S61+AA39+W39+AF39+AK61</f>
        <v/>
      </c>
      <c r="D57" s="1" t="n"/>
      <c r="E57" s="1" t="n"/>
      <c r="F57" s="50" t="inlineStr">
        <is>
          <t>NET PAY</t>
        </is>
      </c>
      <c r="G57" s="111">
        <f>G54-G56</f>
        <v/>
      </c>
      <c r="H57" s="90" t="n"/>
      <c r="I57" s="1" t="n"/>
      <c r="J57" s="50" t="inlineStr">
        <is>
          <t>NET PAY</t>
        </is>
      </c>
      <c r="K57" s="111">
        <f>K54-K56</f>
        <v/>
      </c>
      <c r="L57" s="90" t="n"/>
      <c r="M57" s="1" t="n"/>
      <c r="N57" s="50" t="inlineStr">
        <is>
          <t>NET PAY</t>
        </is>
      </c>
      <c r="O57" s="111">
        <f>O54-O56</f>
        <v/>
      </c>
      <c r="P57" s="90" t="n"/>
      <c r="Q57" s="1" t="n"/>
      <c r="R57" s="31" t="n"/>
      <c r="S57" s="100" t="n"/>
      <c r="T57" s="90" t="n"/>
      <c r="U57" s="1" t="n"/>
      <c r="V57" s="50" t="inlineStr">
        <is>
          <t>NET PAY</t>
        </is>
      </c>
      <c r="W57" s="111">
        <f>W54-W56</f>
        <v/>
      </c>
      <c r="X57" s="90" t="n"/>
      <c r="Y57" s="1" t="n"/>
      <c r="Z57" s="50" t="inlineStr">
        <is>
          <t>NET PAY</t>
        </is>
      </c>
      <c r="AA57" s="111">
        <f>AA54-AA56</f>
        <v/>
      </c>
      <c r="AB57" s="90" t="n"/>
      <c r="AC57" s="1" t="n"/>
      <c r="AD57" s="1" t="n"/>
      <c r="AE57" s="50" t="inlineStr">
        <is>
          <t>NET PAY</t>
        </is>
      </c>
      <c r="AF57" s="111">
        <f>AF54-AF56</f>
        <v/>
      </c>
      <c r="AG57" s="90" t="n"/>
      <c r="AH57" s="1" t="n"/>
      <c r="AI57" s="1" t="n"/>
      <c r="AJ57" s="31" t="n"/>
      <c r="AK57" s="100" t="n"/>
      <c r="AL57" s="90" t="n"/>
    </row>
    <row r="58" ht="30.75" customHeight="1" s="220">
      <c r="A58" s="1" t="inlineStr">
        <is>
          <t> </t>
        </is>
      </c>
      <c r="B58" s="96" t="inlineStr">
        <is>
          <t>REFUND / REFERRAL</t>
        </is>
      </c>
      <c r="C58" s="97">
        <f>G47+K47+O47+S69+W47+AA47+AF47+AK69</f>
        <v/>
      </c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31" t="inlineStr">
        <is>
          <t>ICC-5</t>
        </is>
      </c>
      <c r="S58" s="100" t="n"/>
      <c r="T58" s="90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31" t="inlineStr">
        <is>
          <t>ICC-5</t>
        </is>
      </c>
      <c r="AK58" s="100" t="n"/>
      <c r="AL58" s="90" t="n"/>
    </row>
    <row r="59" ht="30.75" customHeight="1" s="220">
      <c r="A59" s="1" t="n"/>
      <c r="B59" s="96" t="inlineStr">
        <is>
          <t>DOCTORS PAY</t>
        </is>
      </c>
      <c r="C59" s="97">
        <f>G54+K54+O54+W54+AA54+AF54</f>
        <v/>
      </c>
      <c r="D59" s="1" t="n"/>
      <c r="E59" s="1" t="n"/>
      <c r="F59" s="117" t="inlineStr">
        <is>
          <t>MEDISAVE ADMIN FEE CALCULATION:</t>
        </is>
      </c>
      <c r="G59" s="1" t="n"/>
      <c r="H59" s="1" t="n"/>
      <c r="I59" s="1" t="n"/>
      <c r="J59" s="117" t="inlineStr">
        <is>
          <t>MEDISAVE ADMIN FEE CALCULATION:</t>
        </is>
      </c>
      <c r="K59" s="1" t="n"/>
      <c r="L59" s="1" t="n"/>
      <c r="M59" s="1" t="n"/>
      <c r="N59" s="117" t="inlineStr">
        <is>
          <t>MEDISAVE ADMIN FEE CALCULATION:</t>
        </is>
      </c>
      <c r="O59" s="1" t="n"/>
      <c r="P59" s="1" t="n"/>
      <c r="Q59" s="1" t="n"/>
      <c r="R59" s="31" t="inlineStr">
        <is>
          <t>PRODUCTS</t>
        </is>
      </c>
      <c r="S59" s="100" t="n"/>
      <c r="T59" s="90" t="n"/>
      <c r="U59" s="1" t="n"/>
      <c r="V59" s="117" t="inlineStr">
        <is>
          <t>MEDISAVE ADMIN FEE CALCULATION:</t>
        </is>
      </c>
      <c r="W59" s="1" t="n"/>
      <c r="X59" s="1" t="n"/>
      <c r="Y59" s="1" t="n"/>
      <c r="Z59" s="117" t="inlineStr">
        <is>
          <t>MEDISAVE ADMIN FEE CALCULATION:</t>
        </is>
      </c>
      <c r="AA59" s="1" t="n"/>
      <c r="AB59" s="1" t="n"/>
      <c r="AC59" s="1" t="n"/>
      <c r="AD59" s="1" t="n"/>
      <c r="AE59" s="117" t="inlineStr">
        <is>
          <t>MEDISAVE ADMIN FEE CALCULATION:</t>
        </is>
      </c>
      <c r="AF59" s="1" t="n"/>
      <c r="AG59" s="1" t="n"/>
      <c r="AH59" s="1" t="n"/>
      <c r="AI59" s="1" t="n"/>
      <c r="AJ59" s="31" t="inlineStr">
        <is>
          <t>PRODUCTS</t>
        </is>
      </c>
      <c r="AK59" s="100" t="n"/>
      <c r="AL59" s="90" t="n"/>
    </row>
    <row r="60" ht="30.75" customHeight="1" s="220">
      <c r="A60" s="1" t="n"/>
      <c r="B60" s="96" t="inlineStr">
        <is>
          <t>NURSE PAY (BASIC PAY)</t>
        </is>
      </c>
      <c r="C60" s="97" t="n"/>
      <c r="D60" s="1" t="n"/>
      <c r="E60" s="1" t="n"/>
      <c r="F60" s="118" t="inlineStr">
        <is>
          <t>Medisave Claim</t>
        </is>
      </c>
      <c r="G60" s="119" t="inlineStr">
        <is>
          <t>Admin Fee</t>
        </is>
      </c>
      <c r="H60" s="119" t="inlineStr">
        <is>
          <t>REMARKS</t>
        </is>
      </c>
      <c r="I60" s="1" t="n"/>
      <c r="J60" s="118" t="inlineStr">
        <is>
          <t>Medisave Claim</t>
        </is>
      </c>
      <c r="K60" s="119" t="inlineStr">
        <is>
          <t>Admin Fee</t>
        </is>
      </c>
      <c r="L60" s="119" t="inlineStr">
        <is>
          <t>REMARKS</t>
        </is>
      </c>
      <c r="M60" s="1" t="n"/>
      <c r="N60" s="118" t="inlineStr">
        <is>
          <t>Medisave Claim</t>
        </is>
      </c>
      <c r="O60" s="119" t="inlineStr">
        <is>
          <t>Admin Fee</t>
        </is>
      </c>
      <c r="P60" s="119" t="inlineStr">
        <is>
          <t>REMARKS</t>
        </is>
      </c>
      <c r="Q60" s="1" t="n"/>
      <c r="R60" s="31" t="inlineStr">
        <is>
          <t>ORTHO (B+B)</t>
        </is>
      </c>
      <c r="S60" s="100" t="n"/>
      <c r="T60" s="90" t="n"/>
      <c r="U60" s="1" t="n"/>
      <c r="V60" s="118" t="inlineStr">
        <is>
          <t>Medisave Claim</t>
        </is>
      </c>
      <c r="W60" s="119" t="inlineStr">
        <is>
          <t>Admin Fee</t>
        </is>
      </c>
      <c r="X60" s="119" t="inlineStr">
        <is>
          <t>REMARKS</t>
        </is>
      </c>
      <c r="Y60" s="1" t="n"/>
      <c r="Z60" s="118" t="inlineStr">
        <is>
          <t>Medisave Claim</t>
        </is>
      </c>
      <c r="AA60" s="119" t="inlineStr">
        <is>
          <t>Admin Fee</t>
        </is>
      </c>
      <c r="AB60" s="119" t="inlineStr">
        <is>
          <t>REMARKS</t>
        </is>
      </c>
      <c r="AC60" s="1" t="n"/>
      <c r="AD60" s="1" t="n"/>
      <c r="AE60" s="118" t="inlineStr">
        <is>
          <t>Medisave Claim</t>
        </is>
      </c>
      <c r="AF60" s="119" t="inlineStr">
        <is>
          <t>Admin Fee</t>
        </is>
      </c>
      <c r="AG60" s="119" t="inlineStr">
        <is>
          <t>REMARKS</t>
        </is>
      </c>
      <c r="AH60" s="1" t="n"/>
      <c r="AI60" s="1" t="n"/>
      <c r="AJ60" s="31" t="inlineStr">
        <is>
          <t>ORTHO (B+B)</t>
        </is>
      </c>
      <c r="AK60" s="100" t="n"/>
      <c r="AL60" s="90" t="n"/>
    </row>
    <row r="61" ht="30.75" customHeight="1" s="220">
      <c r="A61" s="1" t="n"/>
      <c r="B61" s="96" t="inlineStr">
        <is>
          <t>NURSE PAY (INCENTIVE)</t>
        </is>
      </c>
      <c r="C61" s="97" t="n"/>
      <c r="D61" s="1" t="n"/>
      <c r="E61" s="1" t="n"/>
      <c r="F61" s="120" t="n"/>
      <c r="G61" s="121">
        <f>F61*20</f>
        <v/>
      </c>
      <c r="H61" s="121" t="n"/>
      <c r="I61" s="1" t="n"/>
      <c r="J61" s="120" t="n"/>
      <c r="K61" s="121">
        <f>J61*20</f>
        <v/>
      </c>
      <c r="L61" s="121" t="n"/>
      <c r="M61" s="1" t="n"/>
      <c r="N61" s="120" t="n"/>
      <c r="O61" s="121">
        <f>N61*20</f>
        <v/>
      </c>
      <c r="P61" s="121" t="n"/>
      <c r="Q61" s="1" t="n"/>
      <c r="R61" s="31" t="inlineStr">
        <is>
          <t>ABUTMENTS</t>
        </is>
      </c>
      <c r="S61" s="100" t="n"/>
      <c r="T61" s="90" t="n"/>
      <c r="U61" s="1" t="n"/>
      <c r="V61" s="120" t="n"/>
      <c r="W61" s="121">
        <f>V61*20</f>
        <v/>
      </c>
      <c r="X61" s="121" t="n"/>
      <c r="Y61" s="1" t="n"/>
      <c r="Z61" s="120" t="n"/>
      <c r="AA61" s="121">
        <f>Z61*20</f>
        <v/>
      </c>
      <c r="AB61" s="121" t="n"/>
      <c r="AC61" s="1" t="n"/>
      <c r="AD61" s="1" t="n"/>
      <c r="AE61" s="120" t="n"/>
      <c r="AF61" s="121">
        <f>AE61*20</f>
        <v/>
      </c>
      <c r="AG61" s="121" t="n"/>
      <c r="AH61" s="1" t="n"/>
      <c r="AI61" s="1" t="n"/>
      <c r="AJ61" s="31" t="inlineStr">
        <is>
          <t>ABUTMENTS</t>
        </is>
      </c>
      <c r="AK61" s="100" t="n"/>
      <c r="AL61" s="90" t="n"/>
    </row>
    <row r="62" ht="30.75" customHeight="1" s="220">
      <c r="A62" s="1" t="n"/>
      <c r="B62" s="96" t="inlineStr">
        <is>
          <t>NURSE TRANSFER FEE</t>
        </is>
      </c>
      <c r="C62" s="97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31" t="inlineStr">
        <is>
          <t>IMPLANT</t>
        </is>
      </c>
      <c r="S62" s="100" t="n"/>
      <c r="T62" s="90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31" t="inlineStr">
        <is>
          <t>IMPLANT</t>
        </is>
      </c>
      <c r="AK62" s="100" t="n"/>
      <c r="AL62" s="90" t="n"/>
    </row>
    <row r="63" ht="30.75" customHeight="1" s="220">
      <c r="A63" s="1" t="inlineStr">
        <is>
          <t> </t>
        </is>
      </c>
      <c r="B63" s="96" t="inlineStr">
        <is>
          <t>TANK CULTURE</t>
        </is>
      </c>
      <c r="C63" s="97" t="n">
        <v>163.5</v>
      </c>
      <c r="D63" s="1" t="n"/>
      <c r="E63" s="1" t="n"/>
      <c r="F63" s="122" t="inlineStr">
        <is>
          <t>ADDITIONAL MARKETING:</t>
        </is>
      </c>
      <c r="G63" s="1" t="n"/>
      <c r="H63" s="1" t="n"/>
      <c r="I63" s="1" t="n"/>
      <c r="J63" s="122" t="inlineStr">
        <is>
          <t>ADDITIONAL MARKETING:</t>
        </is>
      </c>
      <c r="K63" s="1" t="n"/>
      <c r="L63" s="1" t="n"/>
      <c r="M63" s="1" t="n"/>
      <c r="N63" s="122" t="inlineStr">
        <is>
          <t>ADDITIONAL MARKETING:</t>
        </is>
      </c>
      <c r="O63" s="1" t="n"/>
      <c r="P63" s="1" t="n"/>
      <c r="Q63" s="1" t="n"/>
      <c r="R63" s="31" t="inlineStr">
        <is>
          <t>SKY LAB</t>
        </is>
      </c>
      <c r="S63" s="100" t="n"/>
      <c r="T63" s="90" t="n"/>
      <c r="U63" s="1" t="n"/>
      <c r="V63" s="122" t="inlineStr">
        <is>
          <t>ADDITIONAL MARKETING:</t>
        </is>
      </c>
      <c r="W63" s="1" t="n"/>
      <c r="X63" s="1" t="n"/>
      <c r="Y63" s="1" t="n"/>
      <c r="Z63" s="122" t="inlineStr">
        <is>
          <t>ADDITIONAL MARKETING:</t>
        </is>
      </c>
      <c r="AA63" s="1" t="n"/>
      <c r="AB63" s="1" t="n"/>
      <c r="AC63" s="1" t="n"/>
      <c r="AD63" s="1" t="n"/>
      <c r="AE63" s="122" t="inlineStr">
        <is>
          <t>ADDITIONAL MARKETING:</t>
        </is>
      </c>
      <c r="AF63" s="1" t="n"/>
      <c r="AG63" s="1" t="n"/>
      <c r="AH63" s="1" t="n"/>
      <c r="AI63" s="1" t="n"/>
      <c r="AJ63" s="31" t="inlineStr">
        <is>
          <t>SKY LAB</t>
        </is>
      </c>
      <c r="AK63" s="100" t="n"/>
      <c r="AL63" s="90" t="n"/>
    </row>
    <row r="64" ht="30.75" customHeight="1" s="220">
      <c r="A64" s="1" t="inlineStr">
        <is>
          <t> </t>
        </is>
      </c>
      <c r="B64" s="96" t="inlineStr">
        <is>
          <t>SHARP BIN</t>
        </is>
      </c>
      <c r="C64" s="97" t="n"/>
      <c r="D64" s="1" t="n"/>
      <c r="E64" s="1" t="n"/>
      <c r="F64" s="123" t="inlineStr">
        <is>
          <t xml:space="preserve">MONTH </t>
        </is>
      </c>
      <c r="G64" s="124" t="inlineStr">
        <is>
          <t>AMOUNT</t>
        </is>
      </c>
      <c r="H64" s="124" t="inlineStr">
        <is>
          <t>REMARKS</t>
        </is>
      </c>
      <c r="I64" s="1" t="n"/>
      <c r="J64" s="123" t="inlineStr">
        <is>
          <t xml:space="preserve">MONTH </t>
        </is>
      </c>
      <c r="K64" s="124" t="inlineStr">
        <is>
          <t>AMOUNT</t>
        </is>
      </c>
      <c r="L64" s="124" t="inlineStr">
        <is>
          <t>REMARKS</t>
        </is>
      </c>
      <c r="M64" s="1" t="n"/>
      <c r="N64" s="123" t="inlineStr">
        <is>
          <t xml:space="preserve">MONTH </t>
        </is>
      </c>
      <c r="O64" s="124" t="inlineStr">
        <is>
          <t>AMOUNT</t>
        </is>
      </c>
      <c r="P64" s="124" t="inlineStr">
        <is>
          <t>REMARKS</t>
        </is>
      </c>
      <c r="Q64" s="1" t="n"/>
      <c r="R64" s="31" t="inlineStr">
        <is>
          <t>DIGICADCAM</t>
        </is>
      </c>
      <c r="S64" s="100" t="n"/>
      <c r="T64" s="90" t="n"/>
      <c r="U64" s="1" t="n"/>
      <c r="V64" s="123" t="inlineStr">
        <is>
          <t xml:space="preserve">MONTH </t>
        </is>
      </c>
      <c r="W64" s="124" t="inlineStr">
        <is>
          <t>AMOUNT</t>
        </is>
      </c>
      <c r="X64" s="124" t="inlineStr">
        <is>
          <t>REMARKS</t>
        </is>
      </c>
      <c r="Y64" s="1" t="n"/>
      <c r="Z64" s="123" t="inlineStr">
        <is>
          <t xml:space="preserve">MONTH </t>
        </is>
      </c>
      <c r="AA64" s="124" t="inlineStr">
        <is>
          <t>AMOUNT</t>
        </is>
      </c>
      <c r="AB64" s="124" t="inlineStr">
        <is>
          <t>REMARKS</t>
        </is>
      </c>
      <c r="AC64" s="1" t="n"/>
      <c r="AD64" s="1" t="n"/>
      <c r="AE64" s="123" t="inlineStr">
        <is>
          <t xml:space="preserve">MONTH </t>
        </is>
      </c>
      <c r="AF64" s="124" t="inlineStr">
        <is>
          <t>AMOUNT</t>
        </is>
      </c>
      <c r="AG64" s="124" t="inlineStr">
        <is>
          <t>REMARKS</t>
        </is>
      </c>
      <c r="AH64" s="1" t="n"/>
      <c r="AI64" s="1" t="n"/>
      <c r="AJ64" s="31" t="inlineStr">
        <is>
          <t>DIGICADCAM</t>
        </is>
      </c>
      <c r="AK64" s="100" t="n"/>
      <c r="AL64" s="90" t="n"/>
    </row>
    <row r="65" ht="41.25" customHeight="1" s="220">
      <c r="A65" s="1" t="n"/>
      <c r="B65" s="96" t="inlineStr">
        <is>
          <t>COURIER</t>
        </is>
      </c>
      <c r="C65" s="97" t="n">
        <v>129.44</v>
      </c>
      <c r="D65" s="1" t="n"/>
      <c r="E65" s="1" t="n"/>
      <c r="F65" s="125">
        <f>B3</f>
        <v/>
      </c>
      <c r="G65" s="128" t="n">
        <v>60</v>
      </c>
      <c r="H65" s="127" t="n"/>
      <c r="I65" s="1" t="n"/>
      <c r="J65" s="125">
        <f>F65</f>
        <v/>
      </c>
      <c r="K65" s="128" t="n">
        <v>120</v>
      </c>
      <c r="L65" s="127" t="n"/>
      <c r="M65" s="1" t="n"/>
      <c r="N65" s="125">
        <f>F65</f>
        <v/>
      </c>
      <c r="O65" s="128" t="n">
        <v>300</v>
      </c>
      <c r="P65" s="127" t="n"/>
      <c r="Q65" s="1" t="n"/>
      <c r="R65" s="31" t="inlineStr">
        <is>
          <t>OTHER LAB</t>
        </is>
      </c>
      <c r="S65" s="100" t="n"/>
      <c r="T65" s="90" t="n"/>
      <c r="U65" s="1" t="n"/>
      <c r="V65" s="125">
        <f>V3</f>
        <v/>
      </c>
      <c r="W65" s="128" t="n">
        <v>180</v>
      </c>
      <c r="X65" s="127" t="n"/>
      <c r="Y65" s="1" t="n"/>
      <c r="Z65" s="125">
        <f>V65</f>
        <v/>
      </c>
      <c r="AA65" s="128" t="n">
        <v>75</v>
      </c>
      <c r="AB65" s="127" t="n"/>
      <c r="AC65" s="1" t="n"/>
      <c r="AD65" s="1" t="n"/>
      <c r="AE65" s="125">
        <f>AE3</f>
        <v/>
      </c>
      <c r="AF65" s="128" t="n">
        <v>180</v>
      </c>
      <c r="AG65" s="127" t="n"/>
      <c r="AH65" s="1" t="n"/>
      <c r="AI65" s="1" t="n"/>
      <c r="AJ65" s="31" t="inlineStr">
        <is>
          <t>OTHER LAB</t>
        </is>
      </c>
      <c r="AK65" s="100" t="n"/>
      <c r="AL65" s="90" t="n"/>
    </row>
    <row r="66" ht="36" customHeight="1" s="220">
      <c r="A66" s="1" t="n"/>
      <c r="B66" s="96" t="inlineStr">
        <is>
          <t>REPAIR &amp; MAINTENANCE</t>
        </is>
      </c>
      <c r="C66" s="97" t="n"/>
      <c r="D66" s="2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31" t="inlineStr">
        <is>
          <t>INVISALIGN</t>
        </is>
      </c>
      <c r="S66" s="100" t="n"/>
      <c r="T66" s="90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31" t="inlineStr">
        <is>
          <t>INVISALIGN</t>
        </is>
      </c>
      <c r="AK66" s="100" t="n"/>
      <c r="AL66" s="90" t="n"/>
    </row>
    <row r="67" ht="33" customHeight="1" s="220">
      <c r="A67" s="1" t="n"/>
      <c r="B67" s="131" t="inlineStr">
        <is>
          <t>MOM LEVY</t>
        </is>
      </c>
      <c r="C67" s="130" t="n">
        <v>1500</v>
      </c>
      <c r="D67" s="1" t="n"/>
      <c r="E67" s="1" t="n"/>
      <c r="F67" s="122" t="inlineStr">
        <is>
          <t>OTHERS: (CPF,PERSONAL REFUND, COURSEFEE)</t>
        </is>
      </c>
      <c r="G67" s="1" t="n"/>
      <c r="H67" s="1" t="n"/>
      <c r="I67" s="1" t="n"/>
      <c r="J67" s="122" t="inlineStr">
        <is>
          <t>OTHERS: (CPF,PERSONAL REFUND, COURSEFEE)</t>
        </is>
      </c>
      <c r="K67" s="1" t="n"/>
      <c r="L67" s="1" t="n"/>
      <c r="M67" s="1" t="n"/>
      <c r="N67" s="122" t="inlineStr">
        <is>
          <t>OTHERS: (CPF,PERSONAL REFUND, COURSEFEE)</t>
        </is>
      </c>
      <c r="O67" s="1" t="n"/>
      <c r="P67" s="1" t="n"/>
      <c r="Q67" s="1" t="n"/>
      <c r="R67" s="31" t="inlineStr">
        <is>
          <t>TRANSFER (+)</t>
        </is>
      </c>
      <c r="S67" s="100" t="n"/>
      <c r="T67" s="90" t="n"/>
      <c r="U67" s="1" t="n"/>
      <c r="V67" s="122" t="inlineStr">
        <is>
          <t>OTHERS: (CPF,PERSONAL REFUND, COURSEFEE)</t>
        </is>
      </c>
      <c r="W67" s="1" t="n"/>
      <c r="X67" s="1" t="n"/>
      <c r="Y67" s="1" t="n"/>
      <c r="Z67" s="122" t="inlineStr">
        <is>
          <t>OTHERS: (CPF,PERSONAL REFUND, COURSEFEE)</t>
        </is>
      </c>
      <c r="AA67" s="1" t="n"/>
      <c r="AB67" s="1" t="n"/>
      <c r="AC67" s="1" t="n"/>
      <c r="AD67" s="1" t="n"/>
      <c r="AE67" s="122" t="inlineStr">
        <is>
          <t>OTHERS: (CPF,PERSONAL REFUND, COURSEFEE)</t>
        </is>
      </c>
      <c r="AF67" s="1" t="n"/>
      <c r="AG67" s="1" t="n"/>
      <c r="AH67" s="1" t="n"/>
      <c r="AI67" s="1" t="n"/>
      <c r="AJ67" s="31" t="inlineStr">
        <is>
          <t>TRANSFER (+)</t>
        </is>
      </c>
      <c r="AK67" s="100" t="n"/>
      <c r="AL67" s="98" t="n"/>
    </row>
    <row r="68" ht="33.75" customHeight="1" s="220">
      <c r="A68" s="1" t="n"/>
      <c r="B68" s="131" t="inlineStr">
        <is>
          <t>PURCHASE PC</t>
        </is>
      </c>
      <c r="C68" s="130" t="n"/>
      <c r="D68" s="1" t="n"/>
      <c r="E68" s="1" t="n"/>
      <c r="F68" s="122" t="n"/>
      <c r="G68" s="1" t="n"/>
      <c r="H68" s="1" t="n"/>
      <c r="I68" s="1" t="n"/>
      <c r="J68" s="122" t="n"/>
      <c r="K68" s="1" t="n"/>
      <c r="L68" s="1" t="n"/>
      <c r="M68" s="1" t="n"/>
      <c r="N68" s="122" t="n"/>
      <c r="O68" s="1" t="n"/>
      <c r="P68" s="1" t="n"/>
      <c r="Q68" s="1" t="n"/>
      <c r="R68" s="31" t="inlineStr">
        <is>
          <t>TRANSFER (-)</t>
        </is>
      </c>
      <c r="S68" s="100" t="n"/>
      <c r="T68" s="90" t="n"/>
      <c r="U68" s="1" t="n"/>
      <c r="V68" s="122" t="n"/>
      <c r="W68" s="1" t="n"/>
      <c r="X68" s="1" t="n"/>
      <c r="Y68" s="1" t="n"/>
      <c r="Z68" s="122" t="n"/>
      <c r="AA68" s="1" t="n"/>
      <c r="AB68" s="1" t="n"/>
      <c r="AC68" s="1" t="n"/>
      <c r="AD68" s="1" t="n"/>
      <c r="AE68" s="122" t="n"/>
      <c r="AF68" s="1" t="n"/>
      <c r="AG68" s="1" t="n"/>
      <c r="AH68" s="1" t="n"/>
      <c r="AI68" s="1" t="n"/>
      <c r="AJ68" s="31" t="inlineStr">
        <is>
          <t>TRANSFER (-)</t>
        </is>
      </c>
      <c r="AK68" s="100" t="n"/>
      <c r="AL68" s="102" t="n"/>
    </row>
    <row r="69" ht="45" customHeight="1" s="220">
      <c r="A69" s="1" t="n"/>
      <c r="B69" s="131" t="inlineStr">
        <is>
          <t>PURCHASE INSTRUMENTS</t>
        </is>
      </c>
      <c r="C69" s="130" t="n"/>
      <c r="D69" s="1" t="n"/>
      <c r="E69" s="1" t="n"/>
      <c r="F69" s="134" t="inlineStr">
        <is>
          <t>DETAILS</t>
        </is>
      </c>
      <c r="G69" s="134" t="inlineStr">
        <is>
          <t>AMOUNT</t>
        </is>
      </c>
      <c r="H69" s="127" t="n"/>
      <c r="I69" s="1" t="n"/>
      <c r="J69" s="134" t="inlineStr">
        <is>
          <t>DETAILS</t>
        </is>
      </c>
      <c r="K69" s="134" t="inlineStr">
        <is>
          <t>AMOUNT</t>
        </is>
      </c>
      <c r="L69" s="127" t="n"/>
      <c r="M69" s="1" t="n"/>
      <c r="N69" s="134" t="inlineStr">
        <is>
          <t>DETAILS</t>
        </is>
      </c>
      <c r="O69" s="134" t="inlineStr">
        <is>
          <t>AMOUNT</t>
        </is>
      </c>
      <c r="P69" s="127" t="n"/>
      <c r="Q69" s="1" t="n"/>
      <c r="R69" s="52" t="inlineStr">
        <is>
          <t>REFUND</t>
        </is>
      </c>
      <c r="S69" s="105" t="n"/>
      <c r="T69" s="90" t="n"/>
      <c r="U69" s="1" t="n"/>
      <c r="V69" s="134" t="inlineStr">
        <is>
          <t>DETAILS</t>
        </is>
      </c>
      <c r="W69" s="134" t="inlineStr">
        <is>
          <t>AMOUNT</t>
        </is>
      </c>
      <c r="X69" s="127" t="n"/>
      <c r="Y69" s="1" t="n"/>
      <c r="Z69" s="134" t="inlineStr">
        <is>
          <t>DETAILS</t>
        </is>
      </c>
      <c r="AA69" s="134" t="inlineStr">
        <is>
          <t>AMOUNT</t>
        </is>
      </c>
      <c r="AB69" s="127" t="n"/>
      <c r="AC69" s="1" t="n"/>
      <c r="AD69" s="1" t="n"/>
      <c r="AE69" s="134" t="inlineStr">
        <is>
          <t>DETAILS</t>
        </is>
      </c>
      <c r="AF69" s="134" t="inlineStr">
        <is>
          <t>AMOUNT</t>
        </is>
      </c>
      <c r="AG69" s="127" t="n"/>
      <c r="AH69" s="1" t="n"/>
      <c r="AI69" s="1" t="n"/>
      <c r="AJ69" s="52" t="inlineStr">
        <is>
          <t>REFUND</t>
        </is>
      </c>
      <c r="AK69" s="105" t="n"/>
      <c r="AL69" s="90" t="n"/>
    </row>
    <row r="70" ht="27.75" customHeight="1" s="220">
      <c r="A70" s="1" t="n"/>
      <c r="B70" s="90" t="n"/>
      <c r="C70" s="90" t="n"/>
      <c r="D70" s="1" t="n"/>
      <c r="E70" s="1" t="n"/>
      <c r="F70" s="134" t="n"/>
      <c r="G70" s="134" t="n"/>
      <c r="H70" s="127" t="n"/>
      <c r="I70" s="135" t="n"/>
      <c r="J70" s="134" t="n"/>
      <c r="K70" s="134" t="n"/>
      <c r="L70" s="127" t="n"/>
      <c r="M70" s="135" t="n"/>
      <c r="N70" s="134" t="n"/>
      <c r="O70" s="134" t="n"/>
      <c r="P70" s="127" t="n"/>
      <c r="Q70" s="135" t="n"/>
      <c r="R70" s="52" t="inlineStr">
        <is>
          <t>VOUCHER</t>
        </is>
      </c>
      <c r="S70" s="105" t="n"/>
      <c r="T70" s="90" t="n"/>
      <c r="U70" s="135" t="n"/>
      <c r="V70" s="134" t="n"/>
      <c r="W70" s="134" t="n"/>
      <c r="X70" s="127" t="n"/>
      <c r="Y70" s="136" t="n"/>
      <c r="Z70" s="134" t="n"/>
      <c r="AA70" s="134" t="n"/>
      <c r="AB70" s="127" t="n"/>
      <c r="AC70" s="136" t="n"/>
      <c r="AD70" s="135" t="n"/>
      <c r="AE70" s="134" t="n"/>
      <c r="AF70" s="134" t="n"/>
      <c r="AG70" s="127" t="n"/>
      <c r="AH70" s="1" t="n"/>
      <c r="AI70" s="135" t="n"/>
      <c r="AJ70" s="52" t="inlineStr">
        <is>
          <t>SEDATION</t>
        </is>
      </c>
      <c r="AK70" s="105" t="n"/>
      <c r="AL70" s="90" t="n"/>
    </row>
    <row r="71" ht="27.75" customHeight="1" s="220">
      <c r="A71" s="137" t="n"/>
      <c r="B71" s="137" t="n"/>
      <c r="C71" s="137" t="n"/>
      <c r="D71" s="137" t="n"/>
      <c r="E71" s="137" t="n"/>
      <c r="F71" s="134" t="n"/>
      <c r="G71" s="134" t="n"/>
      <c r="H71" s="127" t="n"/>
      <c r="I71" s="138" t="n"/>
      <c r="J71" s="134" t="n"/>
      <c r="K71" s="134" t="n"/>
      <c r="L71" s="127" t="n"/>
      <c r="M71" s="138" t="n"/>
      <c r="N71" s="134" t="n"/>
      <c r="O71" s="134" t="n"/>
      <c r="P71" s="127" t="n"/>
      <c r="Q71" s="138" t="n"/>
      <c r="R71" s="31" t="inlineStr">
        <is>
          <t>RETAINERS/BT/SPLINT</t>
        </is>
      </c>
      <c r="S71" s="105" t="n"/>
      <c r="T71" s="90" t="n"/>
      <c r="U71" s="138" t="n"/>
      <c r="V71" s="134" t="n"/>
      <c r="W71" s="134" t="n"/>
      <c r="X71" s="127" t="n"/>
      <c r="Y71" s="138" t="n"/>
      <c r="Z71" s="134" t="n"/>
      <c r="AA71" s="134" t="n"/>
      <c r="AB71" s="127" t="n"/>
      <c r="AC71" s="137" t="n"/>
      <c r="AD71" s="138" t="n"/>
      <c r="AE71" s="134" t="n"/>
      <c r="AF71" s="134" t="n"/>
      <c r="AG71" s="127" t="n"/>
      <c r="AH71" s="137" t="n"/>
      <c r="AI71" s="138" t="n"/>
      <c r="AJ71" s="31" t="inlineStr">
        <is>
          <t>RETAINERS/BT/SPLINT</t>
        </is>
      </c>
      <c r="AK71" s="105" t="n"/>
      <c r="AL71" s="90" t="n"/>
    </row>
    <row r="72" ht="46.5" customHeight="1" s="220">
      <c r="A72" s="1" t="n"/>
      <c r="B72" s="139" t="inlineStr">
        <is>
          <t>TOTAL</t>
        </is>
      </c>
      <c r="C72" s="140">
        <f>B31-C34-C35-C58-C36-C37-C42-C43-C38-C46-C39-C45-C48-C49-C51-C50-C55-C54-C53-C59-C60-C61-C62-C47-C63-C40-C64-C41-C67-C66-C65-C90-C91-C92-C93-C94-C95-C68-C69-C70</f>
        <v/>
      </c>
      <c r="D72" s="137" t="n"/>
      <c r="E72" s="1" t="n"/>
      <c r="F72" s="134" t="n"/>
      <c r="G72" s="134" t="n"/>
      <c r="H72" s="127" t="n"/>
      <c r="I72" s="1" t="n"/>
      <c r="J72" s="134" t="n"/>
      <c r="K72" s="134" t="n"/>
      <c r="L72" s="127" t="n"/>
      <c r="M72" s="1" t="n"/>
      <c r="N72" s="134" t="n"/>
      <c r="O72" s="134" t="n"/>
      <c r="P72" s="127" t="n"/>
      <c r="Q72" s="1" t="n"/>
      <c r="R72" s="31" t="inlineStr">
        <is>
          <t>INSTALLMENT</t>
        </is>
      </c>
      <c r="S72" s="105" t="n"/>
      <c r="T72" s="90" t="n"/>
      <c r="U72" s="1" t="n"/>
      <c r="V72" s="134" t="n"/>
      <c r="W72" s="127" t="n"/>
      <c r="X72" s="127" t="n"/>
      <c r="Y72" s="1" t="n"/>
      <c r="Z72" s="134" t="n"/>
      <c r="AA72" s="134" t="n"/>
      <c r="AB72" s="127" t="n"/>
      <c r="AC72" s="1" t="n"/>
      <c r="AD72" s="1" t="n"/>
      <c r="AE72" s="134" t="n"/>
      <c r="AF72" s="134" t="n"/>
      <c r="AG72" s="127" t="n"/>
      <c r="AH72" s="1" t="n"/>
      <c r="AI72" s="1" t="n"/>
      <c r="AJ72" s="31" t="inlineStr">
        <is>
          <t>INSTALLMENT</t>
        </is>
      </c>
      <c r="AK72" s="105" t="n"/>
      <c r="AL72" s="90" t="n"/>
    </row>
    <row r="73" ht="31.5" customHeight="1" s="220">
      <c r="A73" s="1" t="n"/>
      <c r="B73" s="141" t="inlineStr">
        <is>
          <t>FOR INCENTIVE %</t>
        </is>
      </c>
      <c r="C73" s="142">
        <f>B31-C34-C35-C58-C42-C43-C46-C45-C48-C44-C49-C50-C47-C63-C40-C64-C41-C65-C93-C95-C94-C66-C92-C90-C68-C69-C70</f>
        <v/>
      </c>
      <c r="D73" s="143" t="n"/>
      <c r="E73" s="1" t="n"/>
      <c r="F73" s="134" t="n"/>
      <c r="G73" s="134" t="n"/>
      <c r="H73" s="127" t="n"/>
      <c r="I73" s="1" t="n"/>
      <c r="J73" s="134" t="n"/>
      <c r="K73" s="134" t="n"/>
      <c r="L73" s="127" t="n"/>
      <c r="M73" s="1" t="n"/>
      <c r="N73" s="134" t="n"/>
      <c r="O73" s="134" t="n"/>
      <c r="P73" s="127" t="n"/>
      <c r="Q73" s="1" t="n"/>
      <c r="R73" s="144" t="inlineStr">
        <is>
          <t>DEDUCTIONS</t>
        </is>
      </c>
      <c r="S73" s="145" t="n"/>
      <c r="T73" s="90" t="n"/>
      <c r="U73" s="1" t="n"/>
      <c r="V73" s="134" t="n"/>
      <c r="W73" s="134" t="n"/>
      <c r="X73" s="127" t="n"/>
      <c r="Y73" s="1" t="n"/>
      <c r="Z73" s="134" t="n"/>
      <c r="AA73" s="134" t="n"/>
      <c r="AB73" s="127" t="n"/>
      <c r="AC73" s="1" t="n"/>
      <c r="AD73" s="1" t="n"/>
      <c r="AE73" s="134" t="n"/>
      <c r="AF73" s="134" t="n"/>
      <c r="AG73" s="127" t="n"/>
      <c r="AH73" s="1" t="n"/>
      <c r="AI73" s="1" t="n"/>
      <c r="AJ73" s="144" t="inlineStr">
        <is>
          <t>DEDUCTIONS</t>
        </is>
      </c>
      <c r="AK73" s="145" t="n"/>
      <c r="AL73" s="102" t="n"/>
    </row>
    <row r="74" ht="31.5" customHeight="1" s="220">
      <c r="A74" s="1" t="n"/>
      <c r="B74" s="146" t="inlineStr">
        <is>
          <t>PERCENT</t>
        </is>
      </c>
      <c r="C74" s="147">
        <f>VLOOKUP(C73,'% RATES INCENTIVES'!C:D,2,TRUE)</f>
        <v/>
      </c>
      <c r="D74" s="1" t="n"/>
      <c r="E74" s="1" t="n"/>
      <c r="F74" s="134" t="n"/>
      <c r="G74" s="134" t="n"/>
      <c r="H74" s="127" t="n"/>
      <c r="I74" s="1" t="n"/>
      <c r="J74" s="134" t="n"/>
      <c r="K74" s="134" t="n"/>
      <c r="L74" s="127" t="n"/>
      <c r="M74" s="1" t="n"/>
      <c r="N74" s="134" t="n"/>
      <c r="O74" s="134" t="n"/>
      <c r="P74" s="127" t="n"/>
      <c r="Q74" s="1" t="n"/>
      <c r="R74" s="148" t="n"/>
      <c r="S74" s="148" t="n"/>
      <c r="T74" s="1" t="n"/>
      <c r="U74" s="1" t="n"/>
      <c r="V74" s="134" t="n"/>
      <c r="W74" s="134" t="n"/>
      <c r="X74" s="127" t="n"/>
      <c r="Y74" s="1" t="n"/>
      <c r="Z74" s="134" t="n"/>
      <c r="AA74" s="134" t="n"/>
      <c r="AB74" s="127" t="n"/>
      <c r="AC74" s="1" t="n"/>
      <c r="AD74" s="1" t="n"/>
      <c r="AE74" s="134" t="n"/>
      <c r="AF74" s="134" t="n"/>
      <c r="AG74" s="127" t="n"/>
      <c r="AH74" s="1" t="n"/>
      <c r="AI74" s="1" t="n"/>
      <c r="AJ74" s="148" t="n"/>
      <c r="AK74" s="148" t="n"/>
      <c r="AL74" s="1" t="n"/>
    </row>
    <row r="75" ht="34.5" customHeight="1" s="220">
      <c r="A75" s="1" t="inlineStr">
        <is>
          <t>INCOME LESS GST</t>
        </is>
      </c>
      <c r="B75" s="149">
        <f>B31-C35</f>
        <v/>
      </c>
      <c r="C75" s="150">
        <f>C72/B75*100</f>
        <v/>
      </c>
      <c r="D75" s="151" t="inlineStr">
        <is>
          <t>%</t>
        </is>
      </c>
      <c r="E75" s="1" t="n"/>
      <c r="F75" s="134" t="n"/>
      <c r="G75" s="134" t="n"/>
      <c r="H75" s="127" t="n"/>
      <c r="I75" s="1" t="n"/>
      <c r="J75" s="134" t="n"/>
      <c r="K75" s="134" t="n"/>
      <c r="L75" s="127" t="n"/>
      <c r="M75" s="1" t="n"/>
      <c r="N75" s="134" t="n"/>
      <c r="O75" s="134" t="n"/>
      <c r="P75" s="127" t="n"/>
      <c r="Q75" s="1" t="n"/>
      <c r="R75" s="61" t="inlineStr">
        <is>
          <t>TOTAL</t>
        </is>
      </c>
      <c r="S75" s="109">
        <f>#REF!-S34-S35-S59-S58-S60-S61-S62-S63-S64-S65-S66+S67-S68-S69-S70-S71-S72-S73</f>
        <v/>
      </c>
      <c r="T75" s="90" t="n"/>
      <c r="U75" s="1" t="n"/>
      <c r="V75" s="134" t="n"/>
      <c r="W75" s="134" t="n"/>
      <c r="X75" s="127" t="n"/>
      <c r="Y75" s="1" t="n"/>
      <c r="Z75" s="134" t="n"/>
      <c r="AA75" s="134" t="n"/>
      <c r="AB75" s="127" t="n"/>
      <c r="AC75" s="1" t="n"/>
      <c r="AD75" s="1" t="n"/>
      <c r="AE75" s="134" t="n"/>
      <c r="AF75" s="134" t="n"/>
      <c r="AG75" s="127" t="n"/>
      <c r="AH75" s="1" t="n"/>
      <c r="AI75" s="1" t="n"/>
      <c r="AJ75" s="61" t="inlineStr">
        <is>
          <t>TOTAL</t>
        </is>
      </c>
      <c r="AK75" s="109">
        <f>#REF!-AK34-AK35-AK58-AK59-AK60-AK61-AK62-AK63-AK64-AK65-AK66+AK67-AK68-AK69-AK70-AK71-AK72-AK73</f>
        <v/>
      </c>
      <c r="AL75" s="90" t="n"/>
    </row>
    <row r="76" ht="33.75" customHeight="1" s="220">
      <c r="A76" s="1" t="n"/>
      <c r="B76" s="152" t="inlineStr">
        <is>
          <t> </t>
        </is>
      </c>
      <c r="C76" s="153" t="n"/>
      <c r="D76" s="1" t="n"/>
      <c r="E76" s="1" t="n"/>
      <c r="F76" s="154" t="n"/>
      <c r="G76" s="154" t="n"/>
      <c r="H76" s="155" t="n"/>
      <c r="I76" s="1" t="n"/>
      <c r="J76" s="154" t="n"/>
      <c r="K76" s="154" t="n"/>
      <c r="L76" s="155" t="n"/>
      <c r="M76" s="1" t="n"/>
      <c r="N76" s="154" t="n"/>
      <c r="O76" s="154" t="n"/>
      <c r="P76" s="155" t="n"/>
      <c r="Q76" s="1" t="n"/>
      <c r="R76" s="112" t="inlineStr">
        <is>
          <t>DOCTORS PAY</t>
        </is>
      </c>
      <c r="S76" s="111">
        <f>(S75*50%)+S77</f>
        <v/>
      </c>
      <c r="T76" s="90" t="n"/>
      <c r="U76" s="1" t="n"/>
      <c r="V76" s="154" t="n"/>
      <c r="W76" s="154" t="n"/>
      <c r="X76" s="155" t="n"/>
      <c r="Y76" s="1" t="n"/>
      <c r="Z76" s="154" t="n"/>
      <c r="AA76" s="154" t="n"/>
      <c r="AB76" s="155" t="n"/>
      <c r="AC76" s="1" t="n"/>
      <c r="AD76" s="1" t="n"/>
      <c r="AE76" s="154" t="n"/>
      <c r="AF76" s="154" t="n"/>
      <c r="AG76" s="155" t="n"/>
      <c r="AH76" s="1" t="n"/>
      <c r="AI76" s="1" t="n"/>
      <c r="AJ76" s="112" t="inlineStr">
        <is>
          <t>DOCTORS PAY</t>
        </is>
      </c>
      <c r="AK76" s="111">
        <f>(AK75*50%)+AK77</f>
        <v/>
      </c>
      <c r="AL76" s="90" t="n"/>
    </row>
    <row r="77" ht="36.75" customHeight="1" s="220">
      <c r="A77" s="1" t="n"/>
      <c r="B77" s="156" t="inlineStr">
        <is>
          <t>MEDISAVE ADMIN</t>
        </is>
      </c>
      <c r="C77" s="157">
        <f>G61+K61+O61+S83+W61+AA61+AF61+AK83</f>
        <v/>
      </c>
      <c r="D77" s="158">
        <f>C77/20</f>
        <v/>
      </c>
      <c r="E77" s="1" t="n"/>
      <c r="F77" s="159" t="inlineStr">
        <is>
          <t>TOTAL PAYMENT</t>
        </is>
      </c>
      <c r="G77" s="160">
        <f>G57-G70-G74-G75-G71-G72-G73</f>
        <v/>
      </c>
      <c r="H77" s="1" t="n"/>
      <c r="I77" s="1" t="n"/>
      <c r="J77" s="159" t="inlineStr">
        <is>
          <t>TOTAL PAYMENT</t>
        </is>
      </c>
      <c r="K77" s="160">
        <f>K57-K70-K74-K75-K71-K72-K73</f>
        <v/>
      </c>
      <c r="L77" s="1" t="n"/>
      <c r="M77" s="1" t="n"/>
      <c r="N77" s="159" t="inlineStr">
        <is>
          <t>TOTAL PAYMENT</t>
        </is>
      </c>
      <c r="O77" s="160">
        <f>O57-O70-O74-O75-O71-O72-O73</f>
        <v/>
      </c>
      <c r="P77" s="1" t="inlineStr">
        <is>
          <t>  </t>
        </is>
      </c>
      <c r="Q77" s="1" t="n"/>
      <c r="R77" s="50" t="inlineStr">
        <is>
          <t>ADJUSTMENTS (+)</t>
        </is>
      </c>
      <c r="S77" s="36" t="n"/>
      <c r="T77" s="90" t="n"/>
      <c r="U77" s="1" t="n"/>
      <c r="V77" s="159" t="inlineStr">
        <is>
          <t>TOTAL PAYMENT</t>
        </is>
      </c>
      <c r="W77" s="160">
        <f>W57-W70-W74-W75-W71-W72-W73</f>
        <v/>
      </c>
      <c r="X77" s="1" t="n"/>
      <c r="Y77" s="1" t="n"/>
      <c r="Z77" s="159" t="inlineStr">
        <is>
          <t>TOTAL PAYMENT</t>
        </is>
      </c>
      <c r="AA77" s="160">
        <f>AA57-AA70-AA74-AA75-AA71-AA72-AA73</f>
        <v/>
      </c>
      <c r="AB77" s="1" t="n"/>
      <c r="AC77" s="1" t="n"/>
      <c r="AD77" s="1" t="n"/>
      <c r="AE77" s="159" t="inlineStr">
        <is>
          <t>TOTAL PAYMENT</t>
        </is>
      </c>
      <c r="AF77" s="160">
        <f>AF57-AF70-AF74-AF75-AF71-AF72-AF73</f>
        <v/>
      </c>
      <c r="AG77" s="1" t="n"/>
      <c r="AH77" s="1" t="n"/>
      <c r="AI77" s="1" t="n"/>
      <c r="AJ77" s="50" t="inlineStr">
        <is>
          <t>ADJUSTMENTS (+)</t>
        </is>
      </c>
      <c r="AK77" s="36" t="n"/>
      <c r="AL77" s="98" t="n"/>
    </row>
    <row r="78" ht="39" customHeight="1" s="220">
      <c r="A78" s="1" t="n"/>
      <c r="B78" s="156" t="inlineStr">
        <is>
          <t>ADDITIONAL MARKETING</t>
        </is>
      </c>
      <c r="C78" s="157">
        <f>G65+K65+O65+S87+W65+AA65+AF65</f>
        <v/>
      </c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50" t="inlineStr">
        <is>
          <t>ADJUSTMENTS (-)</t>
        </is>
      </c>
      <c r="S78" s="115">
        <f>S83+S87</f>
        <v/>
      </c>
      <c r="T78" s="98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50" t="inlineStr">
        <is>
          <t>ADJUSTMENTS (-)</t>
        </is>
      </c>
      <c r="AK78" s="116">
        <f>AK83+AK87</f>
        <v/>
      </c>
      <c r="AL78" s="102" t="inlineStr">
        <is>
          <t>MARKETING FEE &amp; MEDISAVE ADMIN</t>
        </is>
      </c>
    </row>
    <row r="79" ht="27.75" customHeight="1" s="220">
      <c r="A79" s="1" t="n"/>
      <c r="B79" s="161" t="inlineStr">
        <is>
          <t>DOCTORS PERSONAL DEDUCTION</t>
        </is>
      </c>
      <c r="C79" s="157">
        <f>G70+G74+G75+K70+K74+K75+O70+O74+O75+S92+S96+S97+W70+W74+W75+AA70+AA74+AA75+AF70+AF74+AF75+G71+G72+G73+K71+K72+K73+O71+O72+O73+S93+S94+S95+W71+W72+W73+AA71+AA72+AA73+AF71+AF72+AF73</f>
        <v/>
      </c>
      <c r="D79" s="137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50" t="inlineStr">
        <is>
          <t>NET PAY</t>
        </is>
      </c>
      <c r="S79" s="111">
        <f>S76-S78</f>
        <v/>
      </c>
      <c r="T79" s="90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50" t="inlineStr">
        <is>
          <t>NET PAY</t>
        </is>
      </c>
      <c r="AK79" s="111">
        <f>AK76-AK78</f>
        <v/>
      </c>
      <c r="AL79" s="90" t="n"/>
    </row>
    <row r="80" ht="28.5" customHeight="1" s="220">
      <c r="A80" s="1" t="n"/>
      <c r="B80" s="156" t="inlineStr">
        <is>
          <t>TOTAL</t>
        </is>
      </c>
      <c r="C80" s="162">
        <f>SUM(C77:C79)</f>
        <v/>
      </c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63" t="n"/>
      <c r="Z80" s="1" t="n"/>
      <c r="AA80" s="1" t="n"/>
      <c r="AB80" s="1" t="n"/>
      <c r="AC80" s="1" t="n"/>
      <c r="AD80" s="163" t="n"/>
      <c r="AE80" s="1" t="n"/>
      <c r="AF80" s="1" t="n"/>
      <c r="AG80" s="1" t="n"/>
      <c r="AH80" s="1" t="n"/>
      <c r="AI80" s="163" t="n"/>
      <c r="AJ80" s="1" t="n"/>
      <c r="AK80" s="1" t="n"/>
      <c r="AL80" s="1" t="n"/>
    </row>
    <row r="81" ht="28.5" customHeight="1" s="220">
      <c r="A81" s="1" t="n"/>
      <c r="B81" s="164" t="inlineStr">
        <is>
          <t>TOTAL ICC-5</t>
        </is>
      </c>
      <c r="C81" s="164">
        <f>G36+K36+O36+S58+AA36+W36+AF36</f>
        <v/>
      </c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17" t="inlineStr">
        <is>
          <t>MEDISAVE ADMIN FEE CALCULATION:</t>
        </is>
      </c>
      <c r="S81" s="1" t="n"/>
      <c r="T81" s="1" t="n"/>
      <c r="U81" s="1" t="n"/>
      <c r="V81" s="1" t="n"/>
      <c r="W81" s="1" t="n"/>
      <c r="X81" s="1" t="n"/>
      <c r="Y81" s="163" t="n"/>
      <c r="Z81" s="1" t="n"/>
      <c r="AA81" s="1" t="n"/>
      <c r="AB81" s="1" t="n"/>
      <c r="AC81" s="1" t="n"/>
      <c r="AD81" s="163" t="n"/>
      <c r="AE81" s="1" t="n"/>
      <c r="AF81" s="1" t="n"/>
      <c r="AG81" s="1" t="n"/>
      <c r="AH81" s="1" t="n"/>
      <c r="AI81" s="163" t="n"/>
      <c r="AJ81" s="117" t="inlineStr">
        <is>
          <t>MEDISAVE ADMIN FEE CALCULATION:</t>
        </is>
      </c>
      <c r="AK81" s="1" t="n"/>
      <c r="AL81" s="1" t="n"/>
    </row>
    <row r="82" ht="49.5" customHeight="1" s="22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63" t="n"/>
      <c r="N82" s="1" t="n"/>
      <c r="O82" s="1" t="n"/>
      <c r="P82" s="1" t="n"/>
      <c r="Q82" s="1" t="n"/>
      <c r="R82" s="118" t="inlineStr">
        <is>
          <t>Medisave Claim</t>
        </is>
      </c>
      <c r="S82" s="119" t="inlineStr">
        <is>
          <t>Admin Fee</t>
        </is>
      </c>
      <c r="T82" s="119" t="inlineStr">
        <is>
          <t>REMARKS</t>
        </is>
      </c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18" t="inlineStr">
        <is>
          <t>Medisave Claim</t>
        </is>
      </c>
      <c r="AK82" s="119" t="inlineStr">
        <is>
          <t>Admin Fee</t>
        </is>
      </c>
      <c r="AL82" s="119" t="inlineStr">
        <is>
          <t>REMARKS</t>
        </is>
      </c>
    </row>
    <row r="83" ht="26.25" customHeight="1" s="220">
      <c r="A83" s="1" t="n"/>
      <c r="B83" s="165" t="inlineStr">
        <is>
          <t>NURSES FEE-REVENUE</t>
        </is>
      </c>
      <c r="C83" s="166">
        <f>(C60+C61+C62)/B31</f>
        <v/>
      </c>
      <c r="D83" s="137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20" t="n"/>
      <c r="S83" s="121">
        <f>R83*20</f>
        <v/>
      </c>
      <c r="T83" s="12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20" t="n"/>
      <c r="AK83" s="121">
        <f>AJ83*20</f>
        <v/>
      </c>
      <c r="AL83" s="121" t="n"/>
    </row>
    <row r="84" ht="21" customHeight="1" s="220">
      <c r="A84" s="1" t="n"/>
      <c r="B84" s="165" t="inlineStr">
        <is>
          <t>CONSUMABLE EXCL OFFICE RENT - REVENUE</t>
        </is>
      </c>
      <c r="C84" s="166">
        <f>(C49+C46+C48)/B31</f>
        <v/>
      </c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</row>
    <row r="85" ht="21" customHeight="1" s="220">
      <c r="A85" s="1" t="n"/>
      <c r="B85" s="165" t="inlineStr">
        <is>
          <t>OFFICE RENT &amp; ADMIN STAFF - REVENUE</t>
        </is>
      </c>
      <c r="C85" s="166">
        <f>(C45/B31)</f>
        <v/>
      </c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22" t="inlineStr">
        <is>
          <t>ADDITIONAL MARKETING:</t>
        </is>
      </c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22" t="inlineStr">
        <is>
          <t>ADDITIONAL MARKETING:</t>
        </is>
      </c>
      <c r="AK85" s="1" t="n"/>
      <c r="AL85" s="1" t="n"/>
    </row>
    <row r="86" ht="21" customHeight="1" s="220">
      <c r="A86" s="1" t="n"/>
      <c r="B86" s="167" t="inlineStr">
        <is>
          <t>MARKETING - REVENUE</t>
        </is>
      </c>
      <c r="C86" s="166">
        <f>C50/B31</f>
        <v/>
      </c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23" t="inlineStr">
        <is>
          <t xml:space="preserve">MONTH </t>
        </is>
      </c>
      <c r="S86" s="124" t="inlineStr">
        <is>
          <t>AMOUNT</t>
        </is>
      </c>
      <c r="T86" s="124" t="inlineStr">
        <is>
          <t>REMARKS</t>
        </is>
      </c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23" t="inlineStr">
        <is>
          <t xml:space="preserve">MONTH </t>
        </is>
      </c>
      <c r="AK86" s="124" t="inlineStr">
        <is>
          <t>AMOUNT</t>
        </is>
      </c>
      <c r="AL86" s="124" t="inlineStr">
        <is>
          <t>REMARKS</t>
        </is>
      </c>
    </row>
    <row r="87" ht="18.75" customHeight="1" s="220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25">
        <f>R3</f>
        <v/>
      </c>
      <c r="S87" s="128" t="n"/>
      <c r="T87" s="127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25">
        <f>AJ3</f>
        <v/>
      </c>
      <c r="AK87" s="128" t="n"/>
      <c r="AL87" s="127" t="n"/>
    </row>
    <row r="88" ht="16.5" customHeight="1" s="220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</row>
    <row r="89" ht="16.5" customHeight="1" s="220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22" t="inlineStr">
        <is>
          <t>OTHERS: (CPF,PERSONAL REFUND, COURSEFEE)</t>
        </is>
      </c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22" t="inlineStr">
        <is>
          <t>OTHERS: (CPF,PERSONAL REFUND, COURSEFEE)</t>
        </is>
      </c>
      <c r="AK89" s="1" t="n"/>
      <c r="AL89" s="1" t="n"/>
    </row>
    <row r="90" ht="30.75" customHeight="1" s="220">
      <c r="A90" s="1" t="n"/>
      <c r="B90" s="168" t="n"/>
      <c r="C90" s="169" t="n"/>
      <c r="D90" s="1" t="inlineStr">
        <is>
          <t> </t>
        </is>
      </c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22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22" t="n"/>
      <c r="AK90" s="1" t="n"/>
      <c r="AL90" s="1" t="n"/>
    </row>
    <row r="91" ht="30.75" customHeight="1" s="220">
      <c r="A91" s="1" t="n"/>
      <c r="B91" s="168" t="n"/>
      <c r="C91" s="169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34" t="inlineStr">
        <is>
          <t>DETAILS</t>
        </is>
      </c>
      <c r="S91" s="134" t="inlineStr">
        <is>
          <t>AMOUNT</t>
        </is>
      </c>
      <c r="T91" s="127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34" t="inlineStr">
        <is>
          <t>DETAILS</t>
        </is>
      </c>
      <c r="AK91" s="134" t="inlineStr">
        <is>
          <t>AMOUNT</t>
        </is>
      </c>
      <c r="AL91" s="127" t="n"/>
    </row>
    <row r="92" ht="30.75" customHeight="1" s="220">
      <c r="A92" s="1" t="n"/>
      <c r="B92" s="168" t="n"/>
      <c r="C92" s="169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34" t="n"/>
      <c r="S92" s="134" t="n"/>
      <c r="T92" s="127" t="n"/>
      <c r="U92" s="1" t="n"/>
      <c r="V92" s="1" t="n"/>
      <c r="W92" s="1" t="n"/>
      <c r="X92" s="1" t="n"/>
      <c r="Y92" s="136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inlineStr">
        <is>
          <t>feb 2191</t>
        </is>
      </c>
      <c r="AI92" s="1" t="n"/>
      <c r="AJ92" s="134" t="n"/>
      <c r="AK92" s="134" t="n"/>
      <c r="AL92" s="127" t="n"/>
    </row>
    <row r="93" ht="30.75" customHeight="1" s="220">
      <c r="A93" s="1" t="n"/>
      <c r="B93" s="168" t="n"/>
      <c r="C93" s="169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34" t="n"/>
      <c r="S93" s="134" t="n"/>
      <c r="T93" s="127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34" t="n"/>
      <c r="AK93" s="134" t="n"/>
      <c r="AL93" s="127" t="n"/>
    </row>
    <row r="94" ht="30.75" customHeight="1" s="220">
      <c r="A94" s="1" t="n"/>
      <c r="B94" s="117" t="n"/>
      <c r="C94" s="169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34" t="n"/>
      <c r="S94" s="134" t="n"/>
      <c r="T94" s="127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34" t="n"/>
      <c r="AK94" s="134" t="n"/>
      <c r="AL94" s="127" t="n"/>
    </row>
    <row r="95" ht="30.75" customHeight="1" s="220">
      <c r="A95" s="1" t="n"/>
      <c r="B95" s="117" t="n"/>
      <c r="C95" s="169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34" t="n"/>
      <c r="S95" s="134" t="n"/>
      <c r="T95" s="127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34" t="n"/>
      <c r="AK95" s="134" t="n"/>
      <c r="AL95" s="127" t="n"/>
    </row>
    <row r="96" ht="18.75" customHeight="1" s="220">
      <c r="A96" s="137" t="n"/>
      <c r="B96" s="137" t="n"/>
      <c r="C96" s="137" t="n"/>
      <c r="D96" s="137" t="n"/>
      <c r="E96" s="137" t="n"/>
      <c r="F96" s="137" t="n"/>
      <c r="G96" s="137" t="n"/>
      <c r="H96" s="137" t="n"/>
      <c r="I96" s="137" t="n"/>
      <c r="J96" s="137" t="n"/>
      <c r="K96" s="137" t="n"/>
      <c r="L96" s="137" t="n"/>
      <c r="M96" s="1" t="n"/>
      <c r="N96" s="137" t="n"/>
      <c r="O96" s="137" t="n"/>
      <c r="P96" s="137" t="n"/>
      <c r="Q96" s="137" t="n"/>
      <c r="R96" s="134" t="n"/>
      <c r="S96" s="134" t="n"/>
      <c r="T96" s="127" t="n"/>
      <c r="U96" s="137" t="n"/>
      <c r="V96" s="137" t="n"/>
      <c r="W96" s="137" t="n"/>
      <c r="X96" s="137" t="n"/>
      <c r="Y96" s="137" t="n"/>
      <c r="Z96" s="137" t="n"/>
      <c r="AA96" s="137" t="n"/>
      <c r="AB96" s="137" t="n"/>
      <c r="AC96" s="137" t="n"/>
      <c r="AD96" s="137" t="n"/>
      <c r="AE96" s="137" t="n"/>
      <c r="AF96" s="137" t="n"/>
      <c r="AG96" s="137" t="n"/>
      <c r="AH96" s="137" t="n"/>
      <c r="AI96" s="137" t="n"/>
      <c r="AJ96" s="134" t="n"/>
      <c r="AK96" s="134" t="n"/>
      <c r="AL96" s="127" t="n"/>
    </row>
    <row r="97" ht="41.25" customHeight="1" s="220">
      <c r="A97" s="1" t="n"/>
      <c r="B97" s="1" t="n"/>
      <c r="C97" s="2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37" t="n"/>
      <c r="N97" s="1" t="n"/>
      <c r="O97" s="1" t="n"/>
      <c r="P97" s="1" t="n"/>
      <c r="Q97" s="1" t="n"/>
      <c r="R97" s="134" t="n"/>
      <c r="S97" s="134" t="n"/>
      <c r="T97" s="127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34" t="n"/>
      <c r="AK97" s="134" t="n"/>
      <c r="AL97" s="127" t="n"/>
    </row>
    <row r="98" ht="18.75" customHeight="1" s="220">
      <c r="A98" s="1" t="n"/>
      <c r="B98" s="1" t="n"/>
      <c r="C98" s="2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54" t="n"/>
      <c r="S98" s="154" t="n"/>
      <c r="T98" s="155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54" t="n"/>
      <c r="AK98" s="154" t="n"/>
      <c r="AL98" s="155" t="n"/>
    </row>
    <row r="99" ht="30.75" customHeight="1" s="220">
      <c r="A99" s="1" t="n"/>
      <c r="B99" s="1" t="n"/>
      <c r="C99" s="2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59" t="inlineStr">
        <is>
          <t>TOTAL CHEQUE AMOUNT</t>
        </is>
      </c>
      <c r="S99" s="160">
        <f>S79-S92-S96-S97-S93-S94-S95</f>
        <v/>
      </c>
      <c r="T99" s="2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59" t="inlineStr">
        <is>
          <t>TOTAL CHEQUE AMOUNT</t>
        </is>
      </c>
      <c r="AK99" s="160">
        <f>AK79-AK92-AK96-AK97-AK93-AK94-AK95</f>
        <v/>
      </c>
      <c r="AL99" s="1" t="n"/>
    </row>
    <row r="100" ht="16.5" customHeight="1" s="220">
      <c r="A100" s="1" t="n"/>
      <c r="B100" s="1" t="n"/>
      <c r="C100" s="2" t="n"/>
      <c r="D100" s="1" t="n"/>
      <c r="E100" s="1" t="n"/>
      <c r="F100" s="137" t="n"/>
      <c r="G100" s="137" t="n"/>
      <c r="H100" s="137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</row>
    <row r="101" ht="16.5" customHeight="1" s="220">
      <c r="A101" s="1" t="n"/>
      <c r="B101" s="1" t="n"/>
      <c r="C101" s="2" t="n"/>
      <c r="D101" s="1" t="n"/>
      <c r="E101" s="2" t="n"/>
      <c r="F101" s="1" t="n"/>
      <c r="G101" s="1" t="n"/>
      <c r="H101" s="137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</row>
    <row r="102" ht="16.5" customHeight="1" s="220">
      <c r="A102" s="1" t="n"/>
      <c r="B102" s="1" t="n"/>
      <c r="C102" s="2" t="n"/>
      <c r="D102" s="1" t="n"/>
      <c r="E102" s="1" t="n"/>
      <c r="F102" s="1" t="n"/>
      <c r="G102" s="1" t="n"/>
      <c r="H102" s="137" t="n"/>
      <c r="I102" s="1" t="n"/>
      <c r="J102" s="1" t="n"/>
      <c r="K102" s="1" t="n"/>
      <c r="L102" s="137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</row>
    <row r="103" ht="16.5" customHeight="1" s="220">
      <c r="A103" s="137" t="n"/>
      <c r="B103" s="1" t="n"/>
      <c r="C103" s="2" t="n"/>
      <c r="D103" s="1" t="n"/>
      <c r="E103" s="137" t="n"/>
      <c r="F103" s="1" t="n"/>
      <c r="G103" s="1" t="n"/>
      <c r="H103" s="137" t="n"/>
      <c r="I103" s="1" t="n"/>
      <c r="J103" s="137" t="n"/>
      <c r="K103" s="137" t="n"/>
      <c r="L103" s="137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</row>
    <row r="104" ht="16.5" customHeight="1" s="220">
      <c r="A104" s="1" t="n"/>
      <c r="B104" s="1" t="n"/>
      <c r="C104" s="2" t="n"/>
      <c r="D104" s="1" t="n"/>
      <c r="E104" s="1" t="n"/>
      <c r="F104" s="1" t="n"/>
      <c r="G104" s="1" t="n"/>
      <c r="H104" s="137" t="n"/>
      <c r="I104" s="1" t="n"/>
      <c r="J104" s="1" t="n"/>
      <c r="K104" s="1" t="n"/>
      <c r="L104" s="137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</row>
    <row r="105" ht="16.5" customHeight="1" s="220">
      <c r="A105" s="1" t="n"/>
      <c r="B105" s="1" t="n"/>
      <c r="C105" s="2" t="n"/>
      <c r="D105" s="1" t="n"/>
      <c r="E105" s="1" t="n"/>
      <c r="F105" s="137" t="n"/>
      <c r="G105" s="137" t="n"/>
      <c r="H105" s="137" t="n"/>
      <c r="I105" s="1" t="n"/>
      <c r="J105" s="1" t="n"/>
      <c r="K105" s="1" t="n"/>
      <c r="L105" s="137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</row>
    <row r="106" ht="16.5" customHeight="1" s="220">
      <c r="A106" s="1" t="n"/>
      <c r="B106" s="1" t="n"/>
      <c r="C106" s="2" t="n"/>
      <c r="D106" s="1" t="n"/>
      <c r="E106" s="1" t="n"/>
      <c r="F106" s="1" t="n"/>
      <c r="G106" s="1" t="n"/>
      <c r="H106" s="137" t="n"/>
      <c r="I106" s="1" t="n"/>
      <c r="J106" s="1" t="n"/>
      <c r="K106" s="1" t="n"/>
      <c r="L106" s="137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</row>
    <row r="107" ht="16.5" customHeight="1" s="220">
      <c r="A107" s="137" t="n"/>
      <c r="B107" s="1" t="n"/>
      <c r="C107" s="2" t="n"/>
      <c r="D107" s="1" t="n"/>
      <c r="E107" s="137" t="n"/>
      <c r="F107" s="1" t="n"/>
      <c r="G107" s="1" t="n"/>
      <c r="H107" s="137" t="n"/>
      <c r="I107" s="1" t="n"/>
      <c r="J107" s="137" t="n"/>
      <c r="K107" s="137" t="n"/>
      <c r="L107" s="137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</row>
    <row r="108" ht="16.5" customHeight="1" s="220">
      <c r="A108" s="1" t="n"/>
      <c r="B108" s="1" t="n"/>
      <c r="C108" s="2" t="n"/>
      <c r="D108" s="1" t="n"/>
      <c r="E108" s="1" t="n"/>
      <c r="F108" s="137" t="n"/>
      <c r="G108" s="137" t="n"/>
      <c r="H108" s="137" t="n"/>
      <c r="I108" s="1" t="n"/>
      <c r="J108" s="1" t="n"/>
      <c r="K108" s="1" t="n"/>
      <c r="L108" s="137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</row>
    <row r="109" ht="16.5" customHeight="1" s="220">
      <c r="A109" s="1" t="n"/>
      <c r="B109" s="1" t="n"/>
      <c r="C109" s="2" t="n"/>
      <c r="D109" s="1" t="n"/>
      <c r="E109" s="137" t="n"/>
      <c r="F109" s="1" t="n"/>
      <c r="G109" s="1" t="n"/>
      <c r="H109" s="137" t="n"/>
      <c r="I109" s="1" t="n"/>
      <c r="J109" s="1" t="n"/>
      <c r="K109" s="1" t="n"/>
      <c r="L109" s="137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</row>
    <row r="110" ht="16.5" customHeight="1" s="220">
      <c r="A110" s="1" t="n"/>
      <c r="B110" s="1" t="n"/>
      <c r="C110" s="2" t="n"/>
      <c r="D110" s="1" t="n"/>
      <c r="E110" s="1" t="n"/>
      <c r="F110" s="1" t="n"/>
      <c r="G110" s="1" t="n"/>
      <c r="H110" s="137" t="n"/>
      <c r="I110" s="1" t="n"/>
      <c r="J110" s="1" t="n"/>
      <c r="K110" s="1" t="n"/>
      <c r="L110" s="137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</row>
    <row r="111" ht="16.5" customHeight="1" s="220">
      <c r="A111" s="137" t="n"/>
      <c r="B111" s="1" t="n"/>
      <c r="C111" s="2" t="n"/>
      <c r="D111" s="1" t="n"/>
      <c r="E111" s="1" t="n"/>
      <c r="F111" s="1" t="n"/>
      <c r="G111" s="1" t="n"/>
      <c r="H111" s="137" t="n"/>
      <c r="I111" s="1" t="n"/>
      <c r="J111" s="1" t="n"/>
      <c r="K111" s="1" t="n"/>
      <c r="L111" s="137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</row>
    <row r="112" ht="16.5" customHeight="1" s="220">
      <c r="A112" s="1" t="n"/>
      <c r="B112" s="1" t="n"/>
      <c r="C112" s="1" t="n"/>
      <c r="D112" s="1" t="n"/>
      <c r="E112" s="1" t="n"/>
      <c r="F112" s="137" t="n"/>
      <c r="G112" s="137" t="n"/>
      <c r="H112" s="137" t="n"/>
      <c r="I112" s="1" t="n"/>
      <c r="J112" s="137" t="n"/>
      <c r="K112" s="137" t="n"/>
      <c r="L112" s="137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</row>
    <row r="113" ht="16.5" customHeight="1" s="220">
      <c r="A113" s="1" t="n"/>
      <c r="B113" s="1" t="n"/>
      <c r="C113" s="137" t="n"/>
      <c r="D113" s="137" t="n"/>
      <c r="E113" s="137" t="n"/>
      <c r="F113" s="1" t="n"/>
      <c r="G113" s="1" t="n"/>
      <c r="H113" s="137" t="n"/>
      <c r="I113" s="1" t="n"/>
      <c r="J113" s="1" t="n"/>
      <c r="K113" s="1" t="n"/>
      <c r="L113" s="137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</row>
    <row r="114" ht="16.5" customHeight="1" s="220">
      <c r="A114" s="1" t="n"/>
      <c r="B114" s="1" t="n"/>
      <c r="C114" s="1" t="n"/>
      <c r="D114" s="1" t="n"/>
      <c r="E114" s="1" t="n"/>
      <c r="F114" s="1" t="n"/>
      <c r="G114" s="1" t="n"/>
      <c r="H114" s="137" t="n"/>
      <c r="I114" s="1" t="n"/>
      <c r="J114" s="1" t="n"/>
      <c r="K114" s="1" t="n"/>
      <c r="L114" s="137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</row>
    <row r="115" ht="16.5" customHeight="1" s="220">
      <c r="A115" s="137" t="n"/>
      <c r="B115" s="137" t="n"/>
      <c r="C115" s="137" t="n"/>
      <c r="D115" s="1" t="n"/>
      <c r="E115" s="1" t="n"/>
      <c r="F115" s="1" t="n"/>
      <c r="G115" s="1" t="n"/>
      <c r="H115" s="137" t="n"/>
      <c r="I115" s="1" t="n"/>
      <c r="J115" s="1" t="n"/>
      <c r="K115" s="1" t="n"/>
      <c r="L115" s="137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</row>
    <row r="116" ht="16.5" customHeight="1" s="220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</row>
    <row r="117" ht="16.5" customHeight="1" s="220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</row>
    <row r="118" ht="16.5" customHeight="1" s="220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</row>
    <row r="119" ht="16.5" customHeight="1" s="220">
      <c r="A119" s="137" t="n"/>
      <c r="B119" s="137" t="n"/>
      <c r="C119" s="137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</row>
    <row r="120" ht="16.5" customHeight="1" s="2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</row>
    <row r="121" ht="16.5" customHeight="1" s="220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</row>
    <row r="122" ht="16.5" customHeight="1" s="220">
      <c r="A122" s="137" t="n"/>
      <c r="B122" s="137" t="n"/>
      <c r="C122" s="137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</row>
    <row r="123" ht="16.5" customHeight="1" s="220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</row>
    <row r="124" ht="16.5" customHeight="1" s="220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</row>
    <row r="125" ht="16.5" customHeight="1" s="220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</row>
    <row r="126" ht="16.5" customHeight="1" s="220">
      <c r="A126" s="137" t="n"/>
      <c r="B126" s="137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</row>
    <row r="127" ht="16.5" customHeight="1" s="220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</row>
    <row r="128" ht="16.5" customHeight="1" s="220">
      <c r="A128" s="1" t="n"/>
      <c r="B128" s="1" t="n"/>
      <c r="C128" s="137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</row>
    <row r="129" ht="16.5" customHeight="1" s="220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</row>
    <row r="130" ht="16.5" customHeight="1" s="220">
      <c r="A130" s="137" t="n"/>
      <c r="B130" s="137" t="n"/>
      <c r="C130" s="137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</row>
    <row r="131" ht="16.5" customHeight="1" s="220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</row>
    <row r="132" ht="16.5" customHeight="1" s="220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</row>
    <row r="133" ht="16.5" customHeight="1" s="220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</row>
    <row r="134" ht="16.5" customHeight="1" s="220">
      <c r="A134" s="1" t="n"/>
      <c r="B134" s="1" t="n"/>
      <c r="C134" s="2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</row>
    <row r="135" ht="16.5" customHeight="1" s="220">
      <c r="A135" s="1" t="n"/>
      <c r="B135" s="1" t="n"/>
      <c r="C135" s="2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</row>
    <row r="136" ht="16.5" customHeight="1" s="220">
      <c r="A136" s="1" t="n"/>
      <c r="B136" s="1" t="n"/>
      <c r="C136" s="2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</row>
    <row r="137" ht="16.5" customHeight="1" s="220">
      <c r="A137" s="1" t="n"/>
      <c r="B137" s="1" t="n"/>
      <c r="C137" s="2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</row>
    <row r="138" ht="16.5" customHeight="1" s="220">
      <c r="A138" s="1" t="n"/>
      <c r="B138" s="1" t="n"/>
      <c r="C138" s="2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</row>
    <row r="139" ht="16.5" customHeight="1" s="220">
      <c r="A139" s="1" t="n"/>
      <c r="B139" s="1" t="n"/>
      <c r="C139" s="2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</row>
    <row r="140" ht="16.5" customHeight="1" s="220">
      <c r="A140" s="1" t="n"/>
      <c r="B140" s="1" t="n"/>
      <c r="C140" s="2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</row>
    <row r="141" ht="16.5" customHeight="1" s="220">
      <c r="A141" s="1" t="n"/>
      <c r="B141" s="1" t="n"/>
      <c r="C141" s="2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</row>
    <row r="142" ht="16.5" customHeight="1" s="220">
      <c r="A142" s="1" t="n"/>
      <c r="B142" s="1" t="n"/>
      <c r="C142" s="2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</row>
    <row r="143" ht="16.5" customHeight="1" s="220">
      <c r="A143" s="1" t="n"/>
      <c r="B143" s="1" t="n"/>
      <c r="C143" s="2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</row>
    <row r="144" ht="16.5" customHeight="1" s="220">
      <c r="A144" s="1" t="n"/>
      <c r="B144" s="1" t="n"/>
      <c r="C144" s="2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</row>
    <row r="145" ht="16.5" customHeight="1" s="220">
      <c r="A145" s="1" t="n"/>
      <c r="B145" s="1" t="n"/>
      <c r="C145" s="2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</row>
    <row r="146" ht="16.5" customHeight="1" s="220">
      <c r="A146" s="1" t="n"/>
      <c r="B146" s="1" t="n"/>
      <c r="C146" s="2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</row>
    <row r="147" ht="16.5" customHeight="1" s="220">
      <c r="A147" s="1" t="n"/>
      <c r="B147" s="1" t="n"/>
      <c r="C147" s="2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</row>
    <row r="148" ht="16.5" customHeight="1" s="220">
      <c r="A148" s="1" t="n"/>
      <c r="B148" s="1" t="n"/>
      <c r="C148" s="2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</row>
    <row r="149" ht="16.5" customHeight="1" s="220">
      <c r="A149" s="1" t="n"/>
      <c r="B149" s="1" t="n"/>
      <c r="C149" s="2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</row>
    <row r="150" ht="16.5" customHeight="1" s="220">
      <c r="A150" s="1" t="n"/>
      <c r="B150" s="1" t="n"/>
      <c r="C150" s="2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</row>
    <row r="151" ht="16.5" customHeight="1" s="220">
      <c r="A151" s="1" t="n"/>
      <c r="B151" s="1" t="n"/>
      <c r="C151" s="2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</row>
    <row r="152" ht="16.5" customHeight="1" s="220">
      <c r="A152" s="1" t="n"/>
      <c r="B152" s="1" t="n"/>
      <c r="C152" s="2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</row>
    <row r="153" ht="16.5" customHeight="1" s="220">
      <c r="A153" s="1" t="n"/>
      <c r="B153" s="1" t="n"/>
      <c r="C153" s="2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</row>
    <row r="154" ht="16.5" customHeight="1" s="220">
      <c r="A154" s="1" t="n"/>
      <c r="B154" s="1" t="n"/>
      <c r="C154" s="2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</row>
    <row r="155" ht="16.5" customHeight="1" s="220">
      <c r="A155" s="1" t="n"/>
      <c r="B155" s="1" t="n"/>
      <c r="C155" s="2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</row>
    <row r="156" ht="16.5" customHeight="1" s="220">
      <c r="A156" s="1" t="n"/>
      <c r="B156" s="1" t="n"/>
      <c r="C156" s="2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</row>
    <row r="157" ht="16.5" customHeight="1" s="220">
      <c r="A157" s="1" t="n"/>
      <c r="B157" s="1" t="n"/>
      <c r="C157" s="2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</row>
    <row r="158" ht="16.5" customHeight="1" s="220">
      <c r="A158" s="1" t="n"/>
      <c r="B158" s="1" t="n"/>
      <c r="C158" s="2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</row>
    <row r="159" ht="16.5" customHeight="1" s="220">
      <c r="A159" s="1" t="n"/>
      <c r="B159" s="1" t="n"/>
      <c r="C159" s="2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</row>
    <row r="160" ht="16.5" customHeight="1" s="220">
      <c r="A160" s="1" t="n"/>
      <c r="B160" s="1" t="n"/>
      <c r="C160" s="2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</row>
    <row r="161" ht="16.5" customHeight="1" s="220">
      <c r="A161" s="1" t="n"/>
      <c r="B161" s="1" t="n"/>
      <c r="C161" s="2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</row>
    <row r="162" ht="16.5" customHeight="1" s="220">
      <c r="A162" s="1" t="n"/>
      <c r="B162" s="1" t="n"/>
      <c r="C162" s="2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</row>
    <row r="163" ht="16.5" customHeight="1" s="220">
      <c r="A163" s="1" t="n"/>
      <c r="B163" s="1" t="n"/>
      <c r="C163" s="2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</row>
    <row r="164" ht="16.5" customHeight="1" s="220">
      <c r="A164" s="1" t="n"/>
      <c r="B164" s="1" t="n"/>
      <c r="C164" s="2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</row>
    <row r="165" ht="16.5" customHeight="1" s="220">
      <c r="A165" s="1" t="n"/>
      <c r="B165" s="1" t="n"/>
      <c r="C165" s="2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</row>
    <row r="166" ht="16.5" customHeight="1" s="220">
      <c r="A166" s="1" t="n"/>
      <c r="B166" s="1" t="n"/>
      <c r="C166" s="2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</row>
    <row r="167" ht="16.5" customHeight="1" s="220">
      <c r="A167" s="1" t="n"/>
      <c r="B167" s="1" t="n"/>
      <c r="C167" s="2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</row>
    <row r="168" ht="16.5" customHeight="1" s="220">
      <c r="A168" s="1" t="n"/>
      <c r="B168" s="1" t="n"/>
      <c r="C168" s="2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</row>
    <row r="169" ht="16.5" customHeight="1" s="220">
      <c r="A169" s="1" t="n"/>
      <c r="B169" s="1" t="n"/>
      <c r="C169" s="2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</row>
    <row r="170" ht="16.5" customHeight="1" s="220">
      <c r="A170" s="1" t="n"/>
      <c r="B170" s="1" t="n"/>
      <c r="C170" s="2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</row>
    <row r="171" ht="16.5" customHeight="1" s="220">
      <c r="A171" s="1" t="n"/>
      <c r="B171" s="1" t="n"/>
      <c r="C171" s="2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</row>
    <row r="172" ht="16.5" customHeight="1" s="220">
      <c r="A172" s="1" t="n"/>
      <c r="B172" s="1" t="n"/>
      <c r="C172" s="2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</row>
    <row r="173" ht="16.5" customHeight="1" s="220">
      <c r="A173" s="1" t="n"/>
      <c r="B173" s="1" t="n"/>
      <c r="C173" s="2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</row>
    <row r="174" ht="16.5" customHeight="1" s="220">
      <c r="A174" s="1" t="n"/>
      <c r="B174" s="1" t="n"/>
      <c r="C174" s="2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</row>
    <row r="175" ht="16.5" customHeight="1" s="220">
      <c r="A175" s="1" t="n"/>
      <c r="B175" s="1" t="n"/>
      <c r="C175" s="2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</row>
    <row r="176" ht="16.5" customHeight="1" s="220">
      <c r="A176" s="1" t="n"/>
      <c r="B176" s="1" t="n"/>
      <c r="C176" s="2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</row>
    <row r="177" ht="16.5" customHeight="1" s="220">
      <c r="A177" s="1" t="n"/>
      <c r="B177" s="1" t="n"/>
      <c r="C177" s="2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</row>
    <row r="178" ht="16.5" customHeight="1" s="220">
      <c r="A178" s="1" t="n"/>
      <c r="B178" s="1" t="n"/>
      <c r="C178" s="2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</row>
    <row r="179" ht="16.5" customHeight="1" s="220">
      <c r="A179" s="1" t="n"/>
      <c r="B179" s="1" t="n"/>
      <c r="C179" s="2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</row>
    <row r="180" ht="16.5" customHeight="1" s="220">
      <c r="A180" s="1" t="n"/>
      <c r="B180" s="1" t="n"/>
      <c r="C180" s="2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</row>
    <row r="181" ht="16.5" customHeight="1" s="220">
      <c r="A181" s="1" t="n"/>
      <c r="B181" s="1" t="n"/>
      <c r="C181" s="2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</row>
    <row r="182" ht="16.5" customHeight="1" s="220">
      <c r="A182" s="1" t="n"/>
      <c r="B182" s="1" t="n"/>
      <c r="C182" s="2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</row>
    <row r="183" ht="16.5" customHeight="1" s="220">
      <c r="A183" s="1" t="n"/>
      <c r="B183" s="1" t="n"/>
      <c r="C183" s="2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</row>
    <row r="184" ht="16.5" customHeight="1" s="220">
      <c r="A184" s="1" t="n"/>
      <c r="B184" s="1" t="n"/>
      <c r="C184" s="2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</row>
    <row r="185" ht="16.5" customHeight="1" s="220">
      <c r="A185" s="1" t="n"/>
      <c r="B185" s="1" t="n"/>
      <c r="C185" s="2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</row>
    <row r="186" ht="16.5" customHeight="1" s="220">
      <c r="A186" s="1" t="n"/>
      <c r="B186" s="1" t="n"/>
      <c r="C186" s="2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</row>
    <row r="187" ht="16.5" customHeight="1" s="220">
      <c r="A187" s="1" t="n"/>
      <c r="B187" s="1" t="n"/>
      <c r="C187" s="2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</row>
    <row r="188" ht="16.5" customHeight="1" s="220">
      <c r="A188" s="1" t="n"/>
      <c r="B188" s="1" t="n"/>
      <c r="C188" s="2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</row>
    <row r="189" ht="16.5" customHeight="1" s="220">
      <c r="A189" s="1" t="n"/>
      <c r="B189" s="1" t="n"/>
      <c r="C189" s="2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</row>
    <row r="190" ht="16.5" customHeight="1" s="220">
      <c r="A190" s="1" t="n"/>
      <c r="B190" s="1" t="n"/>
      <c r="C190" s="2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</row>
    <row r="191" ht="16.5" customHeight="1" s="220">
      <c r="A191" s="1" t="n"/>
      <c r="B191" s="1" t="n"/>
      <c r="C191" s="2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</row>
    <row r="192" ht="16.5" customHeight="1" s="220">
      <c r="A192" s="1" t="n"/>
      <c r="B192" s="1" t="n"/>
      <c r="C192" s="2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</row>
    <row r="193" ht="16.5" customHeight="1" s="220">
      <c r="A193" s="1" t="n"/>
      <c r="B193" s="1" t="n"/>
      <c r="C193" s="2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</row>
    <row r="194" ht="16.5" customHeight="1" s="220">
      <c r="A194" s="1" t="n"/>
      <c r="B194" s="1" t="n"/>
      <c r="C194" s="2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</row>
    <row r="195" ht="16.5" customHeight="1" s="220">
      <c r="A195" s="1" t="n"/>
      <c r="B195" s="1" t="n"/>
      <c r="C195" s="2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</row>
    <row r="196" ht="16.5" customHeight="1" s="220">
      <c r="A196" s="1" t="n"/>
      <c r="B196" s="1" t="n"/>
      <c r="C196" s="2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</row>
    <row r="197" ht="16.5" customHeight="1" s="220">
      <c r="A197" s="1" t="n"/>
      <c r="B197" s="1" t="n"/>
      <c r="C197" s="2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</row>
    <row r="198" ht="16.5" customHeight="1" s="220">
      <c r="A198" s="1" t="n"/>
      <c r="B198" s="1" t="n"/>
      <c r="C198" s="2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</row>
    <row r="199" ht="16.5" customHeight="1" s="220">
      <c r="A199" s="1" t="n"/>
      <c r="B199" s="1" t="n"/>
      <c r="C199" s="2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</row>
    <row r="200" ht="16.5" customHeight="1" s="220">
      <c r="A200" s="1" t="n"/>
      <c r="B200" s="1" t="n"/>
      <c r="C200" s="2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</row>
    <row r="201" ht="16.5" customHeight="1" s="220">
      <c r="A201" s="1" t="n"/>
      <c r="B201" s="1" t="n"/>
      <c r="C201" s="2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</row>
    <row r="202" ht="16.5" customHeight="1" s="220">
      <c r="A202" s="1" t="n"/>
      <c r="B202" s="1" t="n"/>
      <c r="C202" s="2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</row>
    <row r="203" ht="16.5" customHeight="1" s="220">
      <c r="A203" s="1" t="n"/>
      <c r="B203" s="1" t="n"/>
      <c r="C203" s="2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</row>
    <row r="204" ht="16.5" customHeight="1" s="220">
      <c r="A204" s="1" t="n"/>
      <c r="B204" s="1" t="n"/>
      <c r="C204" s="2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</row>
    <row r="205" ht="16.5" customHeight="1" s="220">
      <c r="A205" s="1" t="n"/>
      <c r="B205" s="1" t="n"/>
      <c r="C205" s="2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</row>
    <row r="206" ht="16.5" customHeight="1" s="220">
      <c r="A206" s="1" t="n"/>
      <c r="B206" s="1" t="n"/>
      <c r="C206" s="2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</row>
    <row r="207" ht="16.5" customHeight="1" s="220">
      <c r="A207" s="1" t="n"/>
      <c r="B207" s="1" t="n"/>
      <c r="C207" s="2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</row>
    <row r="208" ht="16.5" customHeight="1" s="220">
      <c r="A208" s="1" t="n"/>
      <c r="B208" s="1" t="n"/>
      <c r="C208" s="2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</row>
    <row r="209" ht="16.5" customHeight="1" s="220">
      <c r="A209" s="1" t="n"/>
      <c r="B209" s="1" t="n"/>
      <c r="C209" s="2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</row>
    <row r="210" ht="16.5" customHeight="1" s="220">
      <c r="A210" s="1" t="n"/>
      <c r="B210" s="1" t="n"/>
      <c r="C210" s="2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</row>
    <row r="211" ht="16.5" customHeight="1" s="220">
      <c r="A211" s="1" t="n"/>
      <c r="B211" s="1" t="n"/>
      <c r="C211" s="2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</row>
    <row r="212" ht="16.5" customHeight="1" s="220">
      <c r="A212" s="1" t="n"/>
      <c r="B212" s="1" t="n"/>
      <c r="C212" s="2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</row>
    <row r="213" ht="16.5" customHeight="1" s="220">
      <c r="A213" s="1" t="n"/>
      <c r="B213" s="1" t="n"/>
      <c r="C213" s="2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</row>
    <row r="214" ht="16.5" customHeight="1" s="220">
      <c r="A214" s="1" t="n"/>
      <c r="B214" s="1" t="n"/>
      <c r="C214" s="2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</row>
    <row r="215" ht="16.5" customHeight="1" s="220">
      <c r="A215" s="1" t="n"/>
      <c r="B215" s="1" t="n"/>
      <c r="C215" s="2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</row>
    <row r="216" ht="16.5" customHeight="1" s="220">
      <c r="A216" s="1" t="n"/>
      <c r="B216" s="1" t="n"/>
      <c r="C216" s="2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</row>
    <row r="217" ht="16.5" customHeight="1" s="220">
      <c r="A217" s="1" t="n"/>
      <c r="B217" s="1" t="n"/>
      <c r="C217" s="2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</row>
    <row r="218" ht="16.5" customHeight="1" s="220">
      <c r="A218" s="1" t="n"/>
      <c r="B218" s="1" t="n"/>
      <c r="C218" s="2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</row>
    <row r="219" ht="16.5" customHeight="1" s="220">
      <c r="A219" s="1" t="n"/>
      <c r="B219" s="1" t="n"/>
      <c r="C219" s="2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</row>
    <row r="220" ht="16.5" customHeight="1" s="220">
      <c r="A220" s="1" t="n"/>
      <c r="B220" s="1" t="n"/>
      <c r="C220" s="2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</row>
    <row r="221" ht="16.5" customHeight="1" s="220">
      <c r="A221" s="1" t="n"/>
      <c r="B221" s="1" t="n"/>
      <c r="C221" s="2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</row>
    <row r="222" ht="16.5" customHeight="1" s="220">
      <c r="A222" s="1" t="n"/>
      <c r="B222" s="1" t="n"/>
      <c r="C222" s="2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</row>
    <row r="223" ht="16.5" customHeight="1" s="220">
      <c r="A223" s="1" t="n"/>
      <c r="B223" s="1" t="n"/>
      <c r="C223" s="2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</row>
    <row r="224" ht="16.5" customHeight="1" s="220">
      <c r="A224" s="1" t="n"/>
      <c r="B224" s="1" t="n"/>
      <c r="C224" s="2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</row>
    <row r="225" ht="16.5" customHeight="1" s="220">
      <c r="A225" s="1" t="n"/>
      <c r="B225" s="1" t="n"/>
      <c r="C225" s="2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</row>
    <row r="226" ht="16.5" customHeight="1" s="220">
      <c r="A226" s="1" t="n"/>
      <c r="B226" s="1" t="n"/>
      <c r="C226" s="2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</row>
    <row r="227" ht="16.5" customHeight="1" s="220">
      <c r="A227" s="1" t="n"/>
      <c r="B227" s="1" t="n"/>
      <c r="C227" s="2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</row>
    <row r="228" ht="16.5" customHeight="1" s="220">
      <c r="A228" s="1" t="n"/>
      <c r="B228" s="1" t="n"/>
      <c r="C228" s="2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</row>
    <row r="229" ht="16.5" customHeight="1" s="220">
      <c r="A229" s="1" t="n"/>
      <c r="B229" s="1" t="n"/>
      <c r="C229" s="2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</row>
    <row r="230" ht="16.5" customHeight="1" s="220">
      <c r="A230" s="1" t="n"/>
      <c r="B230" s="1" t="n"/>
      <c r="C230" s="2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</row>
    <row r="231" ht="16.5" customHeight="1" s="220">
      <c r="A231" s="1" t="n"/>
      <c r="B231" s="1" t="n"/>
      <c r="C231" s="2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</row>
    <row r="232" ht="16.5" customHeight="1" s="220">
      <c r="A232" s="1" t="n"/>
      <c r="B232" s="1" t="n"/>
      <c r="C232" s="2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</row>
    <row r="233" ht="16.5" customHeight="1" s="220">
      <c r="A233" s="1" t="n"/>
      <c r="B233" s="1" t="n"/>
      <c r="C233" s="2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</row>
    <row r="234" ht="16.5" customHeight="1" s="220">
      <c r="A234" s="1" t="n"/>
      <c r="B234" s="1" t="n"/>
      <c r="C234" s="2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</row>
    <row r="235" ht="16.5" customHeight="1" s="220">
      <c r="A235" s="1" t="n"/>
      <c r="B235" s="1" t="n"/>
      <c r="C235" s="2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</row>
    <row r="236" ht="16.5" customHeight="1" s="220">
      <c r="A236" s="1" t="n"/>
      <c r="B236" s="1" t="n"/>
      <c r="C236" s="2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</row>
    <row r="237" ht="16.5" customHeight="1" s="220">
      <c r="A237" s="1" t="n"/>
      <c r="B237" s="1" t="n"/>
      <c r="C237" s="2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</row>
    <row r="238" ht="16.5" customHeight="1" s="220">
      <c r="A238" s="1" t="n"/>
      <c r="B238" s="1" t="n"/>
      <c r="C238" s="2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</row>
    <row r="239" ht="16.5" customHeight="1" s="220">
      <c r="A239" s="1" t="n"/>
      <c r="B239" s="1" t="n"/>
      <c r="C239" s="2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</row>
    <row r="240" ht="16.5" customHeight="1" s="220">
      <c r="A240" s="1" t="n"/>
      <c r="B240" s="1" t="n"/>
      <c r="C240" s="2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</row>
    <row r="241" ht="16.5" customHeight="1" s="220">
      <c r="A241" s="1" t="n"/>
      <c r="B241" s="1" t="n"/>
      <c r="C241" s="2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</row>
    <row r="242" ht="16.5" customHeight="1" s="220">
      <c r="A242" s="1" t="n"/>
      <c r="B242" s="1" t="n"/>
      <c r="C242" s="2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</row>
    <row r="243" ht="16.5" customHeight="1" s="220">
      <c r="A243" s="1" t="n"/>
      <c r="B243" s="1" t="n"/>
      <c r="C243" s="2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</row>
    <row r="244" ht="16.5" customHeight="1" s="220">
      <c r="A244" s="1" t="n"/>
      <c r="B244" s="1" t="n"/>
      <c r="C244" s="2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</row>
    <row r="245" ht="16.5" customHeight="1" s="220">
      <c r="A245" s="1" t="n"/>
      <c r="B245" s="1" t="n"/>
      <c r="C245" s="2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</row>
    <row r="246" ht="16.5" customHeight="1" s="220">
      <c r="A246" s="1" t="n"/>
      <c r="B246" s="1" t="n"/>
      <c r="C246" s="2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</row>
    <row r="247" ht="16.5" customHeight="1" s="220">
      <c r="A247" s="1" t="n"/>
      <c r="B247" s="1" t="n"/>
      <c r="C247" s="2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</row>
    <row r="248" ht="16.5" customHeight="1" s="220">
      <c r="A248" s="1" t="n"/>
      <c r="B248" s="1" t="n"/>
      <c r="C248" s="2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</row>
    <row r="249" ht="16.5" customHeight="1" s="220">
      <c r="A249" s="1" t="n"/>
      <c r="B249" s="1" t="n"/>
      <c r="C249" s="2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</row>
    <row r="250" ht="16.5" customHeight="1" s="220">
      <c r="A250" s="1" t="n"/>
      <c r="B250" s="1" t="n"/>
      <c r="C250" s="2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</row>
    <row r="251" ht="16.5" customHeight="1" s="220">
      <c r="A251" s="1" t="n"/>
      <c r="B251" s="1" t="n"/>
      <c r="C251" s="2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</row>
    <row r="252" ht="16.5" customHeight="1" s="220">
      <c r="A252" s="1" t="n"/>
      <c r="B252" s="1" t="n"/>
      <c r="C252" s="2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</row>
    <row r="253" ht="16.5" customHeight="1" s="220">
      <c r="A253" s="1" t="n"/>
      <c r="B253" s="1" t="n"/>
      <c r="C253" s="2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</row>
    <row r="254" ht="16.5" customHeight="1" s="220">
      <c r="A254" s="1" t="n"/>
      <c r="B254" s="1" t="n"/>
      <c r="C254" s="2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</row>
    <row r="255" ht="16.5" customHeight="1" s="220">
      <c r="A255" s="1" t="n"/>
      <c r="B255" s="1" t="n"/>
      <c r="C255" s="2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</row>
    <row r="256" ht="16.5" customHeight="1" s="220">
      <c r="A256" s="1" t="n"/>
      <c r="B256" s="1" t="n"/>
      <c r="C256" s="2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</row>
    <row r="257" ht="16.5" customHeight="1" s="220">
      <c r="A257" s="1" t="n"/>
      <c r="B257" s="1" t="n"/>
      <c r="C257" s="2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</row>
    <row r="258" ht="16.5" customHeight="1" s="220">
      <c r="A258" s="1" t="n"/>
      <c r="B258" s="1" t="n"/>
      <c r="C258" s="2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</row>
    <row r="259" ht="16.5" customHeight="1" s="220">
      <c r="A259" s="1" t="n"/>
      <c r="B259" s="1" t="n"/>
      <c r="C259" s="2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</row>
    <row r="260" ht="16.5" customHeight="1" s="220">
      <c r="A260" s="1" t="n"/>
      <c r="B260" s="1" t="n"/>
      <c r="C260" s="2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</row>
    <row r="261" ht="16.5" customHeight="1" s="220">
      <c r="A261" s="1" t="n"/>
      <c r="B261" s="1" t="n"/>
      <c r="C261" s="2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</row>
    <row r="262" ht="16.5" customHeight="1" s="220">
      <c r="A262" s="1" t="n"/>
      <c r="B262" s="1" t="n"/>
      <c r="C262" s="2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</row>
    <row r="263" ht="16.5" customHeight="1" s="220">
      <c r="A263" s="1" t="n"/>
      <c r="B263" s="1" t="n"/>
      <c r="C263" s="2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</row>
    <row r="264" ht="16.5" customHeight="1" s="220">
      <c r="A264" s="1" t="n"/>
      <c r="B264" s="1" t="n"/>
      <c r="C264" s="2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</row>
    <row r="265" ht="16.5" customHeight="1" s="220">
      <c r="A265" s="1" t="n"/>
      <c r="B265" s="1" t="n"/>
      <c r="C265" s="2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</row>
    <row r="266" ht="16.5" customHeight="1" s="220">
      <c r="A266" s="1" t="n"/>
      <c r="B266" s="1" t="n"/>
      <c r="C266" s="2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</row>
    <row r="267" ht="16.5" customHeight="1" s="220">
      <c r="A267" s="1" t="n"/>
      <c r="B267" s="1" t="n"/>
      <c r="C267" s="2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</row>
    <row r="268" ht="16.5" customHeight="1" s="220">
      <c r="A268" s="1" t="n"/>
      <c r="B268" s="1" t="n"/>
      <c r="C268" s="2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</row>
    <row r="269" ht="16.5" customHeight="1" s="220">
      <c r="A269" s="1" t="n"/>
      <c r="B269" s="1" t="n"/>
      <c r="C269" s="2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</row>
    <row r="270" ht="16.5" customHeight="1" s="220">
      <c r="A270" s="1" t="n"/>
      <c r="B270" s="1" t="n"/>
      <c r="C270" s="2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</row>
    <row r="271" ht="16.5" customHeight="1" s="220">
      <c r="A271" s="1" t="n"/>
      <c r="B271" s="1" t="n"/>
      <c r="C271" s="2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</row>
    <row r="272" ht="16.5" customHeight="1" s="220">
      <c r="A272" s="1" t="n"/>
      <c r="B272" s="1" t="n"/>
      <c r="C272" s="2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</row>
    <row r="273" ht="16.5" customHeight="1" s="220">
      <c r="A273" s="1" t="n"/>
      <c r="B273" s="1" t="n"/>
      <c r="C273" s="2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</row>
    <row r="274" ht="16.5" customHeight="1" s="220">
      <c r="A274" s="1" t="n"/>
      <c r="B274" s="1" t="n"/>
      <c r="C274" s="2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</row>
    <row r="275" ht="16.5" customHeight="1" s="220">
      <c r="A275" s="1" t="n"/>
      <c r="B275" s="1" t="n"/>
      <c r="C275" s="2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</row>
    <row r="276" ht="16.5" customHeight="1" s="220">
      <c r="A276" s="1" t="n"/>
      <c r="B276" s="1" t="n"/>
      <c r="C276" s="2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</row>
    <row r="277" ht="16.5" customHeight="1" s="220">
      <c r="A277" s="1" t="n"/>
      <c r="B277" s="1" t="n"/>
      <c r="C277" s="2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</row>
    <row r="278" ht="16.5" customHeight="1" s="220">
      <c r="A278" s="1" t="n"/>
      <c r="B278" s="1" t="n"/>
      <c r="C278" s="2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</row>
    <row r="279" ht="16.5" customHeight="1" s="220">
      <c r="A279" s="1" t="n"/>
      <c r="B279" s="1" t="n"/>
      <c r="C279" s="2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</row>
    <row r="280" ht="16.5" customHeight="1" s="220">
      <c r="A280" s="1" t="n"/>
      <c r="B280" s="1" t="n"/>
      <c r="C280" s="2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</row>
    <row r="281" ht="16.5" customHeight="1" s="220">
      <c r="A281" s="1" t="n"/>
      <c r="B281" s="1" t="n"/>
      <c r="C281" s="2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</row>
    <row r="282" ht="16.5" customHeight="1" s="220">
      <c r="A282" s="1" t="n"/>
      <c r="B282" s="1" t="n"/>
      <c r="C282" s="2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</row>
    <row r="283" ht="16.5" customHeight="1" s="220">
      <c r="A283" s="1" t="n"/>
      <c r="B283" s="1" t="n"/>
      <c r="C283" s="2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</row>
    <row r="284" ht="16.5" customHeight="1" s="220">
      <c r="A284" s="1" t="n"/>
      <c r="B284" s="1" t="n"/>
      <c r="C284" s="2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</row>
    <row r="285" ht="16.5" customHeight="1" s="220">
      <c r="A285" s="1" t="n"/>
      <c r="B285" s="1" t="n"/>
      <c r="C285" s="2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</row>
    <row r="286" ht="16.5" customHeight="1" s="220">
      <c r="A286" s="1" t="n"/>
      <c r="B286" s="1" t="n"/>
      <c r="C286" s="2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</row>
    <row r="287" ht="16.5" customHeight="1" s="220">
      <c r="A287" s="1" t="n"/>
      <c r="B287" s="1" t="n"/>
      <c r="C287" s="2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</row>
    <row r="288" ht="16.5" customHeight="1" s="220">
      <c r="A288" s="1" t="n"/>
      <c r="B288" s="1" t="n"/>
      <c r="C288" s="2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</row>
    <row r="289" ht="16.5" customHeight="1" s="220">
      <c r="A289" s="1" t="n"/>
      <c r="B289" s="1" t="n"/>
      <c r="C289" s="2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</row>
    <row r="290" ht="16.5" customHeight="1" s="220">
      <c r="A290" s="1" t="n"/>
      <c r="B290" s="1" t="n"/>
      <c r="C290" s="2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</row>
    <row r="291" ht="16.5" customHeight="1" s="220">
      <c r="A291" s="1" t="n"/>
      <c r="B291" s="1" t="n"/>
      <c r="C291" s="2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</row>
    <row r="292" ht="16.5" customHeight="1" s="220">
      <c r="A292" s="1" t="n"/>
      <c r="B292" s="1" t="n"/>
      <c r="C292" s="2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</row>
    <row r="293" ht="16.5" customHeight="1" s="220">
      <c r="A293" s="1" t="n"/>
      <c r="B293" s="1" t="n"/>
      <c r="C293" s="2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</row>
    <row r="294" ht="16.5" customHeight="1" s="220">
      <c r="A294" s="1" t="n"/>
      <c r="B294" s="1" t="n"/>
      <c r="C294" s="2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</row>
    <row r="295" ht="16.5" customHeight="1" s="220">
      <c r="A295" s="1" t="n"/>
      <c r="B295" s="1" t="n"/>
      <c r="C295" s="2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</row>
    <row r="296" ht="16.5" customHeight="1" s="220">
      <c r="A296" s="1" t="n"/>
      <c r="B296" s="1" t="n"/>
      <c r="C296" s="2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</row>
    <row r="297" ht="16.5" customHeight="1" s="220">
      <c r="A297" s="1" t="n"/>
      <c r="B297" s="1" t="n"/>
      <c r="C297" s="2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</row>
    <row r="298" ht="16.5" customHeight="1" s="220">
      <c r="A298" s="1" t="n"/>
      <c r="B298" s="1" t="n"/>
      <c r="C298" s="2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</row>
    <row r="299" ht="16.5" customHeight="1" s="220">
      <c r="A299" s="1" t="n"/>
      <c r="B299" s="1" t="n"/>
      <c r="C299" s="2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</row>
    <row r="300" ht="16.5" customHeight="1" s="220">
      <c r="A300" s="1" t="n"/>
      <c r="B300" s="1" t="n"/>
      <c r="C300" s="2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</row>
    <row r="301" ht="16.5" customHeight="1" s="220">
      <c r="A301" s="1" t="n"/>
      <c r="B301" s="1" t="n"/>
      <c r="C301" s="2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</row>
    <row r="302" ht="16.5" customHeight="1" s="220">
      <c r="A302" s="1" t="n"/>
      <c r="B302" s="1" t="n"/>
      <c r="C302" s="2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</row>
    <row r="303" ht="16.5" customHeight="1" s="220">
      <c r="A303" s="1" t="n"/>
      <c r="B303" s="1" t="n"/>
      <c r="C303" s="2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</row>
    <row r="304" ht="16.5" customHeight="1" s="220">
      <c r="A304" s="1" t="n"/>
      <c r="B304" s="1" t="n"/>
      <c r="C304" s="2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</row>
    <row r="305" ht="16.5" customHeight="1" s="220">
      <c r="A305" s="1" t="n"/>
      <c r="B305" s="1" t="n"/>
      <c r="C305" s="2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</row>
    <row r="306" ht="16.5" customHeight="1" s="220">
      <c r="A306" s="1" t="n"/>
      <c r="B306" s="1" t="n"/>
      <c r="C306" s="2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</row>
    <row r="307" ht="16.5" customHeight="1" s="220">
      <c r="A307" s="1" t="n"/>
      <c r="B307" s="1" t="n"/>
      <c r="C307" s="2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</row>
    <row r="308" ht="16.5" customHeight="1" s="220">
      <c r="A308" s="1" t="n"/>
      <c r="B308" s="1" t="n"/>
      <c r="C308" s="2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</row>
    <row r="309" ht="16.5" customHeight="1" s="220">
      <c r="A309" s="1" t="n"/>
      <c r="B309" s="1" t="n"/>
      <c r="C309" s="2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</row>
    <row r="310" ht="16.5" customHeight="1" s="220">
      <c r="A310" s="1" t="n"/>
      <c r="B310" s="1" t="n"/>
      <c r="C310" s="2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</row>
    <row r="311" ht="16.5" customHeight="1" s="220">
      <c r="A311" s="1" t="n"/>
      <c r="B311" s="1" t="n"/>
      <c r="C311" s="2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</row>
    <row r="312" ht="16.5" customHeight="1" s="220">
      <c r="A312" s="1" t="n"/>
      <c r="B312" s="1" t="n"/>
      <c r="C312" s="2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</row>
    <row r="313" ht="16.5" customHeight="1" s="220">
      <c r="A313" s="1" t="n"/>
      <c r="B313" s="1" t="n"/>
      <c r="C313" s="2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</row>
    <row r="314" ht="16.5" customHeight="1" s="220">
      <c r="A314" s="1" t="n"/>
      <c r="B314" s="1" t="n"/>
      <c r="C314" s="2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</row>
    <row r="315" ht="16.5" customHeight="1" s="220">
      <c r="A315" s="1" t="n"/>
      <c r="B315" s="1" t="n"/>
      <c r="C315" s="2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</row>
    <row r="316" ht="16.5" customHeight="1" s="220">
      <c r="A316" s="1" t="n"/>
      <c r="B316" s="1" t="n"/>
      <c r="C316" s="2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</row>
    <row r="317" ht="16.5" customHeight="1" s="220">
      <c r="A317" s="1" t="n"/>
      <c r="B317" s="1" t="n"/>
      <c r="C317" s="2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</row>
    <row r="318" ht="16.5" customHeight="1" s="220">
      <c r="A318" s="1" t="n"/>
      <c r="B318" s="1" t="n"/>
      <c r="C318" s="2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</row>
    <row r="319" ht="16.5" customHeight="1" s="220">
      <c r="A319" s="1" t="n"/>
      <c r="B319" s="1" t="n"/>
      <c r="C319" s="2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</row>
    <row r="320" ht="16.5" customHeight="1" s="220">
      <c r="A320" s="1" t="n"/>
      <c r="B320" s="1" t="n"/>
      <c r="C320" s="2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</row>
    <row r="321" ht="16.5" customHeight="1" s="220">
      <c r="A321" s="1" t="n"/>
      <c r="B321" s="1" t="n"/>
      <c r="C321" s="2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</row>
    <row r="322" ht="16.5" customHeight="1" s="220">
      <c r="A322" s="1" t="n"/>
      <c r="B322" s="1" t="n"/>
      <c r="C322" s="2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</row>
    <row r="323" ht="16.5" customHeight="1" s="220">
      <c r="A323" s="1" t="n"/>
      <c r="B323" s="1" t="n"/>
      <c r="C323" s="2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</row>
    <row r="324" ht="16.5" customHeight="1" s="220">
      <c r="A324" s="1" t="n"/>
      <c r="B324" s="1" t="n"/>
      <c r="C324" s="2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</row>
    <row r="325" ht="16.5" customHeight="1" s="220">
      <c r="A325" s="1" t="n"/>
      <c r="B325" s="1" t="n"/>
      <c r="C325" s="2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</row>
    <row r="326" ht="16.5" customHeight="1" s="220">
      <c r="A326" s="1" t="n"/>
      <c r="B326" s="1" t="n"/>
      <c r="C326" s="2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</row>
    <row r="327" ht="16.5" customHeight="1" s="220">
      <c r="A327" s="1" t="n"/>
      <c r="B327" s="1" t="n"/>
      <c r="C327" s="2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</row>
    <row r="328" ht="16.5" customHeight="1" s="220">
      <c r="A328" s="1" t="n"/>
      <c r="B328" s="1" t="n"/>
      <c r="C328" s="2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</row>
    <row r="329" ht="16.5" customHeight="1" s="220">
      <c r="A329" s="1" t="n"/>
      <c r="B329" s="1" t="n"/>
      <c r="C329" s="2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</row>
    <row r="330" ht="16.5" customHeight="1" s="220">
      <c r="A330" s="1" t="n"/>
      <c r="B330" s="1" t="n"/>
      <c r="C330" s="2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</row>
    <row r="331" ht="16.5" customHeight="1" s="220">
      <c r="A331" s="1" t="n"/>
      <c r="B331" s="1" t="n"/>
      <c r="C331" s="2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</row>
    <row r="332" ht="16.5" customHeight="1" s="220">
      <c r="A332" s="1" t="n"/>
      <c r="B332" s="1" t="n"/>
      <c r="C332" s="2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</row>
    <row r="333" ht="16.5" customHeight="1" s="220">
      <c r="A333" s="1" t="n"/>
      <c r="B333" s="1" t="n"/>
      <c r="C333" s="2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</row>
    <row r="334" ht="16.5" customHeight="1" s="220">
      <c r="A334" s="1" t="n"/>
      <c r="B334" s="1" t="n"/>
      <c r="C334" s="2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</row>
    <row r="335" ht="16.5" customHeight="1" s="220">
      <c r="A335" s="1" t="n"/>
      <c r="B335" s="1" t="n"/>
      <c r="C335" s="2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</row>
    <row r="336" ht="16.5" customHeight="1" s="220">
      <c r="A336" s="1" t="n"/>
      <c r="B336" s="1" t="n"/>
      <c r="C336" s="2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</row>
    <row r="337" ht="16.5" customHeight="1" s="220">
      <c r="A337" s="1" t="n"/>
      <c r="B337" s="1" t="n"/>
      <c r="C337" s="2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</row>
    <row r="338" ht="16.5" customHeight="1" s="220">
      <c r="A338" s="1" t="n"/>
      <c r="B338" s="1" t="n"/>
      <c r="C338" s="2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</row>
    <row r="339" ht="16.5" customHeight="1" s="220">
      <c r="A339" s="1" t="n"/>
      <c r="B339" s="1" t="n"/>
      <c r="C339" s="2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</row>
    <row r="340" ht="16.5" customHeight="1" s="220">
      <c r="A340" s="1" t="n"/>
      <c r="B340" s="1" t="n"/>
      <c r="C340" s="2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</row>
    <row r="341" ht="16.5" customHeight="1" s="220">
      <c r="A341" s="1" t="n"/>
      <c r="B341" s="1" t="n"/>
      <c r="C341" s="2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</row>
    <row r="342" ht="16.5" customHeight="1" s="220">
      <c r="A342" s="1" t="n"/>
      <c r="B342" s="1" t="n"/>
      <c r="C342" s="2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</row>
    <row r="343" ht="16.5" customHeight="1" s="220">
      <c r="A343" s="1" t="n"/>
      <c r="B343" s="1" t="n"/>
      <c r="C343" s="2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</row>
    <row r="344" ht="16.5" customHeight="1" s="220">
      <c r="A344" s="1" t="n"/>
      <c r="B344" s="1" t="n"/>
      <c r="C344" s="2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</row>
    <row r="345" ht="16.5" customHeight="1" s="220">
      <c r="A345" s="1" t="n"/>
      <c r="B345" s="1" t="n"/>
      <c r="C345" s="2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</row>
    <row r="346" ht="16.5" customHeight="1" s="220">
      <c r="A346" s="1" t="n"/>
      <c r="B346" s="1" t="n"/>
      <c r="C346" s="2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</row>
    <row r="347" ht="16.5" customHeight="1" s="220">
      <c r="A347" s="1" t="n"/>
      <c r="B347" s="1" t="n"/>
      <c r="C347" s="2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</row>
    <row r="348" ht="16.5" customHeight="1" s="220">
      <c r="A348" s="1" t="n"/>
      <c r="B348" s="1" t="n"/>
      <c r="C348" s="2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</row>
    <row r="349" ht="16.5" customHeight="1" s="220">
      <c r="A349" s="1" t="n"/>
      <c r="B349" s="1" t="n"/>
      <c r="C349" s="2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</row>
    <row r="350" ht="16.5" customHeight="1" s="220">
      <c r="A350" s="1" t="n"/>
      <c r="B350" s="1" t="n"/>
      <c r="C350" s="2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</row>
    <row r="351" ht="16.5" customHeight="1" s="220">
      <c r="A351" s="1" t="n"/>
      <c r="B351" s="1" t="n"/>
      <c r="C351" s="2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</row>
    <row r="352" ht="16.5" customHeight="1" s="220">
      <c r="A352" s="1" t="n"/>
      <c r="B352" s="1" t="n"/>
      <c r="C352" s="2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</row>
    <row r="353" ht="16.5" customHeight="1" s="220">
      <c r="A353" s="1" t="n"/>
      <c r="B353" s="1" t="n"/>
      <c r="C353" s="2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</row>
    <row r="354" ht="16.5" customHeight="1" s="220">
      <c r="A354" s="1" t="n"/>
      <c r="B354" s="1" t="n"/>
      <c r="C354" s="2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</row>
    <row r="355" ht="16.5" customHeight="1" s="220">
      <c r="A355" s="1" t="n"/>
      <c r="B355" s="1" t="n"/>
      <c r="C355" s="2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</row>
    <row r="356" ht="16.5" customHeight="1" s="220">
      <c r="A356" s="1" t="n"/>
      <c r="B356" s="1" t="n"/>
      <c r="C356" s="2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</row>
    <row r="357" ht="16.5" customHeight="1" s="220">
      <c r="A357" s="1" t="n"/>
      <c r="B357" s="1" t="n"/>
      <c r="C357" s="2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</row>
    <row r="358" ht="16.5" customHeight="1" s="220">
      <c r="A358" s="1" t="n"/>
      <c r="B358" s="1" t="n"/>
      <c r="C358" s="2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</row>
    <row r="359" ht="16.5" customHeight="1" s="220">
      <c r="A359" s="1" t="n"/>
      <c r="B359" s="1" t="n"/>
      <c r="C359" s="2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</row>
    <row r="360" ht="16.5" customHeight="1" s="220">
      <c r="A360" s="1" t="n"/>
      <c r="B360" s="1" t="n"/>
      <c r="C360" s="2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</row>
    <row r="361" ht="16.5" customHeight="1" s="220">
      <c r="A361" s="1" t="n"/>
      <c r="B361" s="1" t="n"/>
      <c r="C361" s="2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</row>
    <row r="362" ht="16.5" customHeight="1" s="220">
      <c r="A362" s="1" t="n"/>
      <c r="B362" s="1" t="n"/>
      <c r="C362" s="2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</row>
    <row r="363" ht="16.5" customHeight="1" s="220">
      <c r="A363" s="1" t="n"/>
      <c r="B363" s="1" t="n"/>
      <c r="C363" s="2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</row>
    <row r="364" ht="16.5" customHeight="1" s="220">
      <c r="A364" s="1" t="n"/>
      <c r="B364" s="1" t="n"/>
      <c r="C364" s="2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</row>
    <row r="365" ht="16.5" customHeight="1" s="220">
      <c r="A365" s="1" t="n"/>
      <c r="B365" s="1" t="n"/>
      <c r="C365" s="2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</row>
    <row r="366" ht="16.5" customHeight="1" s="220">
      <c r="A366" s="1" t="n"/>
      <c r="B366" s="1" t="n"/>
      <c r="C366" s="2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</row>
    <row r="367" ht="16.5" customHeight="1" s="220">
      <c r="A367" s="1" t="n"/>
      <c r="B367" s="1" t="n"/>
      <c r="C367" s="2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</row>
    <row r="368" ht="16.5" customHeight="1" s="220">
      <c r="A368" s="1" t="n"/>
      <c r="B368" s="1" t="n"/>
      <c r="C368" s="2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</row>
    <row r="369" ht="16.5" customHeight="1" s="220">
      <c r="A369" s="1" t="n"/>
      <c r="B369" s="1" t="n"/>
      <c r="C369" s="2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</row>
    <row r="370" ht="16.5" customHeight="1" s="220">
      <c r="A370" s="1" t="n"/>
      <c r="B370" s="1" t="n"/>
      <c r="C370" s="2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</row>
    <row r="371" ht="16.5" customHeight="1" s="220">
      <c r="A371" s="1" t="n"/>
      <c r="B371" s="1" t="n"/>
      <c r="C371" s="2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</row>
    <row r="372" ht="16.5" customHeight="1" s="220">
      <c r="A372" s="1" t="n"/>
      <c r="B372" s="1" t="n"/>
      <c r="C372" s="2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</row>
    <row r="373" ht="16.5" customHeight="1" s="220">
      <c r="A373" s="1" t="n"/>
      <c r="B373" s="1" t="n"/>
      <c r="C373" s="2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</row>
    <row r="374" ht="16.5" customHeight="1" s="220">
      <c r="A374" s="1" t="n"/>
      <c r="B374" s="1" t="n"/>
      <c r="C374" s="2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</row>
    <row r="375" ht="16.5" customHeight="1" s="220">
      <c r="A375" s="1" t="n"/>
      <c r="B375" s="1" t="n"/>
      <c r="C375" s="2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</row>
    <row r="376" ht="16.5" customHeight="1" s="220">
      <c r="A376" s="1" t="n"/>
      <c r="B376" s="1" t="n"/>
      <c r="C376" s="2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</row>
    <row r="377" ht="16.5" customHeight="1" s="220">
      <c r="A377" s="1" t="n"/>
      <c r="B377" s="1" t="n"/>
      <c r="C377" s="2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</row>
    <row r="378" ht="16.5" customHeight="1" s="220">
      <c r="A378" s="1" t="n"/>
      <c r="B378" s="1" t="n"/>
      <c r="C378" s="2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</row>
    <row r="379" ht="16.5" customHeight="1" s="220">
      <c r="A379" s="1" t="n"/>
      <c r="B379" s="1" t="n"/>
      <c r="C379" s="2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</row>
    <row r="380" ht="16.5" customHeight="1" s="220">
      <c r="A380" s="1" t="n"/>
      <c r="B380" s="1" t="n"/>
      <c r="C380" s="2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</row>
    <row r="381" ht="16.5" customHeight="1" s="220">
      <c r="A381" s="1" t="n"/>
      <c r="B381" s="1" t="n"/>
      <c r="C381" s="2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</row>
    <row r="382" ht="16.5" customHeight="1" s="220">
      <c r="A382" s="1" t="n"/>
      <c r="B382" s="1" t="n"/>
      <c r="C382" s="2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</row>
    <row r="383" ht="16.5" customHeight="1" s="220">
      <c r="A383" s="1" t="n"/>
      <c r="B383" s="1" t="n"/>
      <c r="C383" s="2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</row>
    <row r="384" ht="16.5" customHeight="1" s="220">
      <c r="A384" s="1" t="n"/>
      <c r="B384" s="1" t="n"/>
      <c r="C384" s="2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</row>
    <row r="385" ht="16.5" customHeight="1" s="220">
      <c r="A385" s="1" t="n"/>
      <c r="B385" s="1" t="n"/>
      <c r="C385" s="2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</row>
    <row r="386" ht="16.5" customHeight="1" s="220">
      <c r="A386" s="1" t="n"/>
      <c r="B386" s="1" t="n"/>
      <c r="C386" s="2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</row>
    <row r="387" ht="16.5" customHeight="1" s="220">
      <c r="A387" s="1" t="n"/>
      <c r="B387" s="1" t="n"/>
      <c r="C387" s="2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</row>
    <row r="388" ht="16.5" customHeight="1" s="220">
      <c r="A388" s="1" t="n"/>
      <c r="B388" s="1" t="n"/>
      <c r="C388" s="2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</row>
    <row r="389" ht="16.5" customHeight="1" s="220">
      <c r="A389" s="1" t="n"/>
      <c r="B389" s="1" t="n"/>
      <c r="C389" s="2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</row>
    <row r="390" ht="16.5" customHeight="1" s="220">
      <c r="A390" s="1" t="n"/>
      <c r="B390" s="1" t="n"/>
      <c r="C390" s="2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</row>
    <row r="391" ht="16.5" customHeight="1" s="220">
      <c r="A391" s="1" t="n"/>
      <c r="B391" s="1" t="n"/>
      <c r="C391" s="2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</row>
    <row r="392" ht="16.5" customHeight="1" s="220">
      <c r="A392" s="1" t="n"/>
      <c r="B392" s="1" t="n"/>
      <c r="C392" s="2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</row>
    <row r="393" ht="16.5" customHeight="1" s="220">
      <c r="A393" s="1" t="n"/>
      <c r="B393" s="1" t="n"/>
      <c r="C393" s="2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</row>
    <row r="394" ht="16.5" customHeight="1" s="220">
      <c r="A394" s="1" t="n"/>
      <c r="B394" s="1" t="n"/>
      <c r="C394" s="2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</row>
    <row r="395" ht="16.5" customHeight="1" s="220">
      <c r="A395" s="1" t="n"/>
      <c r="B395" s="1" t="n"/>
      <c r="C395" s="2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</row>
    <row r="396" ht="16.5" customHeight="1" s="220">
      <c r="A396" s="1" t="n"/>
      <c r="B396" s="1" t="n"/>
      <c r="C396" s="2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</row>
    <row r="397" ht="16.5" customHeight="1" s="220">
      <c r="A397" s="1" t="n"/>
      <c r="B397" s="1" t="n"/>
      <c r="C397" s="2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</row>
    <row r="398" ht="16.5" customHeight="1" s="220">
      <c r="A398" s="1" t="n"/>
      <c r="B398" s="1" t="n"/>
      <c r="C398" s="2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</row>
    <row r="399" ht="16.5" customHeight="1" s="220">
      <c r="A399" s="1" t="n"/>
      <c r="B399" s="1" t="n"/>
      <c r="C399" s="2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</row>
    <row r="400" ht="16.5" customHeight="1" s="220">
      <c r="A400" s="1" t="n"/>
      <c r="B400" s="1" t="n"/>
      <c r="C400" s="2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</row>
    <row r="401" ht="16.5" customHeight="1" s="220">
      <c r="A401" s="1" t="n"/>
      <c r="B401" s="1" t="n"/>
      <c r="C401" s="2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</row>
    <row r="402" ht="16.5" customHeight="1" s="220">
      <c r="A402" s="1" t="n"/>
      <c r="B402" s="1" t="n"/>
      <c r="C402" s="2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</row>
    <row r="403" ht="16.5" customHeight="1" s="220">
      <c r="A403" s="1" t="n"/>
      <c r="B403" s="1" t="n"/>
      <c r="C403" s="2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</row>
    <row r="404" ht="16.5" customHeight="1" s="220">
      <c r="A404" s="1" t="n"/>
      <c r="B404" s="1" t="n"/>
      <c r="C404" s="2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</row>
    <row r="405" ht="16.5" customHeight="1" s="220">
      <c r="A405" s="1" t="n"/>
      <c r="B405" s="1" t="n"/>
      <c r="C405" s="2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</row>
    <row r="406" ht="16.5" customHeight="1" s="220">
      <c r="A406" s="1" t="n"/>
      <c r="B406" s="1" t="n"/>
      <c r="C406" s="2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</row>
    <row r="407" ht="16.5" customHeight="1" s="220">
      <c r="A407" s="1" t="n"/>
      <c r="B407" s="1" t="n"/>
      <c r="C407" s="2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</row>
    <row r="408" ht="16.5" customHeight="1" s="220">
      <c r="A408" s="1" t="n"/>
      <c r="B408" s="1" t="n"/>
      <c r="C408" s="2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</row>
    <row r="409" ht="16.5" customHeight="1" s="220">
      <c r="A409" s="1" t="n"/>
      <c r="B409" s="1" t="n"/>
      <c r="C409" s="2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</row>
    <row r="410" ht="16.5" customHeight="1" s="220">
      <c r="A410" s="1" t="n"/>
      <c r="B410" s="1" t="n"/>
      <c r="C410" s="2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</row>
    <row r="411" ht="16.5" customHeight="1" s="220">
      <c r="A411" s="1" t="n"/>
      <c r="B411" s="1" t="n"/>
      <c r="C411" s="2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</row>
    <row r="412" ht="16.5" customHeight="1" s="220">
      <c r="A412" s="1" t="n"/>
      <c r="B412" s="1" t="n"/>
      <c r="C412" s="2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</row>
    <row r="413" ht="16.5" customHeight="1" s="220">
      <c r="A413" s="1" t="n"/>
      <c r="B413" s="1" t="n"/>
      <c r="C413" s="2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</row>
    <row r="414" ht="16.5" customHeight="1" s="220">
      <c r="A414" s="1" t="n"/>
      <c r="B414" s="1" t="n"/>
      <c r="C414" s="2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</row>
    <row r="415" ht="16.5" customHeight="1" s="220">
      <c r="A415" s="1" t="n"/>
      <c r="B415" s="1" t="n"/>
      <c r="C415" s="2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</row>
    <row r="416" ht="16.5" customHeight="1" s="220">
      <c r="A416" s="1" t="n"/>
      <c r="B416" s="1" t="n"/>
      <c r="C416" s="2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</row>
    <row r="417" ht="16.5" customHeight="1" s="220">
      <c r="A417" s="1" t="n"/>
      <c r="B417" s="1" t="n"/>
      <c r="C417" s="2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</row>
    <row r="418" ht="16.5" customHeight="1" s="220">
      <c r="A418" s="1" t="n"/>
      <c r="B418" s="1" t="n"/>
      <c r="C418" s="2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</row>
    <row r="419" ht="16.5" customHeight="1" s="220">
      <c r="A419" s="1" t="n"/>
      <c r="B419" s="1" t="n"/>
      <c r="C419" s="2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</row>
    <row r="420" ht="16.5" customHeight="1" s="220">
      <c r="A420" s="1" t="n"/>
      <c r="B420" s="1" t="n"/>
      <c r="C420" s="2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</row>
    <row r="421" ht="16.5" customHeight="1" s="220">
      <c r="A421" s="1" t="n"/>
      <c r="B421" s="1" t="n"/>
      <c r="C421" s="2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</row>
    <row r="422" ht="16.5" customHeight="1" s="220">
      <c r="A422" s="1" t="n"/>
      <c r="B422" s="1" t="n"/>
      <c r="C422" s="2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</row>
    <row r="423" ht="16.5" customHeight="1" s="220">
      <c r="A423" s="1" t="n"/>
      <c r="B423" s="1" t="n"/>
      <c r="C423" s="2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</row>
    <row r="424" ht="16.5" customHeight="1" s="220">
      <c r="A424" s="1" t="n"/>
      <c r="B424" s="1" t="n"/>
      <c r="C424" s="2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</row>
    <row r="425" ht="16.5" customHeight="1" s="220">
      <c r="A425" s="1" t="n"/>
      <c r="B425" s="1" t="n"/>
      <c r="C425" s="2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</row>
    <row r="426" ht="16.5" customHeight="1" s="220">
      <c r="A426" s="1" t="n"/>
      <c r="B426" s="1" t="n"/>
      <c r="C426" s="2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</row>
    <row r="427" ht="16.5" customHeight="1" s="220">
      <c r="A427" s="1" t="n"/>
      <c r="B427" s="1" t="n"/>
      <c r="C427" s="2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</row>
    <row r="428" ht="16.5" customHeight="1" s="220">
      <c r="A428" s="1" t="n"/>
      <c r="B428" s="1" t="n"/>
      <c r="C428" s="2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</row>
    <row r="429" ht="16.5" customHeight="1" s="220">
      <c r="A429" s="1" t="n"/>
      <c r="B429" s="1" t="n"/>
      <c r="C429" s="2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</row>
    <row r="430" ht="16.5" customHeight="1" s="220">
      <c r="A430" s="1" t="n"/>
      <c r="B430" s="1" t="n"/>
      <c r="C430" s="2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</row>
    <row r="431" ht="16.5" customHeight="1" s="220">
      <c r="A431" s="1" t="n"/>
      <c r="B431" s="1" t="n"/>
      <c r="C431" s="2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</row>
    <row r="432" ht="16.5" customHeight="1" s="220">
      <c r="A432" s="1" t="n"/>
      <c r="B432" s="1" t="n"/>
      <c r="C432" s="2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</row>
    <row r="433" ht="16.5" customHeight="1" s="220">
      <c r="A433" s="1" t="n"/>
      <c r="B433" s="1" t="n"/>
      <c r="C433" s="2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</row>
    <row r="434" ht="16.5" customHeight="1" s="220">
      <c r="A434" s="1" t="n"/>
      <c r="B434" s="1" t="n"/>
      <c r="C434" s="2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</row>
    <row r="435" ht="16.5" customHeight="1" s="220">
      <c r="A435" s="1" t="n"/>
      <c r="B435" s="1" t="n"/>
      <c r="C435" s="2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</row>
    <row r="436" ht="16.5" customHeight="1" s="220">
      <c r="A436" s="1" t="n"/>
      <c r="B436" s="1" t="n"/>
      <c r="C436" s="2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</row>
    <row r="437" ht="16.5" customHeight="1" s="220">
      <c r="A437" s="1" t="n"/>
      <c r="B437" s="1" t="n"/>
      <c r="C437" s="2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</row>
    <row r="438" ht="16.5" customHeight="1" s="220">
      <c r="A438" s="1" t="n"/>
      <c r="B438" s="1" t="n"/>
      <c r="C438" s="2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</row>
    <row r="439" ht="16.5" customHeight="1" s="220">
      <c r="A439" s="1" t="n"/>
      <c r="B439" s="1" t="n"/>
      <c r="C439" s="2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</row>
    <row r="440" ht="16.5" customHeight="1" s="220">
      <c r="A440" s="1" t="n"/>
      <c r="B440" s="1" t="n"/>
      <c r="C440" s="2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</row>
    <row r="441" ht="16.5" customHeight="1" s="220">
      <c r="A441" s="1" t="n"/>
      <c r="B441" s="1" t="n"/>
      <c r="C441" s="2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</row>
    <row r="442" ht="16.5" customHeight="1" s="220">
      <c r="A442" s="1" t="n"/>
      <c r="B442" s="1" t="n"/>
      <c r="C442" s="2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</row>
    <row r="443" ht="16.5" customHeight="1" s="220">
      <c r="A443" s="1" t="n"/>
      <c r="B443" s="1" t="n"/>
      <c r="C443" s="2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</row>
    <row r="444" ht="16.5" customHeight="1" s="220">
      <c r="A444" s="1" t="n"/>
      <c r="B444" s="1" t="n"/>
      <c r="C444" s="2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</row>
    <row r="445" ht="16.5" customHeight="1" s="220">
      <c r="A445" s="1" t="n"/>
      <c r="B445" s="1" t="n"/>
      <c r="C445" s="2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</row>
    <row r="446" ht="16.5" customHeight="1" s="220">
      <c r="A446" s="1" t="n"/>
      <c r="B446" s="1" t="n"/>
      <c r="C446" s="2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</row>
    <row r="447" ht="16.5" customHeight="1" s="220">
      <c r="A447" s="1" t="n"/>
      <c r="B447" s="1" t="n"/>
      <c r="C447" s="2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</row>
    <row r="448" ht="16.5" customHeight="1" s="220">
      <c r="A448" s="1" t="n"/>
      <c r="B448" s="1" t="n"/>
      <c r="C448" s="2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</row>
    <row r="449" ht="16.5" customHeight="1" s="220">
      <c r="A449" s="1" t="n"/>
      <c r="B449" s="1" t="n"/>
      <c r="C449" s="2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</row>
    <row r="450" ht="16.5" customHeight="1" s="220">
      <c r="A450" s="1" t="n"/>
      <c r="B450" s="1" t="n"/>
      <c r="C450" s="2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</row>
    <row r="451" ht="16.5" customHeight="1" s="220">
      <c r="A451" s="1" t="n"/>
      <c r="B451" s="1" t="n"/>
      <c r="C451" s="2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</row>
    <row r="452" ht="16.5" customHeight="1" s="220">
      <c r="A452" s="1" t="n"/>
      <c r="B452" s="1" t="n"/>
      <c r="C452" s="2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</row>
    <row r="453" ht="16.5" customHeight="1" s="220">
      <c r="A453" s="1" t="n"/>
      <c r="B453" s="1" t="n"/>
      <c r="C453" s="2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</row>
    <row r="454" ht="16.5" customHeight="1" s="220">
      <c r="A454" s="1" t="n"/>
      <c r="B454" s="1" t="n"/>
      <c r="C454" s="2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</row>
    <row r="455" ht="16.5" customHeight="1" s="220">
      <c r="A455" s="1" t="n"/>
      <c r="B455" s="1" t="n"/>
      <c r="C455" s="2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</row>
    <row r="456" ht="16.5" customHeight="1" s="220">
      <c r="A456" s="1" t="n"/>
      <c r="B456" s="1" t="n"/>
      <c r="C456" s="2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</row>
    <row r="457" ht="16.5" customHeight="1" s="220">
      <c r="A457" s="1" t="n"/>
      <c r="B457" s="1" t="n"/>
      <c r="C457" s="2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</row>
    <row r="458" ht="16.5" customHeight="1" s="220">
      <c r="A458" s="1" t="n"/>
      <c r="B458" s="1" t="n"/>
      <c r="C458" s="2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</row>
    <row r="459" ht="16.5" customHeight="1" s="220">
      <c r="A459" s="1" t="n"/>
      <c r="B459" s="1" t="n"/>
      <c r="C459" s="2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</row>
    <row r="460" ht="16.5" customHeight="1" s="220">
      <c r="A460" s="1" t="n"/>
      <c r="B460" s="1" t="n"/>
      <c r="C460" s="2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</row>
    <row r="461" ht="16.5" customHeight="1" s="220">
      <c r="A461" s="1" t="n"/>
      <c r="B461" s="1" t="n"/>
      <c r="C461" s="2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</row>
    <row r="462" ht="16.5" customHeight="1" s="220">
      <c r="A462" s="1" t="n"/>
      <c r="B462" s="1" t="n"/>
      <c r="C462" s="2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</row>
    <row r="463" ht="16.5" customHeight="1" s="220">
      <c r="A463" s="1" t="n"/>
      <c r="B463" s="1" t="n"/>
      <c r="C463" s="2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</row>
    <row r="464" ht="16.5" customHeight="1" s="220">
      <c r="A464" s="1" t="n"/>
      <c r="B464" s="1" t="n"/>
      <c r="C464" s="2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</row>
    <row r="465" ht="16.5" customHeight="1" s="220">
      <c r="A465" s="1" t="n"/>
      <c r="B465" s="1" t="n"/>
      <c r="C465" s="2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</row>
    <row r="466" ht="16.5" customHeight="1" s="220">
      <c r="A466" s="1" t="n"/>
      <c r="B466" s="1" t="n"/>
      <c r="C466" s="2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</row>
    <row r="467" ht="16.5" customHeight="1" s="220">
      <c r="A467" s="1" t="n"/>
      <c r="B467" s="1" t="n"/>
      <c r="C467" s="2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</row>
    <row r="468" ht="16.5" customHeight="1" s="220">
      <c r="A468" s="1" t="n"/>
      <c r="B468" s="1" t="n"/>
      <c r="C468" s="2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</row>
    <row r="469" ht="16.5" customHeight="1" s="220">
      <c r="A469" s="1" t="n"/>
      <c r="B469" s="1" t="n"/>
      <c r="C469" s="2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</row>
    <row r="470" ht="16.5" customHeight="1" s="220">
      <c r="A470" s="1" t="n"/>
      <c r="B470" s="1" t="n"/>
      <c r="C470" s="2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</row>
    <row r="471" ht="16.5" customHeight="1" s="220">
      <c r="A471" s="1" t="n"/>
      <c r="B471" s="1" t="n"/>
      <c r="C471" s="2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</row>
    <row r="472" ht="16.5" customHeight="1" s="220">
      <c r="A472" s="1" t="n"/>
      <c r="B472" s="1" t="n"/>
      <c r="C472" s="2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</row>
    <row r="473" ht="16.5" customHeight="1" s="220">
      <c r="A473" s="1" t="n"/>
      <c r="B473" s="1" t="n"/>
      <c r="C473" s="2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</row>
    <row r="474" ht="16.5" customHeight="1" s="220">
      <c r="A474" s="1" t="n"/>
      <c r="B474" s="1" t="n"/>
      <c r="C474" s="2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</row>
    <row r="475" ht="16.5" customHeight="1" s="220">
      <c r="A475" s="1" t="n"/>
      <c r="B475" s="1" t="n"/>
      <c r="C475" s="2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</row>
    <row r="476" ht="16.5" customHeight="1" s="220">
      <c r="A476" s="1" t="n"/>
      <c r="B476" s="1" t="n"/>
      <c r="C476" s="2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</row>
    <row r="477" ht="16.5" customHeight="1" s="220">
      <c r="A477" s="1" t="n"/>
      <c r="B477" s="1" t="n"/>
      <c r="C477" s="2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</row>
    <row r="478" ht="16.5" customHeight="1" s="220">
      <c r="A478" s="1" t="n"/>
      <c r="B478" s="1" t="n"/>
      <c r="C478" s="2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</row>
    <row r="479" ht="16.5" customHeight="1" s="220">
      <c r="A479" s="1" t="n"/>
      <c r="B479" s="1" t="n"/>
      <c r="C479" s="2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</row>
    <row r="480" ht="16.5" customHeight="1" s="220">
      <c r="A480" s="1" t="n"/>
      <c r="B480" s="1" t="n"/>
      <c r="C480" s="2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</row>
    <row r="481" ht="16.5" customHeight="1" s="220">
      <c r="A481" s="1" t="n"/>
      <c r="B481" s="1" t="n"/>
      <c r="C481" s="2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</row>
    <row r="482" ht="16.5" customHeight="1" s="220">
      <c r="A482" s="1" t="n"/>
      <c r="B482" s="1" t="n"/>
      <c r="C482" s="2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</row>
    <row r="483" ht="16.5" customHeight="1" s="220">
      <c r="A483" s="1" t="n"/>
      <c r="B483" s="1" t="n"/>
      <c r="C483" s="2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</row>
    <row r="484" ht="16.5" customHeight="1" s="220">
      <c r="A484" s="1" t="n"/>
      <c r="B484" s="1" t="n"/>
      <c r="C484" s="2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</row>
    <row r="485" ht="16.5" customHeight="1" s="220">
      <c r="A485" s="1" t="n"/>
      <c r="B485" s="1" t="n"/>
      <c r="C485" s="2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</row>
    <row r="486" ht="16.5" customHeight="1" s="220">
      <c r="A486" s="1" t="n"/>
      <c r="B486" s="1" t="n"/>
      <c r="C486" s="2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</row>
    <row r="487" ht="16.5" customHeight="1" s="220">
      <c r="A487" s="1" t="n"/>
      <c r="B487" s="1" t="n"/>
      <c r="C487" s="2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</row>
    <row r="488" ht="16.5" customHeight="1" s="220">
      <c r="A488" s="1" t="n"/>
      <c r="B488" s="1" t="n"/>
      <c r="C488" s="2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</row>
    <row r="489" ht="16.5" customHeight="1" s="220">
      <c r="A489" s="1" t="n"/>
      <c r="B489" s="1" t="n"/>
      <c r="C489" s="2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</row>
    <row r="490" ht="16.5" customHeight="1" s="220">
      <c r="A490" s="1" t="n"/>
      <c r="B490" s="1" t="n"/>
      <c r="C490" s="2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</row>
    <row r="491" ht="16.5" customHeight="1" s="220">
      <c r="A491" s="1" t="n"/>
      <c r="B491" s="1" t="n"/>
      <c r="C491" s="2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</row>
    <row r="492" ht="16.5" customHeight="1" s="220">
      <c r="A492" s="1" t="n"/>
      <c r="B492" s="1" t="n"/>
      <c r="C492" s="2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</row>
    <row r="493" ht="16.5" customHeight="1" s="220">
      <c r="A493" s="1" t="n"/>
      <c r="B493" s="1" t="n"/>
      <c r="C493" s="2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</row>
    <row r="494" ht="16.5" customHeight="1" s="220">
      <c r="A494" s="1" t="n"/>
      <c r="B494" s="1" t="n"/>
      <c r="C494" s="2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</row>
    <row r="495" ht="16.5" customHeight="1" s="220">
      <c r="A495" s="1" t="n"/>
      <c r="B495" s="1" t="n"/>
      <c r="C495" s="2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</row>
    <row r="496" ht="16.5" customHeight="1" s="220">
      <c r="A496" s="1" t="n"/>
      <c r="B496" s="1" t="n"/>
      <c r="C496" s="2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</row>
    <row r="497" ht="16.5" customHeight="1" s="220">
      <c r="A497" s="1" t="n"/>
      <c r="B497" s="1" t="n"/>
      <c r="C497" s="2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</row>
    <row r="498" ht="16.5" customHeight="1" s="220">
      <c r="A498" s="1" t="n"/>
      <c r="B498" s="1" t="n"/>
      <c r="C498" s="2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</row>
    <row r="499" ht="16.5" customHeight="1" s="220">
      <c r="A499" s="1" t="n"/>
      <c r="B499" s="1" t="n"/>
      <c r="C499" s="2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</row>
    <row r="500" ht="16.5" customHeight="1" s="220">
      <c r="A500" s="1" t="n"/>
      <c r="B500" s="1" t="n"/>
      <c r="C500" s="2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</row>
    <row r="501" ht="16.5" customHeight="1" s="220">
      <c r="A501" s="1" t="n"/>
      <c r="B501" s="1" t="n"/>
      <c r="C501" s="2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</row>
    <row r="502" ht="16.5" customHeight="1" s="220">
      <c r="A502" s="1" t="n"/>
      <c r="B502" s="1" t="n"/>
      <c r="C502" s="2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</row>
    <row r="503" ht="16.5" customHeight="1" s="220">
      <c r="A503" s="1" t="n"/>
      <c r="B503" s="1" t="n"/>
      <c r="C503" s="2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</row>
    <row r="504" ht="16.5" customHeight="1" s="220">
      <c r="A504" s="1" t="n"/>
      <c r="B504" s="1" t="n"/>
      <c r="C504" s="2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</row>
    <row r="505" ht="16.5" customHeight="1" s="220">
      <c r="A505" s="1" t="n"/>
      <c r="B505" s="1" t="n"/>
      <c r="C505" s="2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</row>
    <row r="506" ht="16.5" customHeight="1" s="220">
      <c r="A506" s="1" t="n"/>
      <c r="B506" s="1" t="n"/>
      <c r="C506" s="2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</row>
    <row r="507" ht="16.5" customHeight="1" s="220">
      <c r="A507" s="1" t="n"/>
      <c r="B507" s="1" t="n"/>
      <c r="C507" s="2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</row>
    <row r="508" ht="16.5" customHeight="1" s="220">
      <c r="A508" s="1" t="n"/>
      <c r="B508" s="1" t="n"/>
      <c r="C508" s="2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</row>
    <row r="509" ht="16.5" customHeight="1" s="220">
      <c r="A509" s="1" t="n"/>
      <c r="B509" s="1" t="n"/>
      <c r="C509" s="2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</row>
    <row r="510" ht="16.5" customHeight="1" s="220">
      <c r="A510" s="1" t="n"/>
      <c r="B510" s="1" t="n"/>
      <c r="C510" s="2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</row>
    <row r="511" ht="16.5" customHeight="1" s="220">
      <c r="A511" s="1" t="n"/>
      <c r="B511" s="1" t="n"/>
      <c r="C511" s="2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</row>
    <row r="512" ht="16.5" customHeight="1" s="220">
      <c r="A512" s="1" t="n"/>
      <c r="B512" s="1" t="n"/>
      <c r="C512" s="2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</row>
    <row r="513" ht="16.5" customHeight="1" s="220">
      <c r="A513" s="1" t="n"/>
      <c r="B513" s="1" t="n"/>
      <c r="C513" s="2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</row>
    <row r="514" ht="16.5" customHeight="1" s="220">
      <c r="A514" s="1" t="n"/>
      <c r="B514" s="1" t="n"/>
      <c r="C514" s="2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</row>
    <row r="515" ht="16.5" customHeight="1" s="220">
      <c r="A515" s="1" t="n"/>
      <c r="B515" s="1" t="n"/>
      <c r="C515" s="2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</row>
    <row r="516" ht="16.5" customHeight="1" s="220">
      <c r="A516" s="1" t="n"/>
      <c r="B516" s="1" t="n"/>
      <c r="C516" s="2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</row>
    <row r="517" ht="16.5" customHeight="1" s="220">
      <c r="A517" s="1" t="n"/>
      <c r="B517" s="1" t="n"/>
      <c r="C517" s="2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</row>
    <row r="518" ht="16.5" customHeight="1" s="220">
      <c r="A518" s="1" t="n"/>
      <c r="B518" s="1" t="n"/>
      <c r="C518" s="2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</row>
    <row r="519" ht="16.5" customHeight="1" s="220">
      <c r="A519" s="1" t="n"/>
      <c r="B519" s="1" t="n"/>
      <c r="C519" s="2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</row>
    <row r="520" ht="16.5" customHeight="1" s="220">
      <c r="A520" s="1" t="n"/>
      <c r="B520" s="1" t="n"/>
      <c r="C520" s="2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</row>
    <row r="521" ht="16.5" customHeight="1" s="220">
      <c r="A521" s="1" t="n"/>
      <c r="B521" s="1" t="n"/>
      <c r="C521" s="2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</row>
    <row r="522" ht="16.5" customHeight="1" s="220">
      <c r="A522" s="1" t="n"/>
      <c r="B522" s="1" t="n"/>
      <c r="C522" s="2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</row>
    <row r="523" ht="16.5" customHeight="1" s="220">
      <c r="A523" s="1" t="n"/>
      <c r="B523" s="1" t="n"/>
      <c r="C523" s="2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</row>
    <row r="524" ht="16.5" customHeight="1" s="220">
      <c r="A524" s="1" t="n"/>
      <c r="B524" s="1" t="n"/>
      <c r="C524" s="2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</row>
    <row r="525" ht="16.5" customHeight="1" s="220">
      <c r="A525" s="1" t="n"/>
      <c r="B525" s="1" t="n"/>
      <c r="C525" s="2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</row>
    <row r="526" ht="16.5" customHeight="1" s="220">
      <c r="A526" s="1" t="n"/>
      <c r="B526" s="1" t="n"/>
      <c r="C526" s="2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</row>
    <row r="527" ht="16.5" customHeight="1" s="220">
      <c r="A527" s="1" t="n"/>
      <c r="B527" s="1" t="n"/>
      <c r="C527" s="2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</row>
    <row r="528" ht="16.5" customHeight="1" s="220">
      <c r="A528" s="1" t="n"/>
      <c r="B528" s="1" t="n"/>
      <c r="C528" s="2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</row>
    <row r="529" ht="16.5" customHeight="1" s="220">
      <c r="A529" s="1" t="n"/>
      <c r="B529" s="1" t="n"/>
      <c r="C529" s="2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</row>
    <row r="530" ht="16.5" customHeight="1" s="220">
      <c r="A530" s="1" t="n"/>
      <c r="B530" s="1" t="n"/>
      <c r="C530" s="2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</row>
    <row r="531" ht="16.5" customHeight="1" s="220">
      <c r="A531" s="1" t="n"/>
      <c r="B531" s="1" t="n"/>
      <c r="C531" s="2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</row>
    <row r="532" ht="16.5" customHeight="1" s="220">
      <c r="A532" s="1" t="n"/>
      <c r="B532" s="1" t="n"/>
      <c r="C532" s="2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</row>
    <row r="533" ht="16.5" customHeight="1" s="220">
      <c r="A533" s="1" t="n"/>
      <c r="B533" s="1" t="n"/>
      <c r="C533" s="2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</row>
    <row r="534" ht="16.5" customHeight="1" s="220">
      <c r="A534" s="1" t="n"/>
      <c r="B534" s="1" t="n"/>
      <c r="C534" s="2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</row>
    <row r="535" ht="16.5" customHeight="1" s="220">
      <c r="A535" s="1" t="n"/>
      <c r="B535" s="1" t="n"/>
      <c r="C535" s="2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</row>
    <row r="536" ht="16.5" customHeight="1" s="220">
      <c r="A536" s="1" t="n"/>
      <c r="B536" s="1" t="n"/>
      <c r="C536" s="2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</row>
    <row r="537" ht="16.5" customHeight="1" s="220">
      <c r="A537" s="1" t="n"/>
      <c r="B537" s="1" t="n"/>
      <c r="C537" s="2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</row>
    <row r="538" ht="16.5" customHeight="1" s="220">
      <c r="A538" s="1" t="n"/>
      <c r="B538" s="1" t="n"/>
      <c r="C538" s="2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</row>
    <row r="539" ht="16.5" customHeight="1" s="220">
      <c r="A539" s="1" t="n"/>
      <c r="B539" s="1" t="n"/>
      <c r="C539" s="2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</row>
    <row r="540" ht="16.5" customHeight="1" s="220">
      <c r="A540" s="1" t="n"/>
      <c r="B540" s="1" t="n"/>
      <c r="C540" s="2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</row>
    <row r="541" ht="16.5" customHeight="1" s="220">
      <c r="A541" s="1" t="n"/>
      <c r="B541" s="1" t="n"/>
      <c r="C541" s="2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</row>
    <row r="542" ht="16.5" customHeight="1" s="220">
      <c r="A542" s="1" t="n"/>
      <c r="B542" s="1" t="n"/>
      <c r="C542" s="2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</row>
    <row r="543" ht="16.5" customHeight="1" s="220">
      <c r="A543" s="1" t="n"/>
      <c r="B543" s="1" t="n"/>
      <c r="C543" s="2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</row>
    <row r="544" ht="16.5" customHeight="1" s="220">
      <c r="A544" s="1" t="n"/>
      <c r="B544" s="1" t="n"/>
      <c r="C544" s="2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</row>
    <row r="545" ht="16.5" customHeight="1" s="220">
      <c r="A545" s="1" t="n"/>
      <c r="B545" s="1" t="n"/>
      <c r="C545" s="2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</row>
    <row r="546" ht="16.5" customHeight="1" s="220">
      <c r="A546" s="1" t="n"/>
      <c r="B546" s="1" t="n"/>
      <c r="C546" s="2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</row>
    <row r="547" ht="16.5" customHeight="1" s="220">
      <c r="A547" s="1" t="n"/>
      <c r="B547" s="1" t="n"/>
      <c r="C547" s="2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</row>
    <row r="548" ht="16.5" customHeight="1" s="220">
      <c r="A548" s="1" t="n"/>
      <c r="B548" s="1" t="n"/>
      <c r="C548" s="2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</row>
    <row r="549" ht="16.5" customHeight="1" s="220">
      <c r="A549" s="1" t="n"/>
      <c r="B549" s="1" t="n"/>
      <c r="C549" s="2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</row>
    <row r="550" ht="16.5" customHeight="1" s="220">
      <c r="A550" s="1" t="n"/>
      <c r="B550" s="1" t="n"/>
      <c r="C550" s="2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</row>
    <row r="551" ht="16.5" customHeight="1" s="220">
      <c r="A551" s="1" t="n"/>
      <c r="B551" s="1" t="n"/>
      <c r="C551" s="2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</row>
    <row r="552" ht="16.5" customHeight="1" s="220">
      <c r="A552" s="1" t="n"/>
      <c r="B552" s="1" t="n"/>
      <c r="C552" s="2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</row>
    <row r="553" ht="16.5" customHeight="1" s="220">
      <c r="A553" s="1" t="n"/>
      <c r="B553" s="1" t="n"/>
      <c r="C553" s="2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</row>
    <row r="554" ht="16.5" customHeight="1" s="220">
      <c r="A554" s="1" t="n"/>
      <c r="B554" s="1" t="n"/>
      <c r="C554" s="2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</row>
    <row r="555" ht="16.5" customHeight="1" s="220">
      <c r="A555" s="1" t="n"/>
      <c r="B555" s="1" t="n"/>
      <c r="C555" s="2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</row>
    <row r="556" ht="16.5" customHeight="1" s="220">
      <c r="A556" s="1" t="n"/>
      <c r="B556" s="1" t="n"/>
      <c r="C556" s="2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</row>
    <row r="557" ht="16.5" customHeight="1" s="220">
      <c r="A557" s="1" t="n"/>
      <c r="B557" s="1" t="n"/>
      <c r="C557" s="2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</row>
    <row r="558" ht="16.5" customHeight="1" s="220">
      <c r="A558" s="1" t="n"/>
      <c r="B558" s="1" t="n"/>
      <c r="C558" s="2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</row>
    <row r="559" ht="16.5" customHeight="1" s="220">
      <c r="A559" s="1" t="n"/>
      <c r="B559" s="1" t="n"/>
      <c r="C559" s="2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</row>
    <row r="560" ht="16.5" customHeight="1" s="220">
      <c r="A560" s="1" t="n"/>
      <c r="B560" s="1" t="n"/>
      <c r="C560" s="2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</row>
    <row r="561" ht="16.5" customHeight="1" s="220">
      <c r="A561" s="1" t="n"/>
      <c r="B561" s="1" t="n"/>
      <c r="C561" s="2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</row>
    <row r="562" ht="16.5" customHeight="1" s="220">
      <c r="A562" s="1" t="n"/>
      <c r="B562" s="1" t="n"/>
      <c r="C562" s="2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</row>
    <row r="563" ht="16.5" customHeight="1" s="220">
      <c r="A563" s="1" t="n"/>
      <c r="B563" s="1" t="n"/>
      <c r="C563" s="2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</row>
    <row r="564" ht="16.5" customHeight="1" s="220">
      <c r="A564" s="1" t="n"/>
      <c r="B564" s="1" t="n"/>
      <c r="C564" s="2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</row>
    <row r="565" ht="16.5" customHeight="1" s="220">
      <c r="A565" s="1" t="n"/>
      <c r="B565" s="1" t="n"/>
      <c r="C565" s="2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</row>
    <row r="566" ht="16.5" customHeight="1" s="220">
      <c r="A566" s="1" t="n"/>
      <c r="B566" s="1" t="n"/>
      <c r="C566" s="2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</row>
    <row r="567" ht="16.5" customHeight="1" s="220">
      <c r="A567" s="1" t="n"/>
      <c r="B567" s="1" t="n"/>
      <c r="C567" s="2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</row>
    <row r="568" ht="16.5" customHeight="1" s="220">
      <c r="A568" s="1" t="n"/>
      <c r="B568" s="1" t="n"/>
      <c r="C568" s="2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</row>
    <row r="569" ht="16.5" customHeight="1" s="220">
      <c r="A569" s="1" t="n"/>
      <c r="B569" s="1" t="n"/>
      <c r="C569" s="2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</row>
    <row r="570" ht="16.5" customHeight="1" s="220">
      <c r="A570" s="1" t="n"/>
      <c r="B570" s="1" t="n"/>
      <c r="C570" s="2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</row>
    <row r="571" ht="16.5" customHeight="1" s="220">
      <c r="A571" s="1" t="n"/>
      <c r="B571" s="1" t="n"/>
      <c r="C571" s="2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</row>
    <row r="572" ht="16.5" customHeight="1" s="220">
      <c r="A572" s="1" t="n"/>
      <c r="B572" s="1" t="n"/>
      <c r="C572" s="2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</row>
    <row r="573" ht="16.5" customHeight="1" s="220">
      <c r="A573" s="1" t="n"/>
      <c r="B573" s="1" t="n"/>
      <c r="C573" s="2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</row>
    <row r="574" ht="16.5" customHeight="1" s="220">
      <c r="A574" s="1" t="n"/>
      <c r="B574" s="1" t="n"/>
      <c r="C574" s="2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</row>
    <row r="575" ht="16.5" customHeight="1" s="220">
      <c r="A575" s="1" t="n"/>
      <c r="B575" s="1" t="n"/>
      <c r="C575" s="2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</row>
    <row r="576" ht="16.5" customHeight="1" s="220">
      <c r="A576" s="1" t="n"/>
      <c r="B576" s="1" t="n"/>
      <c r="C576" s="2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</row>
    <row r="577" ht="16.5" customHeight="1" s="220">
      <c r="A577" s="1" t="n"/>
      <c r="B577" s="1" t="n"/>
      <c r="C577" s="2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</row>
    <row r="578" ht="16.5" customHeight="1" s="220">
      <c r="A578" s="1" t="n"/>
      <c r="B578" s="1" t="n"/>
      <c r="C578" s="2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</row>
    <row r="579" ht="16.5" customHeight="1" s="220">
      <c r="A579" s="1" t="n"/>
      <c r="B579" s="1" t="n"/>
      <c r="C579" s="2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</row>
    <row r="580" ht="16.5" customHeight="1" s="220">
      <c r="A580" s="1" t="n"/>
      <c r="B580" s="1" t="n"/>
      <c r="C580" s="2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</row>
    <row r="581" ht="16.5" customHeight="1" s="220">
      <c r="A581" s="1" t="n"/>
      <c r="B581" s="1" t="n"/>
      <c r="C581" s="2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</row>
    <row r="582" ht="16.5" customHeight="1" s="220">
      <c r="A582" s="1" t="n"/>
      <c r="B582" s="1" t="n"/>
      <c r="C582" s="2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</row>
    <row r="583" ht="16.5" customHeight="1" s="220">
      <c r="A583" s="1" t="n"/>
      <c r="B583" s="1" t="n"/>
      <c r="C583" s="2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</row>
    <row r="584" ht="16.5" customHeight="1" s="220">
      <c r="A584" s="1" t="n"/>
      <c r="B584" s="1" t="n"/>
      <c r="C584" s="2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</row>
    <row r="585" ht="16.5" customHeight="1" s="220">
      <c r="A585" s="1" t="n"/>
      <c r="B585" s="1" t="n"/>
      <c r="C585" s="2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</row>
    <row r="586" ht="16.5" customHeight="1" s="220">
      <c r="A586" s="1" t="n"/>
      <c r="B586" s="1" t="n"/>
      <c r="C586" s="2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</row>
    <row r="587" ht="16.5" customHeight="1" s="220">
      <c r="A587" s="1" t="n"/>
      <c r="B587" s="1" t="n"/>
      <c r="C587" s="2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</row>
    <row r="588" ht="16.5" customHeight="1" s="220">
      <c r="A588" s="1" t="n"/>
      <c r="B588" s="1" t="n"/>
      <c r="C588" s="2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</row>
    <row r="589" ht="16.5" customHeight="1" s="220">
      <c r="A589" s="1" t="n"/>
      <c r="B589" s="1" t="n"/>
      <c r="C589" s="2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</row>
    <row r="590" ht="16.5" customHeight="1" s="220">
      <c r="A590" s="1" t="n"/>
      <c r="B590" s="1" t="n"/>
      <c r="C590" s="2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</row>
    <row r="591" ht="16.5" customHeight="1" s="220">
      <c r="A591" s="1" t="n"/>
      <c r="B591" s="1" t="n"/>
      <c r="C591" s="2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</row>
    <row r="592" ht="16.5" customHeight="1" s="220">
      <c r="A592" s="1" t="n"/>
      <c r="B592" s="1" t="n"/>
      <c r="C592" s="2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</row>
    <row r="593" ht="16.5" customHeight="1" s="220">
      <c r="A593" s="1" t="n"/>
      <c r="B593" s="1" t="n"/>
      <c r="C593" s="2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</row>
    <row r="594" ht="16.5" customHeight="1" s="220">
      <c r="A594" s="1" t="n"/>
      <c r="B594" s="1" t="n"/>
      <c r="C594" s="2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</row>
    <row r="595" ht="16.5" customHeight="1" s="220">
      <c r="A595" s="1" t="n"/>
      <c r="B595" s="1" t="n"/>
      <c r="C595" s="2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</row>
    <row r="596" ht="16.5" customHeight="1" s="220">
      <c r="A596" s="1" t="n"/>
      <c r="B596" s="1" t="n"/>
      <c r="C596" s="2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</row>
    <row r="597" ht="16.5" customHeight="1" s="220">
      <c r="A597" s="1" t="n"/>
      <c r="B597" s="1" t="n"/>
      <c r="C597" s="2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</row>
    <row r="598" ht="16.5" customHeight="1" s="220">
      <c r="A598" s="1" t="n"/>
      <c r="B598" s="1" t="n"/>
      <c r="C598" s="2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</row>
    <row r="599" ht="16.5" customHeight="1" s="220">
      <c r="A599" s="1" t="n"/>
      <c r="B599" s="1" t="n"/>
      <c r="C599" s="2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</row>
    <row r="600" ht="16.5" customHeight="1" s="220">
      <c r="A600" s="1" t="n"/>
      <c r="B600" s="1" t="n"/>
      <c r="C600" s="2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</row>
    <row r="601" ht="16.5" customHeight="1" s="220">
      <c r="A601" s="1" t="n"/>
      <c r="B601" s="1" t="n"/>
      <c r="C601" s="2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</row>
    <row r="602" ht="16.5" customHeight="1" s="220">
      <c r="A602" s="1" t="n"/>
      <c r="B602" s="1" t="n"/>
      <c r="C602" s="2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</row>
    <row r="603" ht="16.5" customHeight="1" s="220">
      <c r="A603" s="1" t="n"/>
      <c r="B603" s="1" t="n"/>
      <c r="C603" s="2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</row>
    <row r="604" ht="16.5" customHeight="1" s="220">
      <c r="A604" s="1" t="n"/>
      <c r="B604" s="1" t="n"/>
      <c r="C604" s="2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</row>
    <row r="605" ht="16.5" customHeight="1" s="220">
      <c r="A605" s="1" t="n"/>
      <c r="B605" s="1" t="n"/>
      <c r="C605" s="2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</row>
    <row r="606" ht="16.5" customHeight="1" s="220">
      <c r="A606" s="1" t="n"/>
      <c r="B606" s="1" t="n"/>
      <c r="C606" s="2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</row>
    <row r="607" ht="16.5" customHeight="1" s="220">
      <c r="A607" s="1" t="n"/>
      <c r="B607" s="1" t="n"/>
      <c r="C607" s="2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</row>
    <row r="608" ht="16.5" customHeight="1" s="220">
      <c r="A608" s="1" t="n"/>
      <c r="B608" s="1" t="n"/>
      <c r="C608" s="2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</row>
    <row r="609" ht="16.5" customHeight="1" s="220">
      <c r="A609" s="1" t="n"/>
      <c r="B609" s="1" t="n"/>
      <c r="C609" s="2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</row>
    <row r="610" ht="16.5" customHeight="1" s="220">
      <c r="A610" s="1" t="n"/>
      <c r="B610" s="1" t="n"/>
      <c r="C610" s="2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</row>
    <row r="611" ht="16.5" customHeight="1" s="220">
      <c r="A611" s="1" t="n"/>
      <c r="B611" s="1" t="n"/>
      <c r="C611" s="2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</row>
    <row r="612" ht="16.5" customHeight="1" s="220">
      <c r="A612" s="1" t="n"/>
      <c r="B612" s="1" t="n"/>
      <c r="C612" s="2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</row>
    <row r="613" ht="16.5" customHeight="1" s="220">
      <c r="A613" s="1" t="n"/>
      <c r="B613" s="1" t="n"/>
      <c r="C613" s="2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</row>
    <row r="614" ht="16.5" customHeight="1" s="220">
      <c r="A614" s="1" t="n"/>
      <c r="B614" s="1" t="n"/>
      <c r="C614" s="2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</row>
    <row r="615" ht="16.5" customHeight="1" s="220">
      <c r="A615" s="1" t="n"/>
      <c r="B615" s="1" t="n"/>
      <c r="C615" s="2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</row>
    <row r="616" ht="16.5" customHeight="1" s="220">
      <c r="A616" s="1" t="n"/>
      <c r="B616" s="1" t="n"/>
      <c r="C616" s="2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</row>
    <row r="617" ht="16.5" customHeight="1" s="220">
      <c r="A617" s="1" t="n"/>
      <c r="B617" s="1" t="n"/>
      <c r="C617" s="2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</row>
    <row r="618" ht="16.5" customHeight="1" s="220">
      <c r="A618" s="1" t="n"/>
      <c r="B618" s="1" t="n"/>
      <c r="C618" s="2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</row>
    <row r="619" ht="16.5" customHeight="1" s="220">
      <c r="A619" s="1" t="n"/>
      <c r="B619" s="1" t="n"/>
      <c r="C619" s="2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</row>
    <row r="620" ht="16.5" customHeight="1" s="220">
      <c r="A620" s="1" t="n"/>
      <c r="B620" s="1" t="n"/>
      <c r="C620" s="2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</row>
    <row r="621" ht="16.5" customHeight="1" s="220">
      <c r="A621" s="1" t="n"/>
      <c r="B621" s="1" t="n"/>
      <c r="C621" s="2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</row>
    <row r="622" ht="16.5" customHeight="1" s="220">
      <c r="A622" s="1" t="n"/>
      <c r="B622" s="1" t="n"/>
      <c r="C622" s="2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</row>
    <row r="623" ht="16.5" customHeight="1" s="220">
      <c r="A623" s="1" t="n"/>
      <c r="B623" s="1" t="n"/>
      <c r="C623" s="2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</row>
    <row r="624" ht="16.5" customHeight="1" s="220">
      <c r="A624" s="1" t="n"/>
      <c r="B624" s="1" t="n"/>
      <c r="C624" s="2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</row>
    <row r="625" ht="16.5" customHeight="1" s="220">
      <c r="A625" s="1" t="n"/>
      <c r="B625" s="1" t="n"/>
      <c r="C625" s="2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</row>
    <row r="626" ht="16.5" customHeight="1" s="220">
      <c r="A626" s="1" t="n"/>
      <c r="B626" s="1" t="n"/>
      <c r="C626" s="2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</row>
    <row r="627" ht="16.5" customHeight="1" s="220">
      <c r="A627" s="1" t="n"/>
      <c r="B627" s="1" t="n"/>
      <c r="C627" s="2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</row>
    <row r="628" ht="16.5" customHeight="1" s="220">
      <c r="A628" s="1" t="n"/>
      <c r="B628" s="1" t="n"/>
      <c r="C628" s="2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</row>
    <row r="629" ht="16.5" customHeight="1" s="220">
      <c r="A629" s="1" t="n"/>
      <c r="B629" s="1" t="n"/>
      <c r="C629" s="2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</row>
    <row r="630" ht="16.5" customHeight="1" s="220">
      <c r="A630" s="1" t="n"/>
      <c r="B630" s="1" t="n"/>
      <c r="C630" s="2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</row>
    <row r="631" ht="16.5" customHeight="1" s="220">
      <c r="A631" s="1" t="n"/>
      <c r="B631" s="1" t="n"/>
      <c r="C631" s="2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</row>
    <row r="632" ht="16.5" customHeight="1" s="220">
      <c r="A632" s="1" t="n"/>
      <c r="B632" s="1" t="n"/>
      <c r="C632" s="2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</row>
    <row r="633" ht="16.5" customHeight="1" s="220">
      <c r="A633" s="1" t="n"/>
      <c r="B633" s="1" t="n"/>
      <c r="C633" s="2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</row>
    <row r="634" ht="16.5" customHeight="1" s="220">
      <c r="A634" s="1" t="n"/>
      <c r="B634" s="1" t="n"/>
      <c r="C634" s="2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</row>
    <row r="635" ht="16.5" customHeight="1" s="220">
      <c r="A635" s="1" t="n"/>
      <c r="B635" s="1" t="n"/>
      <c r="C635" s="2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</row>
    <row r="636" ht="16.5" customHeight="1" s="220">
      <c r="A636" s="1" t="n"/>
      <c r="B636" s="1" t="n"/>
      <c r="C636" s="2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</row>
    <row r="637" ht="16.5" customHeight="1" s="220">
      <c r="A637" s="1" t="n"/>
      <c r="B637" s="1" t="n"/>
      <c r="C637" s="2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</row>
    <row r="638" ht="16.5" customHeight="1" s="220">
      <c r="A638" s="1" t="n"/>
      <c r="B638" s="1" t="n"/>
      <c r="C638" s="2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</row>
    <row r="639" ht="16.5" customHeight="1" s="220">
      <c r="A639" s="1" t="n"/>
      <c r="B639" s="1" t="n"/>
      <c r="C639" s="2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</row>
    <row r="640" ht="16.5" customHeight="1" s="220">
      <c r="A640" s="1" t="n"/>
      <c r="B640" s="1" t="n"/>
      <c r="C640" s="2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</row>
    <row r="641" ht="16.5" customHeight="1" s="220">
      <c r="A641" s="1" t="n"/>
      <c r="B641" s="1" t="n"/>
      <c r="C641" s="2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</row>
    <row r="642" ht="16.5" customHeight="1" s="220">
      <c r="A642" s="1" t="n"/>
      <c r="B642" s="1" t="n"/>
      <c r="C642" s="2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</row>
    <row r="643" ht="16.5" customHeight="1" s="220">
      <c r="A643" s="1" t="n"/>
      <c r="B643" s="1" t="n"/>
      <c r="C643" s="2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</row>
    <row r="644" ht="16.5" customHeight="1" s="220">
      <c r="A644" s="1" t="n"/>
      <c r="B644" s="1" t="n"/>
      <c r="C644" s="2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</row>
    <row r="645" ht="16.5" customHeight="1" s="220">
      <c r="A645" s="1" t="n"/>
      <c r="B645" s="1" t="n"/>
      <c r="C645" s="2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</row>
    <row r="646" ht="16.5" customHeight="1" s="220">
      <c r="A646" s="1" t="n"/>
      <c r="B646" s="1" t="n"/>
      <c r="C646" s="2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</row>
    <row r="647" ht="16.5" customHeight="1" s="220">
      <c r="A647" s="1" t="n"/>
      <c r="B647" s="1" t="n"/>
      <c r="C647" s="2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</row>
    <row r="648" ht="16.5" customHeight="1" s="220">
      <c r="A648" s="1" t="n"/>
      <c r="B648" s="1" t="n"/>
      <c r="C648" s="2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</row>
    <row r="649" ht="16.5" customHeight="1" s="220">
      <c r="A649" s="1" t="n"/>
      <c r="B649" s="1" t="n"/>
      <c r="C649" s="2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</row>
    <row r="650" ht="16.5" customHeight="1" s="220">
      <c r="A650" s="1" t="n"/>
      <c r="B650" s="1" t="n"/>
      <c r="C650" s="2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</row>
    <row r="651" ht="16.5" customHeight="1" s="220">
      <c r="A651" s="1" t="n"/>
      <c r="B651" s="1" t="n"/>
      <c r="C651" s="2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</row>
    <row r="652" ht="16.5" customHeight="1" s="220">
      <c r="A652" s="1" t="n"/>
      <c r="B652" s="1" t="n"/>
      <c r="C652" s="2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</row>
    <row r="653" ht="16.5" customHeight="1" s="220">
      <c r="A653" s="1" t="n"/>
      <c r="B653" s="1" t="n"/>
      <c r="C653" s="2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</row>
    <row r="654" ht="16.5" customHeight="1" s="220">
      <c r="A654" s="1" t="n"/>
      <c r="B654" s="1" t="n"/>
      <c r="C654" s="2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</row>
    <row r="655" ht="16.5" customHeight="1" s="220">
      <c r="A655" s="1" t="n"/>
      <c r="B655" s="1" t="n"/>
      <c r="C655" s="2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</row>
    <row r="656" ht="16.5" customHeight="1" s="220">
      <c r="A656" s="1" t="n"/>
      <c r="B656" s="1" t="n"/>
      <c r="C656" s="2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</row>
    <row r="657" ht="16.5" customHeight="1" s="220">
      <c r="A657" s="1" t="n"/>
      <c r="B657" s="1" t="n"/>
      <c r="C657" s="2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</row>
    <row r="658" ht="16.5" customHeight="1" s="220">
      <c r="A658" s="1" t="n"/>
      <c r="B658" s="1" t="n"/>
      <c r="C658" s="2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</row>
    <row r="659" ht="16.5" customHeight="1" s="220">
      <c r="A659" s="1" t="n"/>
      <c r="B659" s="1" t="n"/>
      <c r="C659" s="2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</row>
    <row r="660" ht="16.5" customHeight="1" s="220">
      <c r="A660" s="1" t="n"/>
      <c r="B660" s="1" t="n"/>
      <c r="C660" s="2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</row>
    <row r="661" ht="16.5" customHeight="1" s="220">
      <c r="A661" s="1" t="n"/>
      <c r="B661" s="1" t="n"/>
      <c r="C661" s="2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</row>
    <row r="662" ht="16.5" customHeight="1" s="220">
      <c r="A662" s="1" t="n"/>
      <c r="B662" s="1" t="n"/>
      <c r="C662" s="2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</row>
    <row r="663" ht="16.5" customHeight="1" s="220">
      <c r="A663" s="1" t="n"/>
      <c r="B663" s="1" t="n"/>
      <c r="C663" s="2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</row>
    <row r="664" ht="16.5" customHeight="1" s="220">
      <c r="A664" s="1" t="n"/>
      <c r="B664" s="1" t="n"/>
      <c r="C664" s="2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</row>
    <row r="665" ht="16.5" customHeight="1" s="220">
      <c r="A665" s="1" t="n"/>
      <c r="B665" s="1" t="n"/>
      <c r="C665" s="2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</row>
    <row r="666" ht="16.5" customHeight="1" s="220">
      <c r="A666" s="1" t="n"/>
      <c r="B666" s="1" t="n"/>
      <c r="C666" s="2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</row>
    <row r="667" ht="16.5" customHeight="1" s="220">
      <c r="A667" s="1" t="n"/>
      <c r="B667" s="1" t="n"/>
      <c r="C667" s="2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</row>
    <row r="668" ht="16.5" customHeight="1" s="220">
      <c r="A668" s="1" t="n"/>
      <c r="B668" s="1" t="n"/>
      <c r="C668" s="2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</row>
    <row r="669" ht="16.5" customHeight="1" s="220">
      <c r="A669" s="1" t="n"/>
      <c r="B669" s="1" t="n"/>
      <c r="C669" s="2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</row>
    <row r="670" ht="16.5" customHeight="1" s="220">
      <c r="A670" s="1" t="n"/>
      <c r="B670" s="1" t="n"/>
      <c r="C670" s="2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</row>
    <row r="671" ht="16.5" customHeight="1" s="220">
      <c r="A671" s="1" t="n"/>
      <c r="B671" s="1" t="n"/>
      <c r="C671" s="2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</row>
    <row r="672" ht="16.5" customHeight="1" s="220">
      <c r="A672" s="1" t="n"/>
      <c r="B672" s="1" t="n"/>
      <c r="C672" s="2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</row>
    <row r="673" ht="16.5" customHeight="1" s="220">
      <c r="A673" s="1" t="n"/>
      <c r="B673" s="1" t="n"/>
      <c r="C673" s="2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</row>
    <row r="674" ht="16.5" customHeight="1" s="220">
      <c r="A674" s="1" t="n"/>
      <c r="B674" s="1" t="n"/>
      <c r="C674" s="2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</row>
    <row r="675" ht="16.5" customHeight="1" s="220">
      <c r="A675" s="1" t="n"/>
      <c r="B675" s="1" t="n"/>
      <c r="C675" s="2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</row>
    <row r="676" ht="16.5" customHeight="1" s="220">
      <c r="A676" s="1" t="n"/>
      <c r="B676" s="1" t="n"/>
      <c r="C676" s="2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</row>
    <row r="677" ht="16.5" customHeight="1" s="220">
      <c r="A677" s="1" t="n"/>
      <c r="B677" s="1" t="n"/>
      <c r="C677" s="2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</row>
    <row r="678" ht="16.5" customHeight="1" s="220">
      <c r="A678" s="1" t="n"/>
      <c r="B678" s="1" t="n"/>
      <c r="C678" s="2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</row>
    <row r="679" ht="16.5" customHeight="1" s="220">
      <c r="A679" s="1" t="n"/>
      <c r="B679" s="1" t="n"/>
      <c r="C679" s="2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</row>
    <row r="680" ht="16.5" customHeight="1" s="220">
      <c r="A680" s="1" t="n"/>
      <c r="B680" s="1" t="n"/>
      <c r="C680" s="2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</row>
    <row r="681" ht="16.5" customHeight="1" s="220">
      <c r="A681" s="1" t="n"/>
      <c r="B681" s="1" t="n"/>
      <c r="C681" s="2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</row>
    <row r="682" ht="16.5" customHeight="1" s="220">
      <c r="A682" s="1" t="n"/>
      <c r="B682" s="1" t="n"/>
      <c r="C682" s="2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</row>
    <row r="683" ht="16.5" customHeight="1" s="220">
      <c r="A683" s="1" t="n"/>
      <c r="B683" s="1" t="n"/>
      <c r="C683" s="2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</row>
    <row r="684" ht="16.5" customHeight="1" s="220">
      <c r="A684" s="1" t="n"/>
      <c r="B684" s="1" t="n"/>
      <c r="C684" s="2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</row>
    <row r="685" ht="16.5" customHeight="1" s="220">
      <c r="A685" s="1" t="n"/>
      <c r="B685" s="1" t="n"/>
      <c r="C685" s="2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</row>
    <row r="686" ht="16.5" customHeight="1" s="220">
      <c r="A686" s="1" t="n"/>
      <c r="B686" s="1" t="n"/>
      <c r="C686" s="2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</row>
    <row r="687" ht="16.5" customHeight="1" s="220">
      <c r="A687" s="1" t="n"/>
      <c r="B687" s="1" t="n"/>
      <c r="C687" s="2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</row>
    <row r="688" ht="16.5" customHeight="1" s="220">
      <c r="A688" s="1" t="n"/>
      <c r="B688" s="1" t="n"/>
      <c r="C688" s="2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</row>
    <row r="689" ht="16.5" customHeight="1" s="220">
      <c r="A689" s="1" t="n"/>
      <c r="B689" s="1" t="n"/>
      <c r="C689" s="2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</row>
    <row r="690" ht="16.5" customHeight="1" s="220">
      <c r="A690" s="1" t="n"/>
      <c r="B690" s="1" t="n"/>
      <c r="C690" s="2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</row>
    <row r="691" ht="16.5" customHeight="1" s="220">
      <c r="A691" s="1" t="n"/>
      <c r="B691" s="1" t="n"/>
      <c r="C691" s="2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</row>
    <row r="692" ht="16.5" customHeight="1" s="220">
      <c r="A692" s="1" t="n"/>
      <c r="B692" s="1" t="n"/>
      <c r="C692" s="2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</row>
    <row r="693" ht="16.5" customHeight="1" s="220">
      <c r="A693" s="1" t="n"/>
      <c r="B693" s="1" t="n"/>
      <c r="C693" s="2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</row>
    <row r="694" ht="16.5" customHeight="1" s="220">
      <c r="A694" s="1" t="n"/>
      <c r="B694" s="1" t="n"/>
      <c r="C694" s="2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</row>
    <row r="695" ht="16.5" customHeight="1" s="220">
      <c r="A695" s="1" t="n"/>
      <c r="B695" s="1" t="n"/>
      <c r="C695" s="2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</row>
    <row r="696" ht="16.5" customHeight="1" s="220">
      <c r="A696" s="1" t="n"/>
      <c r="B696" s="1" t="n"/>
      <c r="C696" s="2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</row>
    <row r="697" ht="16.5" customHeight="1" s="220">
      <c r="A697" s="1" t="n"/>
      <c r="B697" s="1" t="n"/>
      <c r="C697" s="2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</row>
    <row r="698" ht="16.5" customHeight="1" s="220">
      <c r="A698" s="1" t="n"/>
      <c r="B698" s="1" t="n"/>
      <c r="C698" s="2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</row>
    <row r="699" ht="16.5" customHeight="1" s="220">
      <c r="A699" s="1" t="n"/>
      <c r="B699" s="1" t="n"/>
      <c r="C699" s="2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</row>
    <row r="700" ht="16.5" customHeight="1" s="220">
      <c r="A700" s="1" t="n"/>
      <c r="B700" s="1" t="n"/>
      <c r="C700" s="2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</row>
    <row r="701" ht="16.5" customHeight="1" s="220">
      <c r="A701" s="1" t="n"/>
      <c r="B701" s="1" t="n"/>
      <c r="C701" s="2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</row>
    <row r="702" ht="16.5" customHeight="1" s="220">
      <c r="A702" s="1" t="n"/>
      <c r="B702" s="1" t="n"/>
      <c r="C702" s="2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</row>
    <row r="703" ht="16.5" customHeight="1" s="220">
      <c r="A703" s="1" t="n"/>
      <c r="B703" s="1" t="n"/>
      <c r="C703" s="2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</row>
    <row r="704" ht="16.5" customHeight="1" s="220">
      <c r="A704" s="1" t="n"/>
      <c r="B704" s="1" t="n"/>
      <c r="C704" s="2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</row>
    <row r="705" ht="16.5" customHeight="1" s="220">
      <c r="A705" s="1" t="n"/>
      <c r="B705" s="1" t="n"/>
      <c r="C705" s="2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</row>
    <row r="706" ht="16.5" customHeight="1" s="220">
      <c r="A706" s="1" t="n"/>
      <c r="B706" s="1" t="n"/>
      <c r="C706" s="2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</row>
    <row r="707" ht="16.5" customHeight="1" s="220">
      <c r="A707" s="1" t="n"/>
      <c r="B707" s="1" t="n"/>
      <c r="C707" s="2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</row>
    <row r="708" ht="16.5" customHeight="1" s="220">
      <c r="A708" s="1" t="n"/>
      <c r="B708" s="1" t="n"/>
      <c r="C708" s="2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</row>
    <row r="709" ht="16.5" customHeight="1" s="220">
      <c r="A709" s="1" t="n"/>
      <c r="B709" s="1" t="n"/>
      <c r="C709" s="2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</row>
    <row r="710" ht="16.5" customHeight="1" s="220">
      <c r="A710" s="1" t="n"/>
      <c r="B710" s="1" t="n"/>
      <c r="C710" s="2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</row>
    <row r="711" ht="16.5" customHeight="1" s="220">
      <c r="A711" s="1" t="n"/>
      <c r="B711" s="1" t="n"/>
      <c r="C711" s="2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</row>
    <row r="712" ht="16.5" customHeight="1" s="220">
      <c r="A712" s="1" t="n"/>
      <c r="B712" s="1" t="n"/>
      <c r="C712" s="2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</row>
    <row r="713" ht="16.5" customHeight="1" s="220">
      <c r="A713" s="1" t="n"/>
      <c r="B713" s="1" t="n"/>
      <c r="C713" s="2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</row>
    <row r="714" ht="16.5" customHeight="1" s="220">
      <c r="A714" s="1" t="n"/>
      <c r="B714" s="1" t="n"/>
      <c r="C714" s="2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</row>
    <row r="715" ht="16.5" customHeight="1" s="220">
      <c r="A715" s="1" t="n"/>
      <c r="B715" s="1" t="n"/>
      <c r="C715" s="2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</row>
    <row r="716" ht="16.5" customHeight="1" s="220">
      <c r="A716" s="1" t="n"/>
      <c r="B716" s="1" t="n"/>
      <c r="C716" s="2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</row>
    <row r="717" ht="16.5" customHeight="1" s="220">
      <c r="A717" s="1" t="n"/>
      <c r="B717" s="1" t="n"/>
      <c r="C717" s="2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</row>
    <row r="718" ht="16.5" customHeight="1" s="220">
      <c r="A718" s="1" t="n"/>
      <c r="B718" s="1" t="n"/>
      <c r="C718" s="2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</row>
    <row r="719" ht="16.5" customHeight="1" s="220">
      <c r="A719" s="1" t="n"/>
      <c r="B719" s="1" t="n"/>
      <c r="C719" s="2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</row>
    <row r="720" ht="16.5" customHeight="1" s="220">
      <c r="A720" s="1" t="n"/>
      <c r="B720" s="1" t="n"/>
      <c r="C720" s="2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</row>
    <row r="721" ht="16.5" customHeight="1" s="220">
      <c r="A721" s="1" t="n"/>
      <c r="B721" s="1" t="n"/>
      <c r="C721" s="2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</row>
    <row r="722" ht="16.5" customHeight="1" s="220">
      <c r="A722" s="1" t="n"/>
      <c r="B722" s="1" t="n"/>
      <c r="C722" s="2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</row>
    <row r="723" ht="16.5" customHeight="1" s="220">
      <c r="A723" s="1" t="n"/>
      <c r="B723" s="1" t="n"/>
      <c r="C723" s="2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</row>
    <row r="724" ht="16.5" customHeight="1" s="220">
      <c r="A724" s="1" t="n"/>
      <c r="B724" s="1" t="n"/>
      <c r="C724" s="2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</row>
    <row r="725" ht="16.5" customHeight="1" s="220">
      <c r="A725" s="1" t="n"/>
      <c r="B725" s="1" t="n"/>
      <c r="C725" s="2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</row>
    <row r="726" ht="16.5" customHeight="1" s="220">
      <c r="A726" s="1" t="n"/>
      <c r="B726" s="1" t="n"/>
      <c r="C726" s="2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</row>
    <row r="727" ht="16.5" customHeight="1" s="220">
      <c r="A727" s="1" t="n"/>
      <c r="B727" s="1" t="n"/>
      <c r="C727" s="2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</row>
    <row r="728" ht="16.5" customHeight="1" s="220">
      <c r="A728" s="1" t="n"/>
      <c r="B728" s="1" t="n"/>
      <c r="C728" s="2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</row>
    <row r="729" ht="16.5" customHeight="1" s="220">
      <c r="A729" s="1" t="n"/>
      <c r="B729" s="1" t="n"/>
      <c r="C729" s="2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</row>
    <row r="730" ht="16.5" customHeight="1" s="220">
      <c r="A730" s="1" t="n"/>
      <c r="B730" s="1" t="n"/>
      <c r="C730" s="2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</row>
    <row r="731" ht="16.5" customHeight="1" s="220">
      <c r="A731" s="1" t="n"/>
      <c r="B731" s="1" t="n"/>
      <c r="C731" s="2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</row>
    <row r="732" ht="16.5" customHeight="1" s="220">
      <c r="A732" s="1" t="n"/>
      <c r="B732" s="1" t="n"/>
      <c r="C732" s="2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</row>
    <row r="733" ht="16.5" customHeight="1" s="220">
      <c r="A733" s="1" t="n"/>
      <c r="B733" s="1" t="n"/>
      <c r="C733" s="2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</row>
    <row r="734" ht="16.5" customHeight="1" s="220">
      <c r="A734" s="1" t="n"/>
      <c r="B734" s="1" t="n"/>
      <c r="C734" s="2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</row>
    <row r="735" ht="16.5" customHeight="1" s="220">
      <c r="A735" s="1" t="n"/>
      <c r="B735" s="1" t="n"/>
      <c r="C735" s="2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</row>
    <row r="736" ht="16.5" customHeight="1" s="220">
      <c r="A736" s="1" t="n"/>
      <c r="B736" s="1" t="n"/>
      <c r="C736" s="2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</row>
    <row r="737" ht="16.5" customHeight="1" s="220">
      <c r="A737" s="1" t="n"/>
      <c r="B737" s="1" t="n"/>
      <c r="C737" s="2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</row>
    <row r="738" ht="16.5" customHeight="1" s="220">
      <c r="A738" s="1" t="n"/>
      <c r="B738" s="1" t="n"/>
      <c r="C738" s="2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</row>
    <row r="739" ht="16.5" customHeight="1" s="220">
      <c r="A739" s="1" t="n"/>
      <c r="B739" s="1" t="n"/>
      <c r="C739" s="2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</row>
    <row r="740" ht="16.5" customHeight="1" s="220">
      <c r="A740" s="1" t="n"/>
      <c r="B740" s="1" t="n"/>
      <c r="C740" s="2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</row>
    <row r="741" ht="16.5" customHeight="1" s="220">
      <c r="A741" s="1" t="n"/>
      <c r="B741" s="1" t="n"/>
      <c r="C741" s="2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</row>
    <row r="742" ht="16.5" customHeight="1" s="220">
      <c r="A742" s="1" t="n"/>
      <c r="B742" s="1" t="n"/>
      <c r="C742" s="2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</row>
    <row r="743" ht="16.5" customHeight="1" s="220">
      <c r="A743" s="1" t="n"/>
      <c r="B743" s="1" t="n"/>
      <c r="C743" s="2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</row>
    <row r="744" ht="16.5" customHeight="1" s="220">
      <c r="A744" s="1" t="n"/>
      <c r="B744" s="1" t="n"/>
      <c r="C744" s="2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</row>
    <row r="745" ht="16.5" customHeight="1" s="220">
      <c r="A745" s="1" t="n"/>
      <c r="B745" s="1" t="n"/>
      <c r="C745" s="2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</row>
    <row r="746" ht="16.5" customHeight="1" s="220">
      <c r="A746" s="1" t="n"/>
      <c r="B746" s="1" t="n"/>
      <c r="C746" s="2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</row>
    <row r="747" ht="16.5" customHeight="1" s="220">
      <c r="A747" s="1" t="n"/>
      <c r="B747" s="1" t="n"/>
      <c r="C747" s="2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</row>
    <row r="748" ht="16.5" customHeight="1" s="220">
      <c r="A748" s="1" t="n"/>
      <c r="B748" s="1" t="n"/>
      <c r="C748" s="2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</row>
    <row r="749" ht="16.5" customHeight="1" s="220">
      <c r="A749" s="1" t="n"/>
      <c r="B749" s="1" t="n"/>
      <c r="C749" s="2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</row>
    <row r="750" ht="16.5" customHeight="1" s="220">
      <c r="A750" s="1" t="n"/>
      <c r="B750" s="1" t="n"/>
      <c r="C750" s="2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</row>
    <row r="751" ht="16.5" customHeight="1" s="220">
      <c r="A751" s="1" t="n"/>
      <c r="B751" s="1" t="n"/>
      <c r="C751" s="2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</row>
    <row r="752" ht="16.5" customHeight="1" s="220">
      <c r="A752" s="1" t="n"/>
      <c r="B752" s="1" t="n"/>
      <c r="C752" s="2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</row>
    <row r="753" ht="16.5" customHeight="1" s="220">
      <c r="A753" s="1" t="n"/>
      <c r="B753" s="1" t="n"/>
      <c r="C753" s="2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</row>
    <row r="754" ht="16.5" customHeight="1" s="220">
      <c r="A754" s="1" t="n"/>
      <c r="B754" s="1" t="n"/>
      <c r="C754" s="2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</row>
    <row r="755" ht="16.5" customHeight="1" s="220">
      <c r="A755" s="1" t="n"/>
      <c r="B755" s="1" t="n"/>
      <c r="C755" s="2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</row>
    <row r="756" ht="16.5" customHeight="1" s="220">
      <c r="A756" s="1" t="n"/>
      <c r="B756" s="1" t="n"/>
      <c r="C756" s="2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</row>
    <row r="757" ht="16.5" customHeight="1" s="220">
      <c r="A757" s="1" t="n"/>
      <c r="B757" s="1" t="n"/>
      <c r="C757" s="2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</row>
    <row r="758" ht="16.5" customHeight="1" s="220">
      <c r="A758" s="1" t="n"/>
      <c r="B758" s="1" t="n"/>
      <c r="C758" s="2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</row>
    <row r="759" ht="16.5" customHeight="1" s="220">
      <c r="A759" s="1" t="n"/>
      <c r="B759" s="1" t="n"/>
      <c r="C759" s="2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</row>
    <row r="760" ht="16.5" customHeight="1" s="220">
      <c r="A760" s="1" t="n"/>
      <c r="B760" s="1" t="n"/>
      <c r="C760" s="2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</row>
    <row r="761" ht="16.5" customHeight="1" s="220">
      <c r="A761" s="1" t="n"/>
      <c r="B761" s="1" t="n"/>
      <c r="C761" s="2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</row>
    <row r="762" ht="16.5" customHeight="1" s="220">
      <c r="A762" s="1" t="n"/>
      <c r="B762" s="1" t="n"/>
      <c r="C762" s="2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</row>
    <row r="763" ht="16.5" customHeight="1" s="220">
      <c r="A763" s="1" t="n"/>
      <c r="B763" s="1" t="n"/>
      <c r="C763" s="2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</row>
    <row r="764" ht="16.5" customHeight="1" s="220">
      <c r="A764" s="1" t="n"/>
      <c r="B764" s="1" t="n"/>
      <c r="C764" s="2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</row>
    <row r="765" ht="16.5" customHeight="1" s="220">
      <c r="A765" s="1" t="n"/>
      <c r="B765" s="1" t="n"/>
      <c r="C765" s="2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</row>
    <row r="766" ht="16.5" customHeight="1" s="220">
      <c r="A766" s="1" t="n"/>
      <c r="B766" s="1" t="n"/>
      <c r="C766" s="2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</row>
    <row r="767" ht="16.5" customHeight="1" s="220">
      <c r="A767" s="1" t="n"/>
      <c r="B767" s="1" t="n"/>
      <c r="C767" s="2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</row>
    <row r="768" ht="16.5" customHeight="1" s="220">
      <c r="A768" s="1" t="n"/>
      <c r="B768" s="1" t="n"/>
      <c r="C768" s="2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</row>
    <row r="769" ht="16.5" customHeight="1" s="220">
      <c r="A769" s="1" t="n"/>
      <c r="B769" s="1" t="n"/>
      <c r="C769" s="2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</row>
    <row r="770" ht="16.5" customHeight="1" s="220">
      <c r="A770" s="1" t="n"/>
      <c r="B770" s="1" t="n"/>
      <c r="C770" s="2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</row>
    <row r="771" ht="16.5" customHeight="1" s="220">
      <c r="A771" s="1" t="n"/>
      <c r="B771" s="1" t="n"/>
      <c r="C771" s="2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</row>
    <row r="772" ht="16.5" customHeight="1" s="220">
      <c r="A772" s="1" t="n"/>
      <c r="B772" s="1" t="n"/>
      <c r="C772" s="2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</row>
    <row r="773" ht="16.5" customHeight="1" s="220">
      <c r="A773" s="1" t="n"/>
      <c r="B773" s="1" t="n"/>
      <c r="C773" s="2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</row>
    <row r="774" ht="16.5" customHeight="1" s="220">
      <c r="A774" s="1" t="n"/>
      <c r="B774" s="1" t="n"/>
      <c r="C774" s="2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</row>
    <row r="775" ht="16.5" customHeight="1" s="220">
      <c r="A775" s="1" t="n"/>
      <c r="B775" s="1" t="n"/>
      <c r="C775" s="2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</row>
    <row r="776" ht="16.5" customHeight="1" s="220">
      <c r="A776" s="1" t="n"/>
      <c r="B776" s="1" t="n"/>
      <c r="C776" s="2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</row>
    <row r="777" ht="16.5" customHeight="1" s="220">
      <c r="A777" s="1" t="n"/>
      <c r="B777" s="1" t="n"/>
      <c r="C777" s="2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</row>
    <row r="778" ht="16.5" customHeight="1" s="220">
      <c r="A778" s="1" t="n"/>
      <c r="B778" s="1" t="n"/>
      <c r="C778" s="2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</row>
    <row r="779" ht="16.5" customHeight="1" s="220">
      <c r="A779" s="1" t="n"/>
      <c r="B779" s="1" t="n"/>
      <c r="C779" s="2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</row>
    <row r="780" ht="16.5" customHeight="1" s="220">
      <c r="A780" s="1" t="n"/>
      <c r="B780" s="1" t="n"/>
      <c r="C780" s="2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</row>
    <row r="781" ht="16.5" customHeight="1" s="220">
      <c r="A781" s="1" t="n"/>
      <c r="B781" s="1" t="n"/>
      <c r="C781" s="2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</row>
    <row r="782" ht="16.5" customHeight="1" s="220">
      <c r="A782" s="1" t="n"/>
      <c r="B782" s="1" t="n"/>
      <c r="C782" s="2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</row>
    <row r="783" ht="16.5" customHeight="1" s="220">
      <c r="A783" s="1" t="n"/>
      <c r="B783" s="1" t="n"/>
      <c r="C783" s="2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</row>
    <row r="784" ht="16.5" customHeight="1" s="220">
      <c r="A784" s="1" t="n"/>
      <c r="B784" s="1" t="n"/>
      <c r="C784" s="2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</row>
    <row r="785" ht="16.5" customHeight="1" s="220">
      <c r="A785" s="1" t="n"/>
      <c r="B785" s="1" t="n"/>
      <c r="C785" s="2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</row>
    <row r="786" ht="16.5" customHeight="1" s="220">
      <c r="A786" s="1" t="n"/>
      <c r="B786" s="1" t="n"/>
      <c r="C786" s="2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</row>
    <row r="787" ht="16.5" customHeight="1" s="220">
      <c r="A787" s="1" t="n"/>
      <c r="B787" s="1" t="n"/>
      <c r="C787" s="2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</row>
    <row r="788" ht="16.5" customHeight="1" s="220">
      <c r="A788" s="1" t="n"/>
      <c r="B788" s="1" t="n"/>
      <c r="C788" s="2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</row>
    <row r="789" ht="16.5" customHeight="1" s="220">
      <c r="A789" s="1" t="n"/>
      <c r="B789" s="1" t="n"/>
      <c r="C789" s="2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</row>
    <row r="790" ht="16.5" customHeight="1" s="220">
      <c r="A790" s="1" t="n"/>
      <c r="B790" s="1" t="n"/>
      <c r="C790" s="2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</row>
    <row r="791" ht="16.5" customHeight="1" s="220">
      <c r="A791" s="1" t="n"/>
      <c r="B791" s="1" t="n"/>
      <c r="C791" s="2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</row>
    <row r="792" ht="16.5" customHeight="1" s="220">
      <c r="A792" s="1" t="n"/>
      <c r="B792" s="1" t="n"/>
      <c r="C792" s="2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</row>
    <row r="793" ht="16.5" customHeight="1" s="220">
      <c r="A793" s="1" t="n"/>
      <c r="B793" s="1" t="n"/>
      <c r="C793" s="2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</row>
    <row r="794" ht="16.5" customHeight="1" s="220">
      <c r="A794" s="1" t="n"/>
      <c r="B794" s="1" t="n"/>
      <c r="C794" s="2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</row>
    <row r="795" ht="16.5" customHeight="1" s="220">
      <c r="A795" s="1" t="n"/>
      <c r="B795" s="1" t="n"/>
      <c r="C795" s="2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</row>
    <row r="796" ht="16.5" customHeight="1" s="220">
      <c r="A796" s="1" t="n"/>
      <c r="B796" s="1" t="n"/>
      <c r="C796" s="2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</row>
    <row r="797" ht="16.5" customHeight="1" s="220">
      <c r="A797" s="1" t="n"/>
      <c r="B797" s="1" t="n"/>
      <c r="C797" s="2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</row>
    <row r="798" ht="16.5" customHeight="1" s="220">
      <c r="A798" s="1" t="n"/>
      <c r="B798" s="1" t="n"/>
      <c r="C798" s="2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</row>
    <row r="799" ht="16.5" customHeight="1" s="220">
      <c r="A799" s="1" t="n"/>
      <c r="B799" s="1" t="n"/>
      <c r="C799" s="2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</row>
    <row r="800" ht="16.5" customHeight="1" s="220">
      <c r="A800" s="1" t="n"/>
      <c r="B800" s="1" t="n"/>
      <c r="C800" s="2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</row>
    <row r="801" ht="16.5" customHeight="1" s="220">
      <c r="A801" s="1" t="n"/>
      <c r="B801" s="1" t="n"/>
      <c r="C801" s="2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</row>
    <row r="802" ht="16.5" customHeight="1" s="220">
      <c r="A802" s="1" t="n"/>
      <c r="B802" s="1" t="n"/>
      <c r="C802" s="2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</row>
    <row r="803" ht="16.5" customHeight="1" s="220">
      <c r="A803" s="1" t="n"/>
      <c r="B803" s="1" t="n"/>
      <c r="C803" s="2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</row>
    <row r="804" ht="16.5" customHeight="1" s="220">
      <c r="A804" s="1" t="n"/>
      <c r="B804" s="1" t="n"/>
      <c r="C804" s="2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</row>
    <row r="805" ht="16.5" customHeight="1" s="220">
      <c r="A805" s="1" t="n"/>
      <c r="B805" s="1" t="n"/>
      <c r="C805" s="2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</row>
    <row r="806" ht="16.5" customHeight="1" s="220">
      <c r="A806" s="1" t="n"/>
      <c r="B806" s="1" t="n"/>
      <c r="C806" s="2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</row>
    <row r="807" ht="16.5" customHeight="1" s="220">
      <c r="A807" s="1" t="n"/>
      <c r="B807" s="1" t="n"/>
      <c r="C807" s="2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</row>
    <row r="808" ht="16.5" customHeight="1" s="220">
      <c r="A808" s="1" t="n"/>
      <c r="B808" s="1" t="n"/>
      <c r="C808" s="2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</row>
    <row r="809" ht="16.5" customHeight="1" s="220">
      <c r="A809" s="1" t="n"/>
      <c r="B809" s="1" t="n"/>
      <c r="C809" s="2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</row>
    <row r="810" ht="16.5" customHeight="1" s="220">
      <c r="A810" s="1" t="n"/>
      <c r="B810" s="1" t="n"/>
      <c r="C810" s="2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</row>
    <row r="811" ht="16.5" customHeight="1" s="220">
      <c r="A811" s="1" t="n"/>
      <c r="B811" s="1" t="n"/>
      <c r="C811" s="2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</row>
    <row r="812" ht="16.5" customHeight="1" s="220">
      <c r="A812" s="1" t="n"/>
      <c r="B812" s="1" t="n"/>
      <c r="C812" s="2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</row>
    <row r="813" ht="16.5" customHeight="1" s="220">
      <c r="A813" s="1" t="n"/>
      <c r="B813" s="1" t="n"/>
      <c r="C813" s="2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</row>
    <row r="814" ht="16.5" customHeight="1" s="220">
      <c r="A814" s="1" t="n"/>
      <c r="B814" s="1" t="n"/>
      <c r="C814" s="2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</row>
    <row r="815" ht="16.5" customHeight="1" s="220">
      <c r="A815" s="1" t="n"/>
      <c r="B815" s="1" t="n"/>
      <c r="C815" s="2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</row>
    <row r="816" ht="16.5" customHeight="1" s="220">
      <c r="A816" s="1" t="n"/>
      <c r="B816" s="1" t="n"/>
      <c r="C816" s="2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</row>
    <row r="817" ht="16.5" customHeight="1" s="220">
      <c r="A817" s="1" t="n"/>
      <c r="B817" s="1" t="n"/>
      <c r="C817" s="2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</row>
    <row r="818" ht="16.5" customHeight="1" s="220">
      <c r="A818" s="1" t="n"/>
      <c r="B818" s="1" t="n"/>
      <c r="C818" s="2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</row>
    <row r="819" ht="16.5" customHeight="1" s="220">
      <c r="A819" s="1" t="n"/>
      <c r="B819" s="1" t="n"/>
      <c r="C819" s="2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</row>
    <row r="820" ht="16.5" customHeight="1" s="220">
      <c r="A820" s="1" t="n"/>
      <c r="B820" s="1" t="n"/>
      <c r="C820" s="2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</row>
    <row r="821" ht="16.5" customHeight="1" s="220">
      <c r="A821" s="1" t="n"/>
      <c r="B821" s="1" t="n"/>
      <c r="C821" s="2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</row>
    <row r="822" ht="16.5" customHeight="1" s="220">
      <c r="A822" s="1" t="n"/>
      <c r="B822" s="1" t="n"/>
      <c r="C822" s="2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</row>
    <row r="823" ht="16.5" customHeight="1" s="220">
      <c r="A823" s="1" t="n"/>
      <c r="B823" s="1" t="n"/>
      <c r="C823" s="2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</row>
    <row r="824" ht="16.5" customHeight="1" s="220">
      <c r="A824" s="1" t="n"/>
      <c r="B824" s="1" t="n"/>
      <c r="C824" s="2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</row>
    <row r="825" ht="16.5" customHeight="1" s="220">
      <c r="A825" s="1" t="n"/>
      <c r="B825" s="1" t="n"/>
      <c r="C825" s="2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</row>
    <row r="826" ht="16.5" customHeight="1" s="220">
      <c r="A826" s="1" t="n"/>
      <c r="B826" s="1" t="n"/>
      <c r="C826" s="2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</row>
    <row r="827" ht="16.5" customHeight="1" s="220">
      <c r="A827" s="1" t="n"/>
      <c r="B827" s="1" t="n"/>
      <c r="C827" s="2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</row>
    <row r="828" ht="16.5" customHeight="1" s="220">
      <c r="A828" s="1" t="n"/>
      <c r="B828" s="1" t="n"/>
      <c r="C828" s="2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</row>
    <row r="829" ht="16.5" customHeight="1" s="220">
      <c r="A829" s="1" t="n"/>
      <c r="B829" s="1" t="n"/>
      <c r="C829" s="2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</row>
    <row r="830" ht="16.5" customHeight="1" s="220">
      <c r="A830" s="1" t="n"/>
      <c r="B830" s="1" t="n"/>
      <c r="C830" s="2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</row>
    <row r="831" ht="16.5" customHeight="1" s="220">
      <c r="A831" s="1" t="n"/>
      <c r="B831" s="1" t="n"/>
      <c r="C831" s="2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</row>
    <row r="832" ht="16.5" customHeight="1" s="220">
      <c r="A832" s="1" t="n"/>
      <c r="B832" s="1" t="n"/>
      <c r="C832" s="2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</row>
    <row r="833" ht="16.5" customHeight="1" s="220">
      <c r="A833" s="1" t="n"/>
      <c r="B833" s="1" t="n"/>
      <c r="C833" s="2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</row>
    <row r="834" ht="16.5" customHeight="1" s="220">
      <c r="A834" s="1" t="n"/>
      <c r="B834" s="1" t="n"/>
      <c r="C834" s="2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</row>
    <row r="835" ht="16.5" customHeight="1" s="220">
      <c r="A835" s="1" t="n"/>
      <c r="B835" s="1" t="n"/>
      <c r="C835" s="2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</row>
    <row r="836" ht="16.5" customHeight="1" s="220">
      <c r="A836" s="1" t="n"/>
      <c r="B836" s="1" t="n"/>
      <c r="C836" s="2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</row>
    <row r="837" ht="16.5" customHeight="1" s="220">
      <c r="A837" s="1" t="n"/>
      <c r="B837" s="1" t="n"/>
      <c r="C837" s="2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</row>
    <row r="838" ht="16.5" customHeight="1" s="220">
      <c r="A838" s="1" t="n"/>
      <c r="B838" s="1" t="n"/>
      <c r="C838" s="2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</row>
    <row r="839" ht="16.5" customHeight="1" s="220">
      <c r="A839" s="1" t="n"/>
      <c r="B839" s="1" t="n"/>
      <c r="C839" s="2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</row>
    <row r="840" ht="16.5" customHeight="1" s="220">
      <c r="A840" s="1" t="n"/>
      <c r="B840" s="1" t="n"/>
      <c r="C840" s="2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</row>
    <row r="841" ht="16.5" customHeight="1" s="220">
      <c r="A841" s="1" t="n"/>
      <c r="B841" s="1" t="n"/>
      <c r="C841" s="2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</row>
    <row r="842" ht="16.5" customHeight="1" s="220">
      <c r="A842" s="1" t="n"/>
      <c r="B842" s="1" t="n"/>
      <c r="C842" s="2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</row>
    <row r="843" ht="16.5" customHeight="1" s="220">
      <c r="A843" s="1" t="n"/>
      <c r="B843" s="1" t="n"/>
      <c r="C843" s="2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</row>
    <row r="844" ht="16.5" customHeight="1" s="220">
      <c r="A844" s="1" t="n"/>
      <c r="B844" s="1" t="n"/>
      <c r="C844" s="2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</row>
    <row r="845" ht="16.5" customHeight="1" s="220">
      <c r="A845" s="1" t="n"/>
      <c r="B845" s="1" t="n"/>
      <c r="C845" s="2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</row>
    <row r="846" ht="16.5" customHeight="1" s="220">
      <c r="A846" s="1" t="n"/>
      <c r="B846" s="1" t="n"/>
      <c r="C846" s="2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</row>
    <row r="847" ht="16.5" customHeight="1" s="220">
      <c r="A847" s="1" t="n"/>
      <c r="B847" s="1" t="n"/>
      <c r="C847" s="2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</row>
    <row r="848" ht="16.5" customHeight="1" s="220">
      <c r="A848" s="1" t="n"/>
      <c r="B848" s="1" t="n"/>
      <c r="C848" s="2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</row>
    <row r="849" ht="16.5" customHeight="1" s="220">
      <c r="A849" s="1" t="n"/>
      <c r="B849" s="1" t="n"/>
      <c r="C849" s="2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</row>
    <row r="850" ht="16.5" customHeight="1" s="220">
      <c r="A850" s="1" t="n"/>
      <c r="B850" s="1" t="n"/>
      <c r="C850" s="2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</row>
    <row r="851" ht="16.5" customHeight="1" s="220">
      <c r="A851" s="1" t="n"/>
      <c r="B851" s="1" t="n"/>
      <c r="C851" s="2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</row>
    <row r="852" ht="16.5" customHeight="1" s="220">
      <c r="A852" s="1" t="n"/>
      <c r="B852" s="1" t="n"/>
      <c r="C852" s="2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</row>
    <row r="853" ht="16.5" customHeight="1" s="220">
      <c r="A853" s="1" t="n"/>
      <c r="B853" s="1" t="n"/>
      <c r="C853" s="2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</row>
    <row r="854" ht="16.5" customHeight="1" s="220">
      <c r="A854" s="1" t="n"/>
      <c r="B854" s="1" t="n"/>
      <c r="C854" s="2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</row>
    <row r="855" ht="16.5" customHeight="1" s="220">
      <c r="A855" s="1" t="n"/>
      <c r="B855" s="1" t="n"/>
      <c r="C855" s="2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</row>
    <row r="856" ht="16.5" customHeight="1" s="220">
      <c r="A856" s="1" t="n"/>
      <c r="B856" s="1" t="n"/>
      <c r="C856" s="2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</row>
    <row r="857" ht="16.5" customHeight="1" s="220">
      <c r="A857" s="1" t="n"/>
      <c r="B857" s="1" t="n"/>
      <c r="C857" s="2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</row>
    <row r="858" ht="16.5" customHeight="1" s="220">
      <c r="A858" s="1" t="n"/>
      <c r="B858" s="1" t="n"/>
      <c r="C858" s="2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</row>
    <row r="859" ht="16.5" customHeight="1" s="220">
      <c r="A859" s="1" t="n"/>
      <c r="B859" s="1" t="n"/>
      <c r="C859" s="2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</row>
    <row r="860" ht="16.5" customHeight="1" s="220">
      <c r="A860" s="1" t="n"/>
      <c r="B860" s="1" t="n"/>
      <c r="C860" s="2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</row>
    <row r="861" ht="16.5" customHeight="1" s="220">
      <c r="A861" s="1" t="n"/>
      <c r="B861" s="1" t="n"/>
      <c r="C861" s="2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</row>
    <row r="862" ht="16.5" customHeight="1" s="220">
      <c r="A862" s="1" t="n"/>
      <c r="B862" s="1" t="n"/>
      <c r="C862" s="2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</row>
    <row r="863" ht="16.5" customHeight="1" s="220">
      <c r="A863" s="1" t="n"/>
      <c r="B863" s="1" t="n"/>
      <c r="C863" s="2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</row>
    <row r="864" ht="16.5" customHeight="1" s="220">
      <c r="A864" s="1" t="n"/>
      <c r="B864" s="1" t="n"/>
      <c r="C864" s="2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</row>
    <row r="865" ht="16.5" customHeight="1" s="220">
      <c r="A865" s="1" t="n"/>
      <c r="B865" s="1" t="n"/>
      <c r="C865" s="2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</row>
    <row r="866" ht="16.5" customHeight="1" s="220">
      <c r="A866" s="1" t="n"/>
      <c r="B866" s="1" t="n"/>
      <c r="C866" s="2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</row>
    <row r="867" ht="16.5" customHeight="1" s="220">
      <c r="A867" s="1" t="n"/>
      <c r="B867" s="1" t="n"/>
      <c r="C867" s="2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</row>
    <row r="868" ht="16.5" customHeight="1" s="220">
      <c r="A868" s="1" t="n"/>
      <c r="B868" s="1" t="n"/>
      <c r="C868" s="2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</row>
    <row r="869" ht="16.5" customHeight="1" s="220">
      <c r="A869" s="1" t="n"/>
      <c r="B869" s="1" t="n"/>
      <c r="C869" s="2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</row>
    <row r="870" ht="16.5" customHeight="1" s="220">
      <c r="A870" s="1" t="n"/>
      <c r="B870" s="1" t="n"/>
      <c r="C870" s="2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</row>
    <row r="871" ht="16.5" customHeight="1" s="220">
      <c r="A871" s="1" t="n"/>
      <c r="B871" s="1" t="n"/>
      <c r="C871" s="2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</row>
    <row r="872" ht="16.5" customHeight="1" s="220">
      <c r="A872" s="1" t="n"/>
      <c r="B872" s="1" t="n"/>
      <c r="C872" s="2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</row>
    <row r="873" ht="16.5" customHeight="1" s="220">
      <c r="A873" s="1" t="n"/>
      <c r="B873" s="1" t="n"/>
      <c r="C873" s="2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</row>
    <row r="874" ht="16.5" customHeight="1" s="220">
      <c r="A874" s="1" t="n"/>
      <c r="B874" s="1" t="n"/>
      <c r="C874" s="2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</row>
    <row r="875" ht="16.5" customHeight="1" s="220">
      <c r="A875" s="1" t="n"/>
      <c r="B875" s="1" t="n"/>
      <c r="C875" s="2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</row>
    <row r="876" ht="16.5" customHeight="1" s="220">
      <c r="A876" s="1" t="n"/>
      <c r="B876" s="1" t="n"/>
      <c r="C876" s="2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</row>
    <row r="877" ht="16.5" customHeight="1" s="220">
      <c r="A877" s="1" t="n"/>
      <c r="B877" s="1" t="n"/>
      <c r="C877" s="2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</row>
    <row r="878" ht="16.5" customHeight="1" s="220">
      <c r="A878" s="1" t="n"/>
      <c r="B878" s="1" t="n"/>
      <c r="C878" s="2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</row>
    <row r="879" ht="16.5" customHeight="1" s="220">
      <c r="A879" s="1" t="n"/>
      <c r="B879" s="1" t="n"/>
      <c r="C879" s="2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</row>
    <row r="880" ht="16.5" customHeight="1" s="220">
      <c r="A880" s="1" t="n"/>
      <c r="B880" s="1" t="n"/>
      <c r="C880" s="2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</row>
    <row r="881" ht="16.5" customHeight="1" s="220">
      <c r="A881" s="1" t="n"/>
      <c r="B881" s="1" t="n"/>
      <c r="C881" s="2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</row>
    <row r="882" ht="16.5" customHeight="1" s="220">
      <c r="A882" s="1" t="n"/>
      <c r="B882" s="1" t="n"/>
      <c r="C882" s="2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</row>
    <row r="883" ht="16.5" customHeight="1" s="220">
      <c r="A883" s="1" t="n"/>
      <c r="B883" s="1" t="n"/>
      <c r="C883" s="2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</row>
    <row r="884" ht="16.5" customHeight="1" s="220">
      <c r="A884" s="1" t="n"/>
      <c r="B884" s="1" t="n"/>
      <c r="C884" s="2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</row>
    <row r="885" ht="16.5" customHeight="1" s="220">
      <c r="A885" s="1" t="n"/>
      <c r="B885" s="1" t="n"/>
      <c r="C885" s="2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</row>
    <row r="886" ht="16.5" customHeight="1" s="220">
      <c r="A886" s="1" t="n"/>
      <c r="B886" s="1" t="n"/>
      <c r="C886" s="2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</row>
    <row r="887" ht="16.5" customHeight="1" s="220">
      <c r="A887" s="1" t="n"/>
      <c r="B887" s="1" t="n"/>
      <c r="C887" s="2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</row>
    <row r="888" ht="16.5" customHeight="1" s="220">
      <c r="A888" s="1" t="n"/>
      <c r="B888" s="1" t="n"/>
      <c r="C888" s="2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</row>
    <row r="889" ht="16.5" customHeight="1" s="220">
      <c r="A889" s="1" t="n"/>
      <c r="B889" s="1" t="n"/>
      <c r="C889" s="2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</row>
    <row r="890" ht="16.5" customHeight="1" s="220">
      <c r="A890" s="1" t="n"/>
      <c r="B890" s="1" t="n"/>
      <c r="C890" s="2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</row>
    <row r="891" ht="16.5" customHeight="1" s="220">
      <c r="A891" s="1" t="n"/>
      <c r="B891" s="1" t="n"/>
      <c r="C891" s="2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</row>
    <row r="892" ht="16.5" customHeight="1" s="220">
      <c r="A892" s="1" t="n"/>
      <c r="B892" s="1" t="n"/>
      <c r="C892" s="2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</row>
    <row r="893" ht="16.5" customHeight="1" s="220">
      <c r="A893" s="1" t="n"/>
      <c r="B893" s="1" t="n"/>
      <c r="C893" s="2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</row>
    <row r="894" ht="16.5" customHeight="1" s="220">
      <c r="A894" s="1" t="n"/>
      <c r="B894" s="1" t="n"/>
      <c r="C894" s="2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</row>
    <row r="895" ht="16.5" customHeight="1" s="220">
      <c r="A895" s="1" t="n"/>
      <c r="B895" s="1" t="n"/>
      <c r="C895" s="2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</row>
    <row r="896" ht="16.5" customHeight="1" s="220">
      <c r="A896" s="1" t="n"/>
      <c r="B896" s="1" t="n"/>
      <c r="C896" s="2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</row>
    <row r="897" ht="16.5" customHeight="1" s="220">
      <c r="A897" s="1" t="n"/>
      <c r="B897" s="1" t="n"/>
      <c r="C897" s="2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</row>
    <row r="898" ht="16.5" customHeight="1" s="220">
      <c r="A898" s="1" t="n"/>
      <c r="B898" s="1" t="n"/>
      <c r="C898" s="2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</row>
    <row r="899" ht="16.5" customHeight="1" s="220">
      <c r="A899" s="1" t="n"/>
      <c r="B899" s="1" t="n"/>
      <c r="C899" s="2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</row>
    <row r="900" ht="16.5" customHeight="1" s="220">
      <c r="A900" s="1" t="n"/>
      <c r="B900" s="1" t="n"/>
      <c r="C900" s="2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</row>
    <row r="901" ht="16.5" customHeight="1" s="220">
      <c r="A901" s="1" t="n"/>
      <c r="B901" s="1" t="n"/>
      <c r="C901" s="2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</row>
    <row r="902" ht="16.5" customHeight="1" s="220">
      <c r="A902" s="1" t="n"/>
      <c r="B902" s="1" t="n"/>
      <c r="C902" s="2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</row>
    <row r="903" ht="16.5" customHeight="1" s="220">
      <c r="A903" s="1" t="n"/>
      <c r="B903" s="1" t="n"/>
      <c r="C903" s="2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</row>
    <row r="904" ht="16.5" customHeight="1" s="220">
      <c r="A904" s="1" t="n"/>
      <c r="B904" s="1" t="n"/>
      <c r="C904" s="2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</row>
    <row r="905" ht="16.5" customHeight="1" s="220">
      <c r="A905" s="1" t="n"/>
      <c r="B905" s="1" t="n"/>
      <c r="C905" s="2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</row>
    <row r="906" ht="16.5" customHeight="1" s="220">
      <c r="A906" s="1" t="n"/>
      <c r="B906" s="1" t="n"/>
      <c r="C906" s="2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</row>
    <row r="907" ht="16.5" customHeight="1" s="220">
      <c r="A907" s="1" t="n"/>
      <c r="B907" s="1" t="n"/>
      <c r="C907" s="2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</row>
    <row r="908" ht="16.5" customHeight="1" s="220">
      <c r="A908" s="1" t="n"/>
      <c r="B908" s="1" t="n"/>
      <c r="C908" s="2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</row>
    <row r="909" ht="16.5" customHeight="1" s="220">
      <c r="A909" s="1" t="n"/>
      <c r="B909" s="1" t="n"/>
      <c r="C909" s="2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</row>
    <row r="910" ht="16.5" customHeight="1" s="220">
      <c r="A910" s="1" t="n"/>
      <c r="B910" s="1" t="n"/>
      <c r="C910" s="2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</row>
    <row r="911" ht="16.5" customHeight="1" s="220">
      <c r="A911" s="1" t="n"/>
      <c r="B911" s="1" t="n"/>
      <c r="C911" s="2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</row>
    <row r="912" ht="16.5" customHeight="1" s="220">
      <c r="A912" s="1" t="n"/>
      <c r="B912" s="1" t="n"/>
      <c r="C912" s="2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</row>
    <row r="913" ht="16.5" customHeight="1" s="220">
      <c r="A913" s="1" t="n"/>
      <c r="B913" s="1" t="n"/>
      <c r="C913" s="2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</row>
    <row r="914" ht="16.5" customHeight="1" s="220">
      <c r="A914" s="1" t="n"/>
      <c r="B914" s="1" t="n"/>
      <c r="C914" s="2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</row>
    <row r="915" ht="16.5" customHeight="1" s="220">
      <c r="A915" s="1" t="n"/>
      <c r="B915" s="1" t="n"/>
      <c r="C915" s="2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</row>
    <row r="916" ht="16.5" customHeight="1" s="220">
      <c r="A916" s="1" t="n"/>
      <c r="B916" s="1" t="n"/>
      <c r="C916" s="2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</row>
    <row r="917" ht="16.5" customHeight="1" s="220">
      <c r="A917" s="1" t="n"/>
      <c r="B917" s="1" t="n"/>
      <c r="C917" s="2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</row>
    <row r="918" ht="16.5" customHeight="1" s="220">
      <c r="A918" s="1" t="n"/>
      <c r="B918" s="1" t="n"/>
      <c r="C918" s="2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</row>
    <row r="919" ht="16.5" customHeight="1" s="220">
      <c r="A919" s="1" t="n"/>
      <c r="B919" s="1" t="n"/>
      <c r="C919" s="2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</row>
    <row r="920" ht="16.5" customHeight="1" s="220">
      <c r="A920" s="1" t="n"/>
      <c r="B920" s="1" t="n"/>
      <c r="C920" s="2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</row>
    <row r="921" ht="16.5" customHeight="1" s="220">
      <c r="A921" s="1" t="n"/>
      <c r="B921" s="1" t="n"/>
      <c r="C921" s="2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</row>
    <row r="922" ht="16.5" customHeight="1" s="220">
      <c r="A922" s="1" t="n"/>
      <c r="B922" s="1" t="n"/>
      <c r="C922" s="2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</row>
    <row r="923" ht="16.5" customHeight="1" s="220">
      <c r="A923" s="1" t="n"/>
      <c r="B923" s="1" t="n"/>
      <c r="C923" s="2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</row>
    <row r="924" ht="16.5" customHeight="1" s="220">
      <c r="A924" s="1" t="n"/>
      <c r="B924" s="1" t="n"/>
      <c r="C924" s="2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</row>
    <row r="925" ht="16.5" customHeight="1" s="220">
      <c r="A925" s="1" t="n"/>
      <c r="B925" s="1" t="n"/>
      <c r="C925" s="2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</row>
    <row r="926" ht="16.5" customHeight="1" s="220">
      <c r="A926" s="1" t="n"/>
      <c r="B926" s="1" t="n"/>
      <c r="C926" s="2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</row>
    <row r="927" ht="16.5" customHeight="1" s="220">
      <c r="A927" s="1" t="n"/>
      <c r="B927" s="1" t="n"/>
      <c r="C927" s="2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</row>
    <row r="928" ht="16.5" customHeight="1" s="220">
      <c r="A928" s="1" t="n"/>
      <c r="B928" s="1" t="n"/>
      <c r="C928" s="2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</row>
    <row r="929" ht="16.5" customHeight="1" s="220">
      <c r="A929" s="1" t="n"/>
      <c r="B929" s="1" t="n"/>
      <c r="C929" s="2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</row>
    <row r="930" ht="16.5" customHeight="1" s="220">
      <c r="A930" s="1" t="n"/>
      <c r="B930" s="1" t="n"/>
      <c r="C930" s="2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</row>
    <row r="931" ht="16.5" customHeight="1" s="220">
      <c r="A931" s="1" t="n"/>
      <c r="B931" s="1" t="n"/>
      <c r="C931" s="2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</row>
    <row r="932" ht="16.5" customHeight="1" s="220">
      <c r="A932" s="1" t="n"/>
      <c r="B932" s="1" t="n"/>
      <c r="C932" s="2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</row>
    <row r="933" ht="16.5" customHeight="1" s="220">
      <c r="A933" s="1" t="n"/>
      <c r="B933" s="1" t="n"/>
      <c r="C933" s="2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</row>
    <row r="934" ht="16.5" customHeight="1" s="220">
      <c r="A934" s="1" t="n"/>
      <c r="B934" s="1" t="n"/>
      <c r="C934" s="2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</row>
    <row r="935" ht="16.5" customHeight="1" s="220">
      <c r="A935" s="1" t="n"/>
      <c r="B935" s="1" t="n"/>
      <c r="C935" s="2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</row>
    <row r="936" ht="16.5" customHeight="1" s="220">
      <c r="A936" s="1" t="n"/>
      <c r="B936" s="1" t="n"/>
      <c r="C936" s="2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</row>
    <row r="937" ht="16.5" customHeight="1" s="220">
      <c r="A937" s="1" t="n"/>
      <c r="B937" s="1" t="n"/>
      <c r="C937" s="2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</row>
    <row r="938" ht="16.5" customHeight="1" s="220">
      <c r="A938" s="1" t="n"/>
      <c r="B938" s="1" t="n"/>
      <c r="C938" s="2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</row>
    <row r="939" ht="16.5" customHeight="1" s="220">
      <c r="A939" s="1" t="n"/>
      <c r="B939" s="1" t="n"/>
      <c r="C939" s="2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</row>
    <row r="940" ht="16.5" customHeight="1" s="220">
      <c r="A940" s="1" t="n"/>
      <c r="B940" s="1" t="n"/>
      <c r="C940" s="2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</row>
    <row r="941" ht="16.5" customHeight="1" s="220">
      <c r="A941" s="1" t="n"/>
      <c r="B941" s="1" t="n"/>
      <c r="C941" s="2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</row>
    <row r="942" ht="16.5" customHeight="1" s="220">
      <c r="A942" s="1" t="n"/>
      <c r="B942" s="1" t="n"/>
      <c r="C942" s="2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</row>
    <row r="943" ht="16.5" customHeight="1" s="220">
      <c r="A943" s="1" t="n"/>
      <c r="B943" s="1" t="n"/>
      <c r="C943" s="2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</row>
    <row r="944" ht="16.5" customHeight="1" s="220">
      <c r="A944" s="1" t="n"/>
      <c r="B944" s="1" t="n"/>
      <c r="C944" s="2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</row>
    <row r="945" ht="16.5" customHeight="1" s="220">
      <c r="A945" s="1" t="n"/>
      <c r="B945" s="1" t="n"/>
      <c r="C945" s="2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</row>
    <row r="946" ht="16.5" customHeight="1" s="220">
      <c r="A946" s="1" t="n"/>
      <c r="B946" s="1" t="n"/>
      <c r="C946" s="2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</row>
    <row r="947" ht="16.5" customHeight="1" s="220">
      <c r="A947" s="1" t="n"/>
      <c r="B947" s="1" t="n"/>
      <c r="C947" s="2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</row>
    <row r="948" ht="16.5" customHeight="1" s="220">
      <c r="A948" s="1" t="n"/>
      <c r="B948" s="1" t="n"/>
      <c r="C948" s="2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</row>
    <row r="949" ht="16.5" customHeight="1" s="220">
      <c r="A949" s="1" t="n"/>
      <c r="B949" s="1" t="n"/>
      <c r="C949" s="2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</row>
    <row r="950" ht="16.5" customHeight="1" s="220">
      <c r="A950" s="1" t="n"/>
      <c r="B950" s="1" t="n"/>
      <c r="C950" s="2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</row>
    <row r="951" ht="16.5" customHeight="1" s="220">
      <c r="A951" s="1" t="n"/>
      <c r="B951" s="1" t="n"/>
      <c r="C951" s="2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</row>
    <row r="952" ht="16.5" customHeight="1" s="220">
      <c r="A952" s="1" t="n"/>
      <c r="B952" s="1" t="n"/>
      <c r="C952" s="2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</row>
    <row r="953" ht="16.5" customHeight="1" s="220">
      <c r="A953" s="1" t="n"/>
      <c r="B953" s="1" t="n"/>
      <c r="C953" s="2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</row>
    <row r="954" ht="16.5" customHeight="1" s="220">
      <c r="A954" s="1" t="n"/>
      <c r="B954" s="1" t="n"/>
      <c r="C954" s="2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</row>
    <row r="955" ht="16.5" customHeight="1" s="220">
      <c r="A955" s="1" t="n"/>
      <c r="B955" s="1" t="n"/>
      <c r="C955" s="2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</row>
    <row r="956" ht="16.5" customHeight="1" s="220">
      <c r="A956" s="1" t="n"/>
      <c r="B956" s="1" t="n"/>
      <c r="C956" s="2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</row>
    <row r="957" ht="16.5" customHeight="1" s="220">
      <c r="A957" s="1" t="n"/>
      <c r="B957" s="1" t="n"/>
      <c r="C957" s="2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</row>
    <row r="958" ht="16.5" customHeight="1" s="220">
      <c r="A958" s="1" t="n"/>
      <c r="B958" s="1" t="n"/>
      <c r="C958" s="2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</row>
    <row r="959" ht="16.5" customHeight="1" s="220">
      <c r="A959" s="1" t="n"/>
      <c r="B959" s="1" t="n"/>
      <c r="C959" s="2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</row>
    <row r="960" ht="16.5" customHeight="1" s="220">
      <c r="A960" s="1" t="n"/>
      <c r="B960" s="1" t="n"/>
      <c r="C960" s="2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</row>
    <row r="961" ht="16.5" customHeight="1" s="220">
      <c r="A961" s="1" t="n"/>
      <c r="B961" s="1" t="n"/>
      <c r="C961" s="2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</row>
    <row r="962" ht="16.5" customHeight="1" s="220">
      <c r="A962" s="1" t="n"/>
      <c r="B962" s="1" t="n"/>
      <c r="C962" s="2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</row>
    <row r="963" ht="16.5" customHeight="1" s="220">
      <c r="A963" s="1" t="n"/>
      <c r="B963" s="1" t="n"/>
      <c r="C963" s="2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</row>
    <row r="964" ht="16.5" customHeight="1" s="220">
      <c r="A964" s="1" t="n"/>
      <c r="B964" s="1" t="n"/>
      <c r="C964" s="2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</row>
    <row r="965" ht="16.5" customHeight="1" s="220">
      <c r="A965" s="1" t="n"/>
      <c r="B965" s="1" t="n"/>
      <c r="C965" s="2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</row>
    <row r="966" ht="16.5" customHeight="1" s="220">
      <c r="A966" s="1" t="n"/>
      <c r="B966" s="1" t="n"/>
      <c r="C966" s="2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</row>
    <row r="967" ht="16.5" customHeight="1" s="220">
      <c r="A967" s="1" t="n"/>
      <c r="B967" s="1" t="n"/>
      <c r="C967" s="2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</row>
    <row r="968" ht="16.5" customHeight="1" s="220">
      <c r="A968" s="1" t="n"/>
      <c r="B968" s="1" t="n"/>
      <c r="C968" s="2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</row>
    <row r="969" ht="16.5" customHeight="1" s="220">
      <c r="A969" s="1" t="n"/>
      <c r="B969" s="1" t="n"/>
      <c r="C969" s="2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</row>
    <row r="970" ht="16.5" customHeight="1" s="220">
      <c r="A970" s="1" t="n"/>
      <c r="B970" s="1" t="n"/>
      <c r="C970" s="2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</row>
    <row r="971" ht="16.5" customHeight="1" s="220">
      <c r="A971" s="1" t="n"/>
      <c r="B971" s="1" t="n"/>
      <c r="C971" s="2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</row>
    <row r="972" ht="16.5" customHeight="1" s="220">
      <c r="A972" s="1" t="n"/>
      <c r="B972" s="1" t="n"/>
      <c r="C972" s="2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</row>
    <row r="973" ht="16.5" customHeight="1" s="220">
      <c r="A973" s="1" t="n"/>
      <c r="B973" s="1" t="n"/>
      <c r="C973" s="2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</row>
    <row r="974" ht="16.5" customHeight="1" s="220">
      <c r="A974" s="1" t="n"/>
      <c r="B974" s="1" t="n"/>
      <c r="C974" s="2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</row>
    <row r="975" ht="16.5" customHeight="1" s="220">
      <c r="A975" s="1" t="n"/>
      <c r="B975" s="1" t="n"/>
      <c r="C975" s="2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</row>
    <row r="976" ht="16.5" customHeight="1" s="220">
      <c r="A976" s="1" t="n"/>
      <c r="B976" s="1" t="n"/>
      <c r="C976" s="2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</row>
    <row r="977" ht="16.5" customHeight="1" s="220">
      <c r="A977" s="1" t="n"/>
      <c r="B977" s="1" t="n"/>
      <c r="C977" s="2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</row>
    <row r="978" ht="16.5" customHeight="1" s="220">
      <c r="A978" s="1" t="n"/>
      <c r="B978" s="1" t="n"/>
      <c r="C978" s="2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</row>
    <row r="979" ht="16.5" customHeight="1" s="220">
      <c r="A979" s="1" t="n"/>
      <c r="B979" s="1" t="n"/>
      <c r="C979" s="2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</row>
    <row r="980" ht="16.5" customHeight="1" s="220">
      <c r="A980" s="1" t="n"/>
      <c r="B980" s="1" t="n"/>
      <c r="C980" s="2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</row>
    <row r="981" ht="16.5" customHeight="1" s="220">
      <c r="A981" s="1" t="n"/>
      <c r="B981" s="1" t="n"/>
      <c r="C981" s="2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</row>
    <row r="982" ht="16.5" customHeight="1" s="220">
      <c r="A982" s="1" t="n"/>
      <c r="B982" s="1" t="n"/>
      <c r="C982" s="2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</row>
    <row r="983" ht="16.5" customHeight="1" s="220">
      <c r="A983" s="1" t="n"/>
      <c r="B983" s="1" t="n"/>
      <c r="C983" s="2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</row>
    <row r="984" ht="16.5" customHeight="1" s="220">
      <c r="A984" s="1" t="n"/>
      <c r="B984" s="1" t="n"/>
      <c r="C984" s="2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</row>
    <row r="985" ht="16.5" customHeight="1" s="220">
      <c r="A985" s="1" t="n"/>
      <c r="B985" s="1" t="n"/>
      <c r="C985" s="2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</row>
    <row r="986" ht="16.5" customHeight="1" s="220">
      <c r="A986" s="1" t="n"/>
      <c r="B986" s="1" t="n"/>
      <c r="C986" s="2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</row>
    <row r="987" ht="16.5" customHeight="1" s="220">
      <c r="A987" s="1" t="n"/>
      <c r="B987" s="1" t="n"/>
      <c r="C987" s="2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</row>
    <row r="988" ht="16.5" customHeight="1" s="220">
      <c r="A988" s="1" t="n"/>
      <c r="B988" s="1" t="n"/>
      <c r="C988" s="2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</row>
    <row r="989" ht="16.5" customHeight="1" s="220">
      <c r="A989" s="1" t="n"/>
      <c r="B989" s="1" t="n"/>
      <c r="C989" s="2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</row>
    <row r="990" ht="16.5" customHeight="1" s="220">
      <c r="A990" s="1" t="n"/>
      <c r="B990" s="1" t="n"/>
      <c r="C990" s="2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</row>
    <row r="991" ht="16.5" customHeight="1" s="220">
      <c r="A991" s="1" t="n"/>
      <c r="B991" s="1" t="n"/>
      <c r="C991" s="2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</row>
    <row r="992" ht="16.5" customHeight="1" s="220">
      <c r="A992" s="1" t="n"/>
      <c r="B992" s="1" t="n"/>
      <c r="C992" s="2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</row>
    <row r="993" ht="16.5" customHeight="1" s="220">
      <c r="A993" s="1" t="n"/>
      <c r="B993" s="1" t="n"/>
      <c r="C993" s="2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</row>
    <row r="994" ht="16.5" customHeight="1" s="220">
      <c r="A994" s="1" t="n"/>
      <c r="B994" s="1" t="n"/>
      <c r="C994" s="2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</row>
    <row r="995" ht="16.5" customHeight="1" s="220">
      <c r="A995" s="1" t="n"/>
      <c r="B995" s="1" t="n"/>
      <c r="C995" s="2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</row>
    <row r="996" ht="16.5" customHeight="1" s="220">
      <c r="A996" s="1" t="n"/>
      <c r="B996" s="1" t="n"/>
      <c r="C996" s="2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</row>
    <row r="997" ht="16.5" customHeight="1" s="220">
      <c r="A997" s="1" t="n"/>
      <c r="B997" s="1" t="n"/>
      <c r="C997" s="2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</row>
    <row r="998" ht="16.5" customHeight="1" s="220">
      <c r="A998" s="1" t="n"/>
      <c r="B998" s="1" t="n"/>
      <c r="C998" s="2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</row>
    <row r="999" ht="16.5" customHeight="1" s="220">
      <c r="A999" s="1" t="n"/>
      <c r="B999" s="1" t="n"/>
      <c r="C999" s="2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</row>
    <row r="1000" ht="16.5" customHeight="1" s="220">
      <c r="A1000" s="1" t="n"/>
      <c r="B1000" s="1" t="n"/>
      <c r="C1000" s="2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</row>
  </sheetData>
  <mergeCells count="36">
    <mergeCell ref="F4:G4"/>
    <mergeCell ref="Y5:AA5"/>
    <mergeCell ref="Q5:S5"/>
    <mergeCell ref="B3:C3"/>
    <mergeCell ref="V33:W33"/>
    <mergeCell ref="N4:O4"/>
    <mergeCell ref="R4:S4"/>
    <mergeCell ref="F3:G3"/>
    <mergeCell ref="V4:W4"/>
    <mergeCell ref="AE3:AF3"/>
    <mergeCell ref="N3:O3"/>
    <mergeCell ref="A5:C5"/>
    <mergeCell ref="I5:K5"/>
    <mergeCell ref="F33:G33"/>
    <mergeCell ref="N33:O33"/>
    <mergeCell ref="AE33:AF33"/>
    <mergeCell ref="Z3:AA3"/>
    <mergeCell ref="J4:K4"/>
    <mergeCell ref="AJ3:AK3"/>
    <mergeCell ref="U5:W5"/>
    <mergeCell ref="AI5:AK5"/>
    <mergeCell ref="AJ33:AK33"/>
    <mergeCell ref="Z33:AA33"/>
    <mergeCell ref="R3:S3"/>
    <mergeCell ref="J3:K3"/>
    <mergeCell ref="AJ4:AK4"/>
    <mergeCell ref="Z4:AA4"/>
    <mergeCell ref="AD5:AF5"/>
    <mergeCell ref="B33:C33"/>
    <mergeCell ref="E5:G5"/>
    <mergeCell ref="M5:O5"/>
    <mergeCell ref="J33:K33"/>
    <mergeCell ref="R33:S33"/>
    <mergeCell ref="B4:C4"/>
    <mergeCell ref="V3:W3"/>
    <mergeCell ref="AE4:AF4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CCFF"/>
    <outlinePr summaryBelow="1" summaryRight="1"/>
    <pageSetUpPr/>
  </sheetPr>
  <dimension ref="A1:BA1000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32.5" customWidth="1" style="220" min="1" max="1"/>
    <col width="76.13" customWidth="1" style="220" min="2" max="2"/>
    <col width="43.5" customWidth="1" style="220" min="3" max="3"/>
    <col width="27.75" customWidth="1" style="220" min="4" max="4"/>
    <col hidden="1" width="33" customWidth="1" style="220" min="5" max="5"/>
    <col hidden="1" width="56.75" customWidth="1" style="220" min="6" max="6"/>
    <col hidden="1" width="33.88" customWidth="1" style="220" min="7" max="7"/>
    <col hidden="1" width="28" customWidth="1" style="220" min="8" max="8"/>
    <col width="33" customWidth="1" style="220" min="9" max="9"/>
    <col width="56.75" customWidth="1" style="220" min="10" max="10"/>
    <col width="30.13" customWidth="1" style="220" min="11" max="11"/>
    <col width="28" customWidth="1" style="220" min="12" max="12"/>
    <col width="33.13" customWidth="1" style="220" min="13" max="13"/>
    <col width="56.75" customWidth="1" style="220" min="14" max="14"/>
    <col width="30.13" customWidth="1" style="220" min="15" max="15"/>
    <col width="41.75" customWidth="1" style="220" min="16" max="16"/>
    <col hidden="1" width="28.13" customWidth="1" style="220" min="17" max="17"/>
    <col hidden="1" width="56.75" customWidth="1" style="220" min="18" max="18"/>
    <col hidden="1" width="30.13" customWidth="1" style="220" min="19" max="19"/>
    <col hidden="1" width="27.38" customWidth="1" style="220" min="20" max="20"/>
    <col width="33.38" customWidth="1" style="220" min="21" max="21"/>
    <col width="56.75" customWidth="1" style="220" min="22" max="22"/>
    <col width="30.13" customWidth="1" style="220" min="23" max="23"/>
    <col width="47.63" customWidth="1" style="220" min="24" max="24"/>
    <col width="33.88" customWidth="1" style="220" min="25" max="25"/>
    <col width="56.75" customWidth="1" style="220" min="26" max="26"/>
    <col width="30.13" customWidth="1" style="220" min="27" max="27"/>
    <col width="22.88" customWidth="1" style="220" min="28" max="28"/>
    <col width="8.880000000000001" customWidth="1" style="220" min="29" max="29"/>
    <col width="32.75" customWidth="1" style="220" min="30" max="30"/>
    <col width="56.75" customWidth="1" style="220" min="31" max="31"/>
    <col width="30.13" customWidth="1" style="220" min="32" max="32"/>
    <col width="22.88" customWidth="1" style="220" min="33" max="33"/>
    <col width="8.880000000000001" customWidth="1" style="220" min="34" max="34"/>
    <col hidden="1" width="31.88" customWidth="1" style="220" min="35" max="35"/>
    <col hidden="1" width="52.63" customWidth="1" style="220" min="36" max="36"/>
    <col hidden="1" width="20" customWidth="1" style="220" min="37" max="37"/>
    <col hidden="1" width="19.25" customWidth="1" style="220" min="38" max="38"/>
    <col hidden="1" width="15.88" customWidth="1" style="220" min="39" max="39"/>
    <col hidden="1" width="31.88" customWidth="1" style="220" min="40" max="40"/>
    <col hidden="1" width="52.63" customWidth="1" style="220" min="41" max="41"/>
    <col hidden="1" width="24.5" customWidth="1" style="220" min="42" max="42"/>
    <col hidden="1" width="22.63" customWidth="1" style="220" min="43" max="43"/>
    <col hidden="1" width="8" customWidth="1" style="220" min="44" max="44"/>
    <col hidden="1" width="31.88" customWidth="1" style="220" min="45" max="45"/>
    <col hidden="1" width="52.63" customWidth="1" style="220" min="46" max="46"/>
    <col hidden="1" width="19.5" customWidth="1" style="220" min="47" max="47"/>
    <col hidden="1" width="11.5" customWidth="1" style="220" min="48" max="48"/>
    <col width="8.880000000000001" customWidth="1" style="220" min="49" max="49"/>
    <col hidden="1" width="31.88" customWidth="1" style="220" min="50" max="50"/>
    <col hidden="1" width="52.63" customWidth="1" style="220" min="51" max="51"/>
    <col hidden="1" width="19.5" customWidth="1" style="220" min="52" max="52"/>
    <col hidden="1" width="8" customWidth="1" style="220" min="53" max="53"/>
  </cols>
  <sheetData>
    <row r="1" ht="16.5" customHeight="1" s="220">
      <c r="A1" s="1" t="n"/>
      <c r="B1" s="1" t="n"/>
      <c r="C1" s="2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</row>
    <row r="2" ht="17.25" customHeight="1" s="220">
      <c r="A2" s="1" t="n"/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</row>
    <row r="3" ht="23.25" customHeight="1" s="220">
      <c r="A3" s="3" t="inlineStr">
        <is>
          <t>MONTH/YEAR:</t>
        </is>
      </c>
      <c r="B3" s="221" t="n">
        <v>46023</v>
      </c>
      <c r="C3" s="222" t="n"/>
      <c r="D3" s="1" t="n"/>
      <c r="E3" s="3" t="inlineStr">
        <is>
          <t>MONTH/YEAR:</t>
        </is>
      </c>
      <c r="F3" s="221">
        <f>B3</f>
        <v/>
      </c>
      <c r="G3" s="222" t="n"/>
      <c r="H3" s="1" t="n"/>
      <c r="I3" s="3" t="inlineStr">
        <is>
          <t>MONTH/YEAR:</t>
        </is>
      </c>
      <c r="J3" s="221">
        <f>B3</f>
        <v/>
      </c>
      <c r="K3" s="222" t="n"/>
      <c r="L3" s="1" t="n"/>
      <c r="M3" s="3" t="inlineStr">
        <is>
          <t>MONTH/YEAR:</t>
        </is>
      </c>
      <c r="N3" s="221">
        <f>B3</f>
        <v/>
      </c>
      <c r="O3" s="222" t="n"/>
      <c r="P3" s="1" t="n"/>
      <c r="Q3" s="3" t="inlineStr">
        <is>
          <t>MONTH/YEAR:</t>
        </is>
      </c>
      <c r="R3" s="221">
        <f>B3</f>
        <v/>
      </c>
      <c r="S3" s="222" t="n"/>
      <c r="T3" s="1" t="n"/>
      <c r="U3" s="3" t="inlineStr">
        <is>
          <t>MONTH/YEAR:</t>
        </is>
      </c>
      <c r="V3" s="221">
        <f>B3</f>
        <v/>
      </c>
      <c r="W3" s="222" t="n"/>
      <c r="X3" s="1" t="n"/>
      <c r="Y3" s="3" t="inlineStr">
        <is>
          <t>MONTH/YEAR:</t>
        </is>
      </c>
      <c r="Z3" s="221">
        <f>B3</f>
        <v/>
      </c>
      <c r="AA3" s="222" t="n"/>
      <c r="AB3" s="1" t="n"/>
      <c r="AC3" s="1" t="n"/>
      <c r="AD3" s="3" t="inlineStr">
        <is>
          <t>MONTH/YEAR:</t>
        </is>
      </c>
      <c r="AE3" s="221">
        <f>B3</f>
        <v/>
      </c>
      <c r="AF3" s="222" t="n"/>
      <c r="AG3" s="1" t="n"/>
      <c r="AH3" s="1" t="n"/>
      <c r="AI3" s="3" t="inlineStr">
        <is>
          <t>MONTH/YEAR:</t>
        </is>
      </c>
      <c r="AJ3" s="221">
        <f>AE3</f>
        <v/>
      </c>
      <c r="AK3" s="222" t="n"/>
      <c r="AL3" s="1" t="n"/>
      <c r="AM3" s="1" t="n"/>
      <c r="AN3" s="3" t="inlineStr">
        <is>
          <t>MONTH/YEAR:</t>
        </is>
      </c>
      <c r="AO3" s="221">
        <f>AE3</f>
        <v/>
      </c>
      <c r="AP3" s="222" t="n"/>
      <c r="AQ3" s="1" t="n"/>
      <c r="AR3" s="1" t="n"/>
      <c r="AS3" s="3" t="inlineStr">
        <is>
          <t>MONTH/YEAR:</t>
        </is>
      </c>
      <c r="AT3" s="221">
        <f>AO3</f>
        <v/>
      </c>
      <c r="AU3" s="222" t="n"/>
      <c r="AV3" s="1" t="n"/>
      <c r="AW3" s="1" t="n"/>
      <c r="AX3" s="3" t="inlineStr">
        <is>
          <t>MONTH/YEAR:</t>
        </is>
      </c>
      <c r="AY3" s="221">
        <f>V3</f>
        <v/>
      </c>
      <c r="AZ3" s="222" t="n"/>
      <c r="BA3" s="1" t="n"/>
    </row>
    <row r="4" ht="31.5" customHeight="1" s="220">
      <c r="A4" s="6" t="inlineStr">
        <is>
          <t>BRANCH:</t>
        </is>
      </c>
      <c r="B4" s="223" t="inlineStr">
        <is>
          <t>CASA DENTAL WOODLANDS PTE LTD</t>
        </is>
      </c>
      <c r="C4" s="224" t="n"/>
      <c r="D4" s="1" t="n"/>
      <c r="E4" s="6" t="inlineStr">
        <is>
          <t>BRANCH:</t>
        </is>
      </c>
      <c r="F4" s="223">
        <f>B4</f>
        <v/>
      </c>
      <c r="G4" s="224" t="n"/>
      <c r="H4" s="1" t="n"/>
      <c r="I4" s="6" t="inlineStr">
        <is>
          <t>BRANCH:</t>
        </is>
      </c>
      <c r="J4" s="223">
        <f>B4</f>
        <v/>
      </c>
      <c r="K4" s="224" t="n"/>
      <c r="L4" s="1" t="n"/>
      <c r="M4" s="6" t="inlineStr">
        <is>
          <t>BRANCH:</t>
        </is>
      </c>
      <c r="N4" s="223">
        <f>B4</f>
        <v/>
      </c>
      <c r="O4" s="224" t="n"/>
      <c r="P4" s="1" t="n"/>
      <c r="Q4" s="6" t="inlineStr">
        <is>
          <t>BRANCH:</t>
        </is>
      </c>
      <c r="R4" s="223" t="inlineStr">
        <is>
          <t>CASA DENTAL AMK PTE LTD</t>
        </is>
      </c>
      <c r="S4" s="224" t="n"/>
      <c r="T4" s="1" t="n"/>
      <c r="U4" s="199" t="inlineStr">
        <is>
          <t>BRANCH:</t>
        </is>
      </c>
      <c r="V4" s="235">
        <f>B4</f>
        <v/>
      </c>
      <c r="W4" s="236" t="n"/>
      <c r="X4" s="1" t="n"/>
      <c r="Y4" s="6" t="inlineStr">
        <is>
          <t>BRANCH:</t>
        </is>
      </c>
      <c r="Z4" s="223">
        <f>B4</f>
        <v/>
      </c>
      <c r="AA4" s="224" t="n"/>
      <c r="AB4" s="1" t="n"/>
      <c r="AC4" s="1" t="n"/>
      <c r="AD4" s="6" t="inlineStr">
        <is>
          <t>BRANCH:</t>
        </is>
      </c>
      <c r="AE4" s="223">
        <f>B4</f>
        <v/>
      </c>
      <c r="AF4" s="224" t="n"/>
      <c r="AG4" s="1" t="n"/>
      <c r="AH4" s="1" t="n"/>
      <c r="AI4" s="6" t="inlineStr">
        <is>
          <t>BRANCH:</t>
        </is>
      </c>
      <c r="AJ4" s="223" t="inlineStr">
        <is>
          <t>CASA DENTAL AMK PTE LTD</t>
        </is>
      </c>
      <c r="AK4" s="224" t="n"/>
      <c r="AL4" s="1" t="n"/>
      <c r="AM4" s="1" t="n"/>
      <c r="AN4" s="6" t="inlineStr">
        <is>
          <t>BRANCH:</t>
        </is>
      </c>
      <c r="AO4" s="223">
        <f>AE4</f>
        <v/>
      </c>
      <c r="AP4" s="224" t="n"/>
      <c r="AQ4" s="1" t="n"/>
      <c r="AR4" s="1" t="n"/>
      <c r="AS4" s="6" t="inlineStr">
        <is>
          <t>BRANCH:</t>
        </is>
      </c>
      <c r="AT4" s="223">
        <f>AO4</f>
        <v/>
      </c>
      <c r="AU4" s="224" t="n"/>
      <c r="AV4" s="1" t="n"/>
      <c r="AW4" s="1" t="n"/>
      <c r="AX4" s="6" t="inlineStr">
        <is>
          <t>BRANCH:</t>
        </is>
      </c>
      <c r="AY4" s="223">
        <f>V4</f>
        <v/>
      </c>
      <c r="AZ4" s="224" t="n"/>
      <c r="BA4" s="1" t="n"/>
    </row>
    <row r="5" ht="34.5" customHeight="1" s="220">
      <c r="A5" s="225" t="inlineStr">
        <is>
          <t>ALL PROVIDERS SETTLEMENT</t>
        </is>
      </c>
      <c r="C5" s="226" t="n"/>
      <c r="D5" s="1" t="n"/>
      <c r="E5" s="227" t="inlineStr">
        <is>
          <t>DR CHAN KC</t>
        </is>
      </c>
      <c r="F5" s="228" t="n"/>
      <c r="G5" s="229" t="n"/>
      <c r="H5" s="1" t="n"/>
      <c r="I5" s="227" t="inlineStr">
        <is>
          <t>DR CHAN CHIEN CHI</t>
        </is>
      </c>
      <c r="J5" s="228" t="n"/>
      <c r="K5" s="229" t="n"/>
      <c r="L5" s="1" t="n"/>
      <c r="M5" s="227" t="inlineStr">
        <is>
          <t>DR CELINE TEO</t>
        </is>
      </c>
      <c r="N5" s="228" t="n"/>
      <c r="O5" s="229" t="n"/>
      <c r="P5" s="1" t="n"/>
      <c r="Q5" s="227" t="inlineStr">
        <is>
          <t xml:space="preserve">DR KALIE </t>
        </is>
      </c>
      <c r="R5" s="228" t="n"/>
      <c r="S5" s="229" t="n"/>
      <c r="T5" s="1" t="n"/>
      <c r="U5" s="237" t="inlineStr">
        <is>
          <t>DR ROLAND FOO</t>
        </is>
      </c>
      <c r="V5" s="238" t="n"/>
      <c r="W5" s="231" t="n"/>
      <c r="X5" s="1" t="n"/>
      <c r="Y5" s="227" t="inlineStr">
        <is>
          <t>DR JENNIFER HOANG</t>
        </is>
      </c>
      <c r="Z5" s="228" t="n"/>
      <c r="AA5" s="229" t="n"/>
      <c r="AB5" s="1" t="n"/>
      <c r="AC5" s="1" t="n"/>
      <c r="AD5" s="227" t="inlineStr">
        <is>
          <t>DR ESTHER HOH</t>
        </is>
      </c>
      <c r="AE5" s="228" t="n"/>
      <c r="AF5" s="229" t="n"/>
      <c r="AG5" s="1" t="n"/>
      <c r="AH5" s="1" t="n"/>
      <c r="AI5" s="227" t="inlineStr">
        <is>
          <t>DR ANDREW YIN</t>
        </is>
      </c>
      <c r="AJ5" s="228" t="n"/>
      <c r="AK5" s="229" t="n"/>
      <c r="AL5" s="1" t="n"/>
      <c r="AM5" s="1" t="n"/>
      <c r="AN5" s="233" t="inlineStr">
        <is>
          <t>DR YVETTE CHOW</t>
        </is>
      </c>
      <c r="AO5" s="228" t="n"/>
      <c r="AP5" s="229" t="n"/>
      <c r="AQ5" s="1" t="n"/>
      <c r="AR5" s="1" t="n"/>
      <c r="AS5" s="234" t="inlineStr">
        <is>
          <t>DR PETER KEITH</t>
        </is>
      </c>
      <c r="AT5" s="228" t="n"/>
      <c r="AU5" s="229" t="n"/>
      <c r="AV5" s="1" t="n"/>
      <c r="AW5" s="1" t="n"/>
      <c r="AX5" s="227" t="inlineStr">
        <is>
          <t>DR ROLAND FOO</t>
        </is>
      </c>
      <c r="AY5" s="228" t="n"/>
      <c r="AZ5" s="229" t="n"/>
      <c r="BA5" s="1" t="n"/>
    </row>
    <row r="6" ht="18.75" customHeight="1" s="220">
      <c r="A6" s="14" t="n"/>
      <c r="B6" s="15" t="n"/>
      <c r="C6" s="16" t="inlineStr">
        <is>
          <t>ADMIN CHARGES</t>
        </is>
      </c>
      <c r="D6" s="17" t="n"/>
      <c r="E6" s="18" t="n"/>
      <c r="F6" s="15" t="n"/>
      <c r="G6" s="16" t="inlineStr">
        <is>
          <t>ADMIN CHARGES</t>
        </is>
      </c>
      <c r="H6" s="17" t="n"/>
      <c r="I6" s="19" t="n"/>
      <c r="J6" s="15" t="inlineStr">
        <is>
          <t>TOTALS</t>
        </is>
      </c>
      <c r="K6" s="20" t="inlineStr">
        <is>
          <t>ADMIN CHARGES</t>
        </is>
      </c>
      <c r="L6" s="17" t="n"/>
      <c r="M6" s="21" t="n"/>
      <c r="N6" s="22" t="n"/>
      <c r="O6" s="16" t="inlineStr">
        <is>
          <t>ADMIN CHARGES</t>
        </is>
      </c>
      <c r="P6" s="1" t="n"/>
      <c r="Q6" s="23" t="n"/>
      <c r="R6" s="24" t="n"/>
      <c r="S6" s="25" t="inlineStr">
        <is>
          <t>ADMIN CHARGES</t>
        </is>
      </c>
      <c r="T6" s="1" t="n"/>
      <c r="U6" s="204" t="n"/>
      <c r="V6" s="164" t="n"/>
      <c r="W6" s="205" t="inlineStr">
        <is>
          <t>ADMIN CHARGES</t>
        </is>
      </c>
      <c r="X6" s="28" t="n"/>
      <c r="Y6" s="14" t="n"/>
      <c r="Z6" s="29" t="n"/>
      <c r="AA6" s="22" t="inlineStr">
        <is>
          <t>ADMIN CHARGES</t>
        </is>
      </c>
      <c r="AB6" s="1" t="n"/>
      <c r="AC6" s="1" t="n"/>
      <c r="AD6" s="26" t="n"/>
      <c r="AE6" s="27" t="n"/>
      <c r="AF6" s="27" t="inlineStr">
        <is>
          <t>ADMIN CHARGES</t>
        </is>
      </c>
      <c r="AG6" s="30" t="n"/>
      <c r="AH6" s="1" t="n"/>
      <c r="AI6" s="23" t="n"/>
      <c r="AJ6" s="25" t="n"/>
      <c r="AK6" s="25" t="inlineStr">
        <is>
          <t>ADMIN CHARGES</t>
        </is>
      </c>
      <c r="AL6" s="1" t="n"/>
      <c r="AM6" s="1" t="n"/>
      <c r="AN6" s="26" t="n"/>
      <c r="AO6" s="27" t="n"/>
      <c r="AP6" s="27" t="inlineStr">
        <is>
          <t>ADMIN CHARGES</t>
        </is>
      </c>
      <c r="AQ6" s="30" t="n"/>
      <c r="AR6" s="1" t="n"/>
      <c r="AS6" s="26" t="n"/>
      <c r="AT6" s="27" t="n"/>
      <c r="AU6" s="27" t="inlineStr">
        <is>
          <t>ADMIN CHARGES</t>
        </is>
      </c>
      <c r="AV6" s="30" t="n"/>
      <c r="AW6" s="1" t="n"/>
      <c r="AX6" s="26" t="n"/>
      <c r="AY6" s="27" t="n"/>
      <c r="AZ6" s="27" t="inlineStr">
        <is>
          <t>ADMIN CHARGES</t>
        </is>
      </c>
      <c r="BA6" s="30" t="n"/>
    </row>
    <row r="7" ht="27.75" customHeight="1" s="220">
      <c r="A7" s="31" t="inlineStr">
        <is>
          <t>AIA</t>
        </is>
      </c>
      <c r="B7" s="174" t="n"/>
      <c r="C7" s="33">
        <f>B7*0.05*1.09</f>
        <v/>
      </c>
      <c r="D7" s="34" t="n"/>
      <c r="E7" s="35" t="inlineStr">
        <is>
          <t>AIA</t>
        </is>
      </c>
      <c r="F7" s="36" t="n"/>
      <c r="G7" s="33">
        <f>F7*0.05*1.09</f>
        <v/>
      </c>
      <c r="H7" s="37" t="n"/>
      <c r="I7" s="35" t="inlineStr">
        <is>
          <t>AIA</t>
        </is>
      </c>
      <c r="J7" s="174" t="n"/>
      <c r="K7" s="33">
        <f>J7*0.05*1.09</f>
        <v/>
      </c>
      <c r="L7" s="37" t="n"/>
      <c r="M7" s="35" t="inlineStr">
        <is>
          <t>AIA</t>
        </is>
      </c>
      <c r="N7" s="186" t="n"/>
      <c r="O7" s="33">
        <f>N7*0.05*1.09</f>
        <v/>
      </c>
      <c r="P7" s="38" t="n"/>
      <c r="Q7" s="31" t="inlineStr">
        <is>
          <t>AIA</t>
        </is>
      </c>
      <c r="R7" s="39" t="n"/>
      <c r="S7" s="40">
        <f>R7*0.05*1.09</f>
        <v/>
      </c>
      <c r="T7" s="38" t="n"/>
      <c r="U7" s="41" t="inlineStr">
        <is>
          <t>AIA</t>
        </is>
      </c>
      <c r="V7" s="173" t="n"/>
      <c r="W7" s="43">
        <f>V7*0.05*1.09</f>
        <v/>
      </c>
      <c r="X7" s="193" t="n"/>
      <c r="Y7" s="35" t="inlineStr">
        <is>
          <t>AIA</t>
        </is>
      </c>
      <c r="Z7" s="174" t="n"/>
      <c r="AA7" s="45">
        <f>Z7*0.05*1.09</f>
        <v/>
      </c>
      <c r="AB7" s="46" t="n"/>
      <c r="AC7" s="46" t="n"/>
      <c r="AD7" s="41" t="inlineStr">
        <is>
          <t>AIA</t>
        </is>
      </c>
      <c r="AE7" s="174" t="n"/>
      <c r="AF7" s="43">
        <f>AE7*0.05*1.09</f>
        <v/>
      </c>
      <c r="AG7" s="48" t="n"/>
      <c r="AH7" s="46" t="n"/>
      <c r="AI7" s="31" t="inlineStr">
        <is>
          <t>AIA</t>
        </is>
      </c>
      <c r="AJ7" s="39" t="n"/>
      <c r="AK7" s="40">
        <f>AJ7*0.05*1.09</f>
        <v/>
      </c>
      <c r="AL7" s="46" t="n"/>
      <c r="AM7" s="46" t="n"/>
      <c r="AN7" s="41" t="inlineStr">
        <is>
          <t>AIA</t>
        </is>
      </c>
      <c r="AO7" s="174" t="n"/>
      <c r="AP7" s="43">
        <f>AO7*0.05*1.09</f>
        <v/>
      </c>
      <c r="AQ7" s="48" t="n"/>
      <c r="AR7" s="46" t="n"/>
      <c r="AS7" s="41" t="inlineStr">
        <is>
          <t>AIA</t>
        </is>
      </c>
      <c r="AT7" s="174" t="n"/>
      <c r="AU7" s="43">
        <f>AT7*0.05*1.09</f>
        <v/>
      </c>
      <c r="AV7" s="48" t="n"/>
      <c r="AW7" s="46" t="n"/>
      <c r="AX7" s="41" t="inlineStr">
        <is>
          <t>AIA</t>
        </is>
      </c>
      <c r="AY7" s="173" t="n"/>
      <c r="AZ7" s="43">
        <f>AY7*0.05*1.09</f>
        <v/>
      </c>
      <c r="BA7" s="48" t="n"/>
    </row>
    <row r="8" ht="27.75" customHeight="1" s="220">
      <c r="A8" s="31" t="inlineStr">
        <is>
          <t>ALLIANCE</t>
        </is>
      </c>
      <c r="B8" s="174" t="n"/>
      <c r="C8" s="33">
        <f>B8*0.05*1.09</f>
        <v/>
      </c>
      <c r="D8" s="34" t="n"/>
      <c r="E8" s="35" t="inlineStr">
        <is>
          <t>ALLIANCE</t>
        </is>
      </c>
      <c r="F8" s="36" t="n"/>
      <c r="G8" s="33">
        <f>F8*0.05*1.09</f>
        <v/>
      </c>
      <c r="H8" s="37" t="n"/>
      <c r="I8" s="35" t="inlineStr">
        <is>
          <t>ALLIANCE</t>
        </is>
      </c>
      <c r="J8" s="174" t="n"/>
      <c r="K8" s="33">
        <f>J8*0.05*1.09</f>
        <v/>
      </c>
      <c r="L8" s="37" t="n"/>
      <c r="M8" s="41" t="inlineStr">
        <is>
          <t>ALLIANCE</t>
        </is>
      </c>
      <c r="N8" s="173" t="n"/>
      <c r="O8" s="33">
        <f>N8*0.05*1.09</f>
        <v/>
      </c>
      <c r="P8" s="38" t="n"/>
      <c r="Q8" s="31" t="n"/>
      <c r="R8" s="39" t="n"/>
      <c r="S8" s="40" t="n"/>
      <c r="T8" s="38" t="n"/>
      <c r="U8" s="41" t="inlineStr">
        <is>
          <t>ALLIANCE</t>
        </is>
      </c>
      <c r="V8" s="173" t="n"/>
      <c r="W8" s="43">
        <f>V8*0.05*1.09</f>
        <v/>
      </c>
      <c r="X8" s="193" t="n"/>
      <c r="Y8" s="35" t="inlineStr">
        <is>
          <t>ALLIANCE</t>
        </is>
      </c>
      <c r="Z8" s="174" t="n"/>
      <c r="AA8" s="45">
        <f>Z8*0.05*1.09</f>
        <v/>
      </c>
      <c r="AB8" s="46" t="n"/>
      <c r="AC8" s="46" t="n"/>
      <c r="AD8" s="41" t="inlineStr">
        <is>
          <t>ALLIANCE</t>
        </is>
      </c>
      <c r="AE8" s="174" t="n"/>
      <c r="AF8" s="43">
        <f>AE8*0.05*1.09</f>
        <v/>
      </c>
      <c r="AG8" s="48" t="n"/>
      <c r="AH8" s="46" t="n"/>
      <c r="AI8" s="31" t="n"/>
      <c r="AJ8" s="39" t="n"/>
      <c r="AK8" s="40" t="n"/>
      <c r="AL8" s="46" t="n"/>
      <c r="AM8" s="46" t="n"/>
      <c r="AN8" s="41" t="inlineStr">
        <is>
          <t>ALLIANCE</t>
        </is>
      </c>
      <c r="AO8" s="174" t="n"/>
      <c r="AP8" s="43">
        <f>AO8*0.05*1.09</f>
        <v/>
      </c>
      <c r="AQ8" s="48" t="n"/>
      <c r="AR8" s="46" t="n"/>
      <c r="AS8" s="41" t="inlineStr">
        <is>
          <t>ALLIANCE</t>
        </is>
      </c>
      <c r="AT8" s="174" t="n"/>
      <c r="AU8" s="43">
        <f>AT8*0.05*1.09</f>
        <v/>
      </c>
      <c r="AV8" s="48" t="n"/>
      <c r="AW8" s="46" t="n"/>
      <c r="AX8" s="41" t="inlineStr">
        <is>
          <t>ALLIANCE</t>
        </is>
      </c>
      <c r="AY8" s="173" t="n"/>
      <c r="AZ8" s="43">
        <f>AY8*0.05*1.09</f>
        <v/>
      </c>
      <c r="BA8" s="48" t="n"/>
    </row>
    <row r="9" ht="27.75" customHeight="1" s="220">
      <c r="A9" s="31" t="inlineStr">
        <is>
          <t>AMEX</t>
        </is>
      </c>
      <c r="B9" s="174" t="n"/>
      <c r="C9" s="33">
        <f>B9*0.0195</f>
        <v/>
      </c>
      <c r="D9" s="34" t="n"/>
      <c r="E9" s="35" t="inlineStr">
        <is>
          <t>AMEX</t>
        </is>
      </c>
      <c r="F9" s="36" t="n"/>
      <c r="G9" s="33">
        <f>F9*0.0195</f>
        <v/>
      </c>
      <c r="H9" s="34" t="n"/>
      <c r="I9" s="35" t="inlineStr">
        <is>
          <t>AMEX</t>
        </is>
      </c>
      <c r="J9" s="174" t="n"/>
      <c r="K9" s="33">
        <f>J9*0.0195</f>
        <v/>
      </c>
      <c r="L9" s="34" t="n"/>
      <c r="M9" s="41" t="inlineStr">
        <is>
          <t>AMEX</t>
        </is>
      </c>
      <c r="N9" s="173" t="n"/>
      <c r="O9" s="33">
        <f>N9*0.0195</f>
        <v/>
      </c>
      <c r="P9" s="46" t="n"/>
      <c r="Q9" s="31" t="inlineStr">
        <is>
          <t>AMEX</t>
        </is>
      </c>
      <c r="R9" s="39" t="n"/>
      <c r="S9" s="40">
        <f>R9*0.0195</f>
        <v/>
      </c>
      <c r="T9" s="46" t="n"/>
      <c r="U9" s="41" t="inlineStr">
        <is>
          <t>AMEX</t>
        </is>
      </c>
      <c r="V9" s="173" t="n"/>
      <c r="W9" s="43">
        <f>V9*0.0195</f>
        <v/>
      </c>
      <c r="X9" s="48" t="n"/>
      <c r="Y9" s="35" t="inlineStr">
        <is>
          <t>AMEX</t>
        </is>
      </c>
      <c r="Z9" s="174" t="n"/>
      <c r="AA9" s="45">
        <f>Z9*0.0195</f>
        <v/>
      </c>
      <c r="AB9" s="46" t="n"/>
      <c r="AC9" s="46" t="n"/>
      <c r="AD9" s="41" t="inlineStr">
        <is>
          <t>AMEX</t>
        </is>
      </c>
      <c r="AE9" s="173" t="n"/>
      <c r="AF9" s="43">
        <f>AE9*0.0195</f>
        <v/>
      </c>
      <c r="AG9" s="48" t="n"/>
      <c r="AH9" s="46" t="n"/>
      <c r="AI9" s="31" t="inlineStr">
        <is>
          <t>AMEX</t>
        </is>
      </c>
      <c r="AJ9" s="39" t="n"/>
      <c r="AK9" s="40">
        <f>AJ9*0.0195</f>
        <v/>
      </c>
      <c r="AL9" s="46" t="n"/>
      <c r="AM9" s="46" t="n"/>
      <c r="AN9" s="41" t="inlineStr">
        <is>
          <t>AMEX</t>
        </is>
      </c>
      <c r="AO9" s="173" t="n"/>
      <c r="AP9" s="43">
        <f>AO9*0.0195</f>
        <v/>
      </c>
      <c r="AQ9" s="48" t="n"/>
      <c r="AR9" s="46" t="n"/>
      <c r="AS9" s="41" t="inlineStr">
        <is>
          <t>AMEX</t>
        </is>
      </c>
      <c r="AT9" s="173" t="n"/>
      <c r="AU9" s="43">
        <f>AT9*0.0195</f>
        <v/>
      </c>
      <c r="AV9" s="48" t="n"/>
      <c r="AW9" s="46" t="n"/>
      <c r="AX9" s="41" t="inlineStr">
        <is>
          <t>AMEX</t>
        </is>
      </c>
      <c r="AY9" s="173" t="n"/>
      <c r="AZ9" s="43">
        <f>AY9*0.0195</f>
        <v/>
      </c>
      <c r="BA9" s="48" t="n"/>
    </row>
    <row r="10" ht="27.75" customHeight="1" s="220">
      <c r="A10" s="31" t="inlineStr">
        <is>
          <t>BABYBONUS</t>
        </is>
      </c>
      <c r="B10" s="173" t="n"/>
      <c r="C10" s="33">
        <f>B10*0.008</f>
        <v/>
      </c>
      <c r="D10" s="34" t="n"/>
      <c r="E10" s="35" t="inlineStr">
        <is>
          <t>BABYBONUS</t>
        </is>
      </c>
      <c r="F10" s="50" t="n"/>
      <c r="G10" s="33">
        <f>F10*0.008</f>
        <v/>
      </c>
      <c r="H10" s="34" t="n"/>
      <c r="I10" s="35" t="inlineStr">
        <is>
          <t>BABYBONUS</t>
        </is>
      </c>
      <c r="J10" s="50" t="n"/>
      <c r="K10" s="33">
        <f>J10*0.008</f>
        <v/>
      </c>
      <c r="L10" s="34" t="n"/>
      <c r="M10" s="41" t="inlineStr">
        <is>
          <t>BABYBONUS</t>
        </is>
      </c>
      <c r="N10" s="36" t="n"/>
      <c r="O10" s="33">
        <f>N10*0.008</f>
        <v/>
      </c>
      <c r="P10" s="46" t="n"/>
      <c r="Q10" s="31" t="n"/>
      <c r="R10" s="39" t="n"/>
      <c r="S10" s="40" t="n"/>
      <c r="T10" s="46" t="n"/>
      <c r="U10" s="41" t="inlineStr">
        <is>
          <t>BABYBONUS</t>
        </is>
      </c>
      <c r="V10" s="51" t="n"/>
      <c r="W10" s="33">
        <f>V10*0.008</f>
        <v/>
      </c>
      <c r="X10" s="48" t="n"/>
      <c r="Y10" s="35" t="inlineStr">
        <is>
          <t>BABYBONUS</t>
        </is>
      </c>
      <c r="Z10" s="36" t="n"/>
      <c r="AA10" s="45">
        <f>Z10*0.008</f>
        <v/>
      </c>
      <c r="AB10" s="46" t="n"/>
      <c r="AC10" s="46" t="n"/>
      <c r="AD10" s="41" t="inlineStr">
        <is>
          <t>BABYBONUS</t>
        </is>
      </c>
      <c r="AE10" s="36" t="n"/>
      <c r="AF10" s="43">
        <f>AE10*0.008</f>
        <v/>
      </c>
      <c r="AG10" s="48" t="n"/>
      <c r="AH10" s="46" t="n"/>
      <c r="AI10" s="31" t="n"/>
      <c r="AJ10" s="39" t="n"/>
      <c r="AK10" s="40" t="n"/>
      <c r="AL10" s="46" t="n"/>
      <c r="AM10" s="46" t="n"/>
      <c r="AN10" s="41" t="inlineStr">
        <is>
          <t>BABYBONUS</t>
        </is>
      </c>
      <c r="AO10" s="36" t="n"/>
      <c r="AP10" s="43">
        <f>AO10*0.008</f>
        <v/>
      </c>
      <c r="AQ10" s="48" t="n"/>
      <c r="AR10" s="46" t="n"/>
      <c r="AS10" s="41" t="inlineStr">
        <is>
          <t>BABYBONUS</t>
        </is>
      </c>
      <c r="AT10" s="36" t="n"/>
      <c r="AU10" s="43">
        <f>AT10*0.008</f>
        <v/>
      </c>
      <c r="AV10" s="48" t="n"/>
      <c r="AW10" s="46" t="n"/>
      <c r="AX10" s="41" t="inlineStr">
        <is>
          <t>BABYBONUS</t>
        </is>
      </c>
      <c r="AY10" s="36" t="n"/>
      <c r="AZ10" s="43">
        <f>AY10*0.008</f>
        <v/>
      </c>
      <c r="BA10" s="48" t="n"/>
    </row>
    <row r="11" ht="27.75" customHeight="1" s="220">
      <c r="A11" s="31" t="inlineStr">
        <is>
          <t>CASH</t>
        </is>
      </c>
      <c r="B11" s="174" t="n"/>
      <c r="C11" s="33" t="n"/>
      <c r="D11" s="34" t="n"/>
      <c r="E11" s="35" t="inlineStr">
        <is>
          <t>CASH</t>
        </is>
      </c>
      <c r="F11" s="36" t="n"/>
      <c r="G11" s="33" t="n"/>
      <c r="H11" s="34" t="n"/>
      <c r="I11" s="35" t="inlineStr">
        <is>
          <t>CASH</t>
        </is>
      </c>
      <c r="J11" s="174" t="n"/>
      <c r="K11" s="33" t="n"/>
      <c r="L11" s="34" t="n"/>
      <c r="M11" s="41" t="inlineStr">
        <is>
          <t>CASH</t>
        </is>
      </c>
      <c r="N11" s="173" t="n"/>
      <c r="O11" s="33" t="n"/>
      <c r="P11" s="46" t="n"/>
      <c r="Q11" s="31" t="inlineStr">
        <is>
          <t>ALLIANCE</t>
        </is>
      </c>
      <c r="R11" s="39" t="n"/>
      <c r="S11" s="40">
        <f>R11*0.05*1.09</f>
        <v/>
      </c>
      <c r="T11" s="46" t="n"/>
      <c r="U11" s="41" t="inlineStr">
        <is>
          <t>CASH</t>
        </is>
      </c>
      <c r="V11" s="173" t="n"/>
      <c r="W11" s="33" t="n"/>
      <c r="X11" s="48" t="n"/>
      <c r="Y11" s="35" t="inlineStr">
        <is>
          <t>CASH</t>
        </is>
      </c>
      <c r="Z11" s="174" t="n"/>
      <c r="AA11" s="45" t="n"/>
      <c r="AB11" s="46" t="n"/>
      <c r="AC11" s="46" t="n"/>
      <c r="AD11" s="41" t="inlineStr">
        <is>
          <t>CASH</t>
        </is>
      </c>
      <c r="AE11" s="174" t="n"/>
      <c r="AF11" s="43" t="n"/>
      <c r="AG11" s="48" t="n"/>
      <c r="AH11" s="46" t="n"/>
      <c r="AI11" s="31" t="inlineStr">
        <is>
          <t>ALLIANCE</t>
        </is>
      </c>
      <c r="AJ11" s="39" t="n"/>
      <c r="AK11" s="40">
        <f>AJ11*0.05*1.09</f>
        <v/>
      </c>
      <c r="AL11" s="46" t="n"/>
      <c r="AM11" s="46" t="n"/>
      <c r="AN11" s="41" t="inlineStr">
        <is>
          <t>CASH</t>
        </is>
      </c>
      <c r="AO11" s="174" t="n"/>
      <c r="AP11" s="43" t="n"/>
      <c r="AQ11" s="48" t="n"/>
      <c r="AR11" s="46" t="n"/>
      <c r="AS11" s="41" t="inlineStr">
        <is>
          <t>CASH</t>
        </is>
      </c>
      <c r="AT11" s="173" t="n"/>
      <c r="AU11" s="43" t="n"/>
      <c r="AV11" s="48" t="n"/>
      <c r="AW11" s="46" t="n"/>
      <c r="AX11" s="41" t="inlineStr">
        <is>
          <t>CASH</t>
        </is>
      </c>
      <c r="AY11" s="173" t="n"/>
      <c r="AZ11" s="43" t="n"/>
      <c r="BA11" s="48" t="n"/>
    </row>
    <row r="12" ht="27.75" customHeight="1" s="220">
      <c r="A12" s="31" t="inlineStr">
        <is>
          <t>CASA VOUCHER</t>
        </is>
      </c>
      <c r="B12" s="32" t="n"/>
      <c r="C12" s="33" t="n"/>
      <c r="D12" s="34" t="n"/>
      <c r="E12" s="35" t="inlineStr">
        <is>
          <t>CASA VOUCHER</t>
        </is>
      </c>
      <c r="F12" s="36" t="n"/>
      <c r="G12" s="33" t="n"/>
      <c r="H12" s="34" t="n"/>
      <c r="I12" s="35" t="inlineStr">
        <is>
          <t>CASA VOUCHER</t>
        </is>
      </c>
      <c r="J12" s="36" t="n"/>
      <c r="K12" s="33" t="n"/>
      <c r="L12" s="34" t="n"/>
      <c r="M12" s="41" t="inlineStr">
        <is>
          <t>CASA VOUCHER</t>
        </is>
      </c>
      <c r="N12" s="36" t="n"/>
      <c r="O12" s="33" t="n"/>
      <c r="P12" s="46" t="n"/>
      <c r="Q12" s="31" t="inlineStr">
        <is>
          <t>CASH</t>
        </is>
      </c>
      <c r="R12" s="39" t="n"/>
      <c r="S12" s="40" t="n"/>
      <c r="T12" s="46" t="n"/>
      <c r="U12" s="41" t="inlineStr">
        <is>
          <t>CASA VOUCHER</t>
        </is>
      </c>
      <c r="V12" s="51" t="n"/>
      <c r="W12" s="33" t="n"/>
      <c r="X12" s="48" t="n"/>
      <c r="Y12" s="35" t="inlineStr">
        <is>
          <t>CASA VOUCHER</t>
        </is>
      </c>
      <c r="Z12" s="36" t="n"/>
      <c r="AA12" s="45" t="n"/>
      <c r="AB12" s="46" t="n"/>
      <c r="AC12" s="46" t="n"/>
      <c r="AD12" s="41" t="inlineStr">
        <is>
          <t>CASA VOUCHER</t>
        </is>
      </c>
      <c r="AE12" s="36" t="n"/>
      <c r="AF12" s="43" t="n"/>
      <c r="AG12" s="48" t="n"/>
      <c r="AH12" s="46" t="n"/>
      <c r="AI12" s="31" t="inlineStr">
        <is>
          <t>CASH</t>
        </is>
      </c>
      <c r="AJ12" s="39" t="n"/>
      <c r="AK12" s="40" t="n"/>
      <c r="AL12" s="46" t="n"/>
      <c r="AM12" s="46" t="n"/>
      <c r="AN12" s="41" t="inlineStr">
        <is>
          <t>CASA VOUCHER</t>
        </is>
      </c>
      <c r="AO12" s="36" t="n"/>
      <c r="AP12" s="43" t="n"/>
      <c r="AQ12" s="48" t="n"/>
      <c r="AR12" s="46" t="n"/>
      <c r="AS12" s="41" t="inlineStr">
        <is>
          <t>CASA VOUCHER</t>
        </is>
      </c>
      <c r="AT12" s="36" t="n"/>
      <c r="AU12" s="43" t="n"/>
      <c r="AV12" s="48" t="n"/>
      <c r="AW12" s="46" t="n"/>
      <c r="AX12" s="41" t="inlineStr">
        <is>
          <t>CASA VOUCHER</t>
        </is>
      </c>
      <c r="AY12" s="36" t="n"/>
      <c r="AZ12" s="43" t="n"/>
      <c r="BA12" s="48" t="n"/>
    </row>
    <row r="13" ht="27.75" customHeight="1" s="220">
      <c r="A13" s="52" t="inlineStr">
        <is>
          <t>CDC VOUCHER</t>
        </is>
      </c>
      <c r="B13" s="174" t="n"/>
      <c r="C13" s="54" t="n"/>
      <c r="D13" s="34" t="n"/>
      <c r="E13" s="35" t="inlineStr">
        <is>
          <t>CDC VOUCHER</t>
        </is>
      </c>
      <c r="F13" s="36" t="n"/>
      <c r="G13" s="33" t="n"/>
      <c r="H13" s="34" t="n"/>
      <c r="I13" s="35" t="inlineStr">
        <is>
          <t>CDC VOUCHER</t>
        </is>
      </c>
      <c r="J13" s="174" t="n"/>
      <c r="K13" s="33" t="n"/>
      <c r="L13" s="34" t="n"/>
      <c r="M13" s="41" t="inlineStr">
        <is>
          <t>CDC VOUCHER</t>
        </is>
      </c>
      <c r="N13" s="173" t="n"/>
      <c r="O13" s="33" t="n"/>
      <c r="P13" s="46" t="n"/>
      <c r="Q13" s="31" t="inlineStr">
        <is>
          <t>CASA VOUCHER</t>
        </is>
      </c>
      <c r="R13" s="39" t="n"/>
      <c r="S13" s="40" t="n"/>
      <c r="T13" s="46" t="n"/>
      <c r="U13" s="41" t="inlineStr">
        <is>
          <t>CDC VOUCHER</t>
        </is>
      </c>
      <c r="V13" s="173" t="n"/>
      <c r="W13" s="33" t="n"/>
      <c r="X13" s="48" t="n"/>
      <c r="Y13" s="35" t="inlineStr">
        <is>
          <t>CDC VOUCHER</t>
        </is>
      </c>
      <c r="Z13" s="174" t="n"/>
      <c r="AA13" s="56" t="n"/>
      <c r="AB13" s="46" t="n"/>
      <c r="AC13" s="46" t="n"/>
      <c r="AD13" s="187" t="inlineStr">
        <is>
          <t>CDC VOUCHER</t>
        </is>
      </c>
      <c r="AE13" s="173" t="n"/>
      <c r="AF13" s="59" t="n"/>
      <c r="AG13" s="48" t="n"/>
      <c r="AH13" s="46" t="n"/>
      <c r="AI13" s="31" t="inlineStr">
        <is>
          <t>CASA VOUCHER</t>
        </is>
      </c>
      <c r="AJ13" s="39" t="n"/>
      <c r="AK13" s="40" t="n"/>
      <c r="AL13" s="46" t="n"/>
      <c r="AM13" s="46" t="n"/>
      <c r="AN13" s="187" t="inlineStr">
        <is>
          <t>CDC VOUCHER</t>
        </is>
      </c>
      <c r="AO13" s="174" t="n"/>
      <c r="AP13" s="59" t="n"/>
      <c r="AQ13" s="48" t="n"/>
      <c r="AR13" s="46" t="n"/>
      <c r="AS13" s="57" t="inlineStr">
        <is>
          <t>CDC VOUCHER</t>
        </is>
      </c>
      <c r="AT13" s="174" t="n"/>
      <c r="AU13" s="59" t="n"/>
      <c r="AV13" s="48" t="n"/>
      <c r="AW13" s="46" t="n"/>
      <c r="AX13" s="187" t="inlineStr">
        <is>
          <t>CDC VOUCHER</t>
        </is>
      </c>
      <c r="AY13" s="173" t="n"/>
      <c r="AZ13" s="59" t="n"/>
      <c r="BA13" s="48" t="n"/>
    </row>
    <row r="14" ht="27.75" customHeight="1" s="220">
      <c r="A14" s="31" t="inlineStr">
        <is>
          <t>CHAS</t>
        </is>
      </c>
      <c r="B14" s="174" t="n"/>
      <c r="C14" s="33" t="n"/>
      <c r="D14" s="34" t="n"/>
      <c r="E14" s="35" t="inlineStr">
        <is>
          <t>CHAS</t>
        </is>
      </c>
      <c r="F14" s="36" t="n"/>
      <c r="G14" s="33" t="n"/>
      <c r="H14" s="34" t="n"/>
      <c r="I14" s="35" t="inlineStr">
        <is>
          <t>CHAS</t>
        </is>
      </c>
      <c r="J14" s="174" t="n"/>
      <c r="K14" s="33" t="n"/>
      <c r="L14" s="34" t="n"/>
      <c r="M14" s="41" t="inlineStr">
        <is>
          <t>CHAS</t>
        </is>
      </c>
      <c r="N14" s="173" t="n"/>
      <c r="O14" s="33" t="n"/>
      <c r="P14" s="46" t="n"/>
      <c r="Q14" s="31" t="n"/>
      <c r="R14" s="39" t="n"/>
      <c r="S14" s="40" t="n"/>
      <c r="T14" s="46" t="n"/>
      <c r="U14" s="41" t="inlineStr">
        <is>
          <t>CHAS</t>
        </is>
      </c>
      <c r="V14" s="173" t="n"/>
      <c r="W14" s="33" t="n"/>
      <c r="X14" s="48" t="n"/>
      <c r="Y14" s="35" t="inlineStr">
        <is>
          <t>CHAS</t>
        </is>
      </c>
      <c r="Z14" s="174" t="n"/>
      <c r="AA14" s="45" t="n"/>
      <c r="AB14" s="46" t="n"/>
      <c r="AC14" s="46" t="n"/>
      <c r="AD14" s="41" t="inlineStr">
        <is>
          <t>CHAS</t>
        </is>
      </c>
      <c r="AE14" s="174" t="n"/>
      <c r="AF14" s="43" t="n"/>
      <c r="AG14" s="48" t="n"/>
      <c r="AH14" s="46" t="n"/>
      <c r="AI14" s="31" t="n"/>
      <c r="AJ14" s="39" t="n"/>
      <c r="AK14" s="40" t="n"/>
      <c r="AL14" s="46" t="n"/>
      <c r="AM14" s="46" t="n"/>
      <c r="AN14" s="41" t="inlineStr">
        <is>
          <t>CHAS</t>
        </is>
      </c>
      <c r="AO14" s="174" t="n"/>
      <c r="AP14" s="43" t="n"/>
      <c r="AQ14" s="48" t="n"/>
      <c r="AR14" s="46" t="n"/>
      <c r="AS14" s="35" t="inlineStr">
        <is>
          <t>CHAS</t>
        </is>
      </c>
      <c r="AT14" s="174" t="n"/>
      <c r="AU14" s="43" t="n"/>
      <c r="AV14" s="48" t="n"/>
      <c r="AW14" s="46" t="n"/>
      <c r="AX14" s="41" t="inlineStr">
        <is>
          <t>CHAS</t>
        </is>
      </c>
      <c r="AY14" s="173" t="n"/>
      <c r="AZ14" s="43" t="n"/>
      <c r="BA14" s="48" t="n"/>
    </row>
    <row r="15" ht="27.75" customHeight="1" s="220">
      <c r="A15" s="31" t="inlineStr">
        <is>
          <t>CYNERGY</t>
        </is>
      </c>
      <c r="B15" s="174" t="n"/>
      <c r="C15" s="33" t="n"/>
      <c r="D15" s="34" t="n"/>
      <c r="E15" s="35" t="inlineStr">
        <is>
          <t>CYNERGY</t>
        </is>
      </c>
      <c r="F15" s="36" t="n"/>
      <c r="G15" s="33" t="n"/>
      <c r="H15" s="34" t="n"/>
      <c r="I15" s="35" t="inlineStr">
        <is>
          <t>CYNERGY</t>
        </is>
      </c>
      <c r="J15" s="174" t="n"/>
      <c r="K15" s="33" t="n"/>
      <c r="L15" s="34" t="n"/>
      <c r="M15" s="41" t="inlineStr">
        <is>
          <t>CYNERGY</t>
        </is>
      </c>
      <c r="N15" s="173" t="n"/>
      <c r="O15" s="33" t="n"/>
      <c r="P15" s="46" t="n"/>
      <c r="Q15" s="31" t="n"/>
      <c r="R15" s="39" t="n"/>
      <c r="S15" s="40" t="n"/>
      <c r="T15" s="46" t="n"/>
      <c r="U15" s="41" t="inlineStr">
        <is>
          <t>CYNERGY</t>
        </is>
      </c>
      <c r="V15" s="173" t="n"/>
      <c r="W15" s="33" t="n"/>
      <c r="X15" s="48" t="n"/>
      <c r="Y15" s="35" t="inlineStr">
        <is>
          <t>CYNERGY</t>
        </is>
      </c>
      <c r="Z15" s="36" t="n"/>
      <c r="AA15" s="45" t="n"/>
      <c r="AB15" s="46" t="n"/>
      <c r="AC15" s="46" t="n"/>
      <c r="AD15" s="41" t="inlineStr">
        <is>
          <t>CYNERGY</t>
        </is>
      </c>
      <c r="AE15" s="174" t="n"/>
      <c r="AF15" s="43" t="n"/>
      <c r="AG15" s="48" t="n"/>
      <c r="AH15" s="46" t="n"/>
      <c r="AI15" s="31" t="n"/>
      <c r="AJ15" s="39" t="n"/>
      <c r="AK15" s="40" t="n"/>
      <c r="AL15" s="46" t="n"/>
      <c r="AM15" s="46" t="n"/>
      <c r="AN15" s="41" t="inlineStr">
        <is>
          <t>CYNERGY</t>
        </is>
      </c>
      <c r="AO15" s="174" t="n"/>
      <c r="AP15" s="43" t="n"/>
      <c r="AQ15" s="48" t="n"/>
      <c r="AR15" s="46" t="n"/>
      <c r="AS15" s="35" t="inlineStr">
        <is>
          <t>CYNERGY</t>
        </is>
      </c>
      <c r="AT15" s="173" t="n"/>
      <c r="AU15" s="43" t="n"/>
      <c r="AV15" s="48" t="n"/>
      <c r="AW15" s="46" t="n"/>
      <c r="AX15" s="41" t="inlineStr">
        <is>
          <t>CYNERGY</t>
        </is>
      </c>
      <c r="AY15" s="173" t="n"/>
      <c r="AZ15" s="43" t="n"/>
      <c r="BA15" s="48" t="n"/>
    </row>
    <row r="16" ht="27.75" customHeight="1" s="220">
      <c r="A16" s="35" t="inlineStr">
        <is>
          <t>DA ADEPT HEALTH</t>
        </is>
      </c>
      <c r="B16" s="50" t="n"/>
      <c r="C16" s="33">
        <f>B16*8%</f>
        <v/>
      </c>
      <c r="D16" s="34" t="n"/>
      <c r="E16" s="35" t="inlineStr">
        <is>
          <t>DA ADEPT HEALTH</t>
        </is>
      </c>
      <c r="F16" s="36" t="n"/>
      <c r="G16" s="33">
        <f>F16*8%</f>
        <v/>
      </c>
      <c r="H16" s="34" t="n"/>
      <c r="I16" s="35" t="inlineStr">
        <is>
          <t>DA ADEPT HEALTH</t>
        </is>
      </c>
      <c r="J16" s="36" t="n"/>
      <c r="K16" s="33">
        <f>J16*8%</f>
        <v/>
      </c>
      <c r="L16" s="34" t="n"/>
      <c r="M16" s="41" t="inlineStr">
        <is>
          <t>DA ADEPT HEALTH</t>
        </is>
      </c>
      <c r="N16" s="36" t="n"/>
      <c r="O16" s="33">
        <f>N16*8%</f>
        <v/>
      </c>
      <c r="P16" s="46" t="n"/>
      <c r="Q16" s="31" t="n"/>
      <c r="R16" s="39" t="n"/>
      <c r="S16" s="40" t="n"/>
      <c r="T16" s="46" t="n"/>
      <c r="U16" s="41" t="inlineStr">
        <is>
          <t>DA ADEPT HEALTH</t>
        </is>
      </c>
      <c r="V16" s="51" t="n"/>
      <c r="W16" s="33">
        <f>V16*8%</f>
        <v/>
      </c>
      <c r="X16" s="48" t="n"/>
      <c r="Y16" s="35" t="inlineStr">
        <is>
          <t>DA ADEPT HEALTH</t>
        </is>
      </c>
      <c r="Z16" s="55" t="n"/>
      <c r="AA16" s="56">
        <f>Z16*8%</f>
        <v/>
      </c>
      <c r="AB16" s="46" t="n"/>
      <c r="AC16" s="46" t="n"/>
      <c r="AD16" s="57" t="inlineStr">
        <is>
          <t>DA ADEPT HEALTH</t>
        </is>
      </c>
      <c r="AE16" s="58" t="n"/>
      <c r="AF16" s="59">
        <f>AE16*8%</f>
        <v/>
      </c>
      <c r="AG16" s="48" t="n"/>
      <c r="AH16" s="46" t="n"/>
      <c r="AI16" s="31" t="n"/>
      <c r="AJ16" s="39" t="n"/>
      <c r="AK16" s="40" t="n"/>
      <c r="AL16" s="46" t="n"/>
      <c r="AM16" s="46" t="n"/>
      <c r="AN16" s="57" t="inlineStr">
        <is>
          <t>DA ADEPT HEALTH</t>
        </is>
      </c>
      <c r="AO16" s="58" t="n"/>
      <c r="AP16" s="59">
        <f>AO16*8%</f>
        <v/>
      </c>
      <c r="AQ16" s="48" t="n"/>
      <c r="AR16" s="46" t="n"/>
      <c r="AS16" s="57" t="inlineStr">
        <is>
          <t>DA ADEPT HEALTH</t>
        </is>
      </c>
      <c r="AT16" s="58" t="n"/>
      <c r="AU16" s="59">
        <f>AT16*8%</f>
        <v/>
      </c>
      <c r="AV16" s="48" t="n"/>
      <c r="AW16" s="46" t="n"/>
      <c r="AX16" s="57" t="inlineStr">
        <is>
          <t>DA ADEPT HEALTH</t>
        </is>
      </c>
      <c r="AY16" s="58" t="n"/>
      <c r="AZ16" s="59">
        <f>AY16*8%</f>
        <v/>
      </c>
      <c r="BA16" s="48" t="n"/>
    </row>
    <row r="17" ht="27.75" customHeight="1" s="220">
      <c r="A17" s="60" t="inlineStr">
        <is>
          <t>DEPOSIT</t>
        </is>
      </c>
      <c r="B17" s="174" t="n"/>
      <c r="C17" s="33">
        <f>G17+K17+O17+O17+S17+W17+AA17+AF17+AP17+AU17+AZ17</f>
        <v/>
      </c>
      <c r="D17" s="34" t="n"/>
      <c r="E17" s="61" t="inlineStr">
        <is>
          <t>DEPOSIT</t>
        </is>
      </c>
      <c r="F17" s="36" t="n"/>
      <c r="G17" s="33" t="n"/>
      <c r="H17" s="34" t="n"/>
      <c r="I17" s="61" t="inlineStr">
        <is>
          <t>DEPOSIT</t>
        </is>
      </c>
      <c r="J17" s="174" t="n"/>
      <c r="K17" s="33" t="n"/>
      <c r="L17" s="34" t="n"/>
      <c r="M17" s="176" t="inlineStr">
        <is>
          <t>DEPOSIT</t>
        </is>
      </c>
      <c r="N17" s="173" t="n"/>
      <c r="O17" s="33" t="n"/>
      <c r="P17" s="46" t="n"/>
      <c r="Q17" s="31" t="inlineStr">
        <is>
          <t>DEPOSIT</t>
        </is>
      </c>
      <c r="R17" s="39" t="n"/>
      <c r="S17" s="40" t="n">
        <v>0</v>
      </c>
      <c r="T17" s="46" t="n"/>
      <c r="U17" s="61" t="inlineStr">
        <is>
          <t>DEPOSIT</t>
        </is>
      </c>
      <c r="V17" s="175" t="n"/>
      <c r="W17" s="33" t="n"/>
      <c r="X17" s="48" t="n"/>
      <c r="Y17" s="61" t="inlineStr">
        <is>
          <t>DEPOSIT</t>
        </is>
      </c>
      <c r="Z17" s="36" t="n"/>
      <c r="AA17" s="45" t="n"/>
      <c r="AB17" s="46" t="n"/>
      <c r="AC17" s="46" t="n"/>
      <c r="AD17" s="61" t="inlineStr">
        <is>
          <t>DEPOSIT</t>
        </is>
      </c>
      <c r="AE17" s="174" t="n"/>
      <c r="AF17" s="43" t="n"/>
      <c r="AG17" s="48" t="n"/>
      <c r="AH17" s="46" t="n"/>
      <c r="AI17" s="60" t="inlineStr">
        <is>
          <t>DEPOSIT</t>
        </is>
      </c>
      <c r="AJ17" s="39" t="n"/>
      <c r="AK17" s="40" t="n"/>
      <c r="AL17" s="46" t="n"/>
      <c r="AM17" s="46" t="n"/>
      <c r="AN17" s="61" t="inlineStr">
        <is>
          <t>DEPOSIT</t>
        </is>
      </c>
      <c r="AO17" s="174" t="n"/>
      <c r="AP17" s="43" t="n"/>
      <c r="AQ17" s="48" t="n"/>
      <c r="AR17" s="46" t="n"/>
      <c r="AS17" s="61" t="inlineStr">
        <is>
          <t>DEPOSIT</t>
        </is>
      </c>
      <c r="AT17" s="174" t="n"/>
      <c r="AU17" s="43" t="n"/>
      <c r="AV17" s="48" t="n"/>
      <c r="AW17" s="46" t="n"/>
      <c r="AX17" s="61" t="inlineStr">
        <is>
          <t>DEPOSIT</t>
        </is>
      </c>
      <c r="AY17" s="47" t="n"/>
      <c r="AZ17" s="43" t="n"/>
      <c r="BA17" s="48" t="n"/>
    </row>
    <row r="18" ht="27.75" customHeight="1" s="220">
      <c r="A18" s="31" t="inlineStr">
        <is>
          <t>IHP</t>
        </is>
      </c>
      <c r="B18" s="174" t="n"/>
      <c r="C18" s="33">
        <f>B18*0.051*1.09</f>
        <v/>
      </c>
      <c r="D18" s="34" t="n"/>
      <c r="E18" s="35" t="inlineStr">
        <is>
          <t>IHP</t>
        </is>
      </c>
      <c r="F18" s="36" t="n"/>
      <c r="G18" s="33">
        <f>F18*0.051*1.09</f>
        <v/>
      </c>
      <c r="H18" s="34" t="n"/>
      <c r="I18" s="35" t="inlineStr">
        <is>
          <t>IHP</t>
        </is>
      </c>
      <c r="J18" s="174" t="n"/>
      <c r="K18" s="33">
        <f>J18*0.051*1.09</f>
        <v/>
      </c>
      <c r="L18" s="34" t="n"/>
      <c r="M18" s="41" t="inlineStr">
        <is>
          <t>IHP</t>
        </is>
      </c>
      <c r="N18" s="173" t="n"/>
      <c r="O18" s="33">
        <f>N18*0.051*1.09</f>
        <v/>
      </c>
      <c r="P18" s="46" t="n"/>
      <c r="Q18" s="31" t="n"/>
      <c r="R18" s="39" t="n"/>
      <c r="S18" s="40" t="n"/>
      <c r="T18" s="46" t="n"/>
      <c r="U18" s="35" t="inlineStr">
        <is>
          <t>IHP</t>
        </is>
      </c>
      <c r="V18" s="174" t="n"/>
      <c r="W18" s="33">
        <f>V18*0.051*1.09</f>
        <v/>
      </c>
      <c r="X18" s="48" t="n"/>
      <c r="Y18" s="35" t="inlineStr">
        <is>
          <t>IHP</t>
        </is>
      </c>
      <c r="Z18" s="174" t="n"/>
      <c r="AA18" s="45">
        <f>Z18*0.051*1.09</f>
        <v/>
      </c>
      <c r="AB18" s="46" t="n"/>
      <c r="AC18" s="46" t="n"/>
      <c r="AD18" s="35" t="inlineStr">
        <is>
          <t>IHP</t>
        </is>
      </c>
      <c r="AE18" s="174" t="n"/>
      <c r="AF18" s="43">
        <f>AE18*0.051*1.09</f>
        <v/>
      </c>
      <c r="AG18" s="48" t="n"/>
      <c r="AH18" s="46" t="n"/>
      <c r="AI18" s="60" t="n"/>
      <c r="AJ18" s="39" t="n"/>
      <c r="AK18" s="40" t="n"/>
      <c r="AL18" s="46" t="n"/>
      <c r="AM18" s="46" t="n"/>
      <c r="AN18" s="35" t="inlineStr">
        <is>
          <t>IHP</t>
        </is>
      </c>
      <c r="AO18" s="174" t="n"/>
      <c r="AP18" s="43">
        <f>AO18*0.051*1.09</f>
        <v/>
      </c>
      <c r="AQ18" s="48" t="n"/>
      <c r="AR18" s="46" t="n"/>
      <c r="AS18" s="35" t="inlineStr">
        <is>
          <t>IHP</t>
        </is>
      </c>
      <c r="AT18" s="174" t="n"/>
      <c r="AU18" s="43">
        <f>AT18*0.051*1.09</f>
        <v/>
      </c>
      <c r="AV18" s="48" t="n"/>
      <c r="AW18" s="46" t="n"/>
      <c r="AX18" s="35" t="inlineStr">
        <is>
          <t>IHP</t>
        </is>
      </c>
      <c r="AY18" s="174" t="n"/>
      <c r="AZ18" s="43">
        <f>AY18*0.051*1.09</f>
        <v/>
      </c>
      <c r="BA18" s="48" t="n"/>
    </row>
    <row r="19" ht="27.75" customHeight="1" s="220">
      <c r="A19" s="31" t="inlineStr">
        <is>
          <t>JCB</t>
        </is>
      </c>
      <c r="B19" s="32" t="n"/>
      <c r="C19" s="33">
        <f>B19*0.15*1.09</f>
        <v/>
      </c>
      <c r="D19" s="34" t="n"/>
      <c r="E19" s="35" t="inlineStr">
        <is>
          <t>JCB</t>
        </is>
      </c>
      <c r="F19" s="50" t="n"/>
      <c r="G19" s="33">
        <f>F19*0.15*1.09</f>
        <v/>
      </c>
      <c r="H19" s="34" t="n"/>
      <c r="I19" s="35" t="inlineStr">
        <is>
          <t>JCB</t>
        </is>
      </c>
      <c r="J19" s="50" t="n"/>
      <c r="K19" s="33">
        <f>J19*0.15*1.09</f>
        <v/>
      </c>
      <c r="L19" s="34" t="n"/>
      <c r="M19" s="41" t="inlineStr">
        <is>
          <t>JCB</t>
        </is>
      </c>
      <c r="N19" s="50" t="n"/>
      <c r="O19" s="33">
        <f>N19*0.15*1.09</f>
        <v/>
      </c>
      <c r="P19" s="46" t="n"/>
      <c r="Q19" s="31" t="n"/>
      <c r="R19" s="39" t="n"/>
      <c r="S19" s="40" t="n"/>
      <c r="T19" s="46" t="n"/>
      <c r="U19" s="35" t="inlineStr">
        <is>
          <t>JCB</t>
        </is>
      </c>
      <c r="V19" s="50" t="n"/>
      <c r="W19" s="33">
        <f>V19*0.15*1.09</f>
        <v/>
      </c>
      <c r="X19" s="48" t="n"/>
      <c r="Y19" s="35" t="inlineStr">
        <is>
          <t>JCB</t>
        </is>
      </c>
      <c r="Z19" s="50" t="n"/>
      <c r="AA19" s="45">
        <f>Z19*0.15*1.09</f>
        <v/>
      </c>
      <c r="AB19" s="46" t="n"/>
      <c r="AC19" s="46" t="n"/>
      <c r="AD19" s="35" t="inlineStr">
        <is>
          <t>JCB</t>
        </is>
      </c>
      <c r="AE19" s="62" t="n"/>
      <c r="AF19" s="43">
        <f>AE19*0.15*1.09</f>
        <v/>
      </c>
      <c r="AG19" s="48" t="n"/>
      <c r="AH19" s="46" t="n"/>
      <c r="AI19" s="60" t="n"/>
      <c r="AJ19" s="39" t="n"/>
      <c r="AK19" s="40" t="n"/>
      <c r="AL19" s="46" t="n"/>
      <c r="AM19" s="46" t="n"/>
      <c r="AN19" s="35" t="inlineStr">
        <is>
          <t>JCB</t>
        </is>
      </c>
      <c r="AO19" s="62" t="n"/>
      <c r="AP19" s="43">
        <f>AO19*0.15*1.09</f>
        <v/>
      </c>
      <c r="AQ19" s="48" t="n"/>
      <c r="AR19" s="46" t="n"/>
      <c r="AS19" s="35" t="inlineStr">
        <is>
          <t>JCB</t>
        </is>
      </c>
      <c r="AT19" s="62" t="n"/>
      <c r="AU19" s="43">
        <f>AT19*0.15*1.09</f>
        <v/>
      </c>
      <c r="AV19" s="48" t="n"/>
      <c r="AW19" s="46" t="n"/>
      <c r="AX19" s="35" t="inlineStr">
        <is>
          <t>JCB</t>
        </is>
      </c>
      <c r="AY19" s="62" t="n"/>
      <c r="AZ19" s="43">
        <f>AY19*0.15*1.09</f>
        <v/>
      </c>
      <c r="BA19" s="48" t="n"/>
    </row>
    <row r="20" ht="27.75" customHeight="1" s="220">
      <c r="A20" s="31" t="inlineStr">
        <is>
          <t>MASTER</t>
        </is>
      </c>
      <c r="B20" s="174" t="n"/>
      <c r="C20" s="33">
        <f>B20*0.0225</f>
        <v/>
      </c>
      <c r="D20" s="34" t="n"/>
      <c r="E20" s="35" t="inlineStr">
        <is>
          <t>MASTER</t>
        </is>
      </c>
      <c r="F20" s="36" t="n"/>
      <c r="G20" s="33">
        <f>F20*0.021</f>
        <v/>
      </c>
      <c r="H20" s="34" t="n"/>
      <c r="I20" s="35" t="inlineStr">
        <is>
          <t>MASTER</t>
        </is>
      </c>
      <c r="J20" s="174" t="n"/>
      <c r="K20" s="33">
        <f>J20*0.0225</f>
        <v/>
      </c>
      <c r="L20" s="34" t="n"/>
      <c r="M20" s="41" t="inlineStr">
        <is>
          <t>MASTER</t>
        </is>
      </c>
      <c r="N20" s="173" t="n"/>
      <c r="O20" s="33">
        <f>N20*0.0225</f>
        <v/>
      </c>
      <c r="P20" s="46" t="n"/>
      <c r="Q20" s="31" t="n"/>
      <c r="R20" s="39" t="n"/>
      <c r="S20" s="40" t="n"/>
      <c r="T20" s="46" t="n"/>
      <c r="U20" s="35" t="inlineStr">
        <is>
          <t>MASTER</t>
        </is>
      </c>
      <c r="V20" s="174" t="n"/>
      <c r="W20" s="33">
        <f>V20*0.0225</f>
        <v/>
      </c>
      <c r="X20" s="48" t="n"/>
      <c r="Y20" s="35" t="inlineStr">
        <is>
          <t>MASTER</t>
        </is>
      </c>
      <c r="Z20" s="174" t="n"/>
      <c r="AA20" s="45">
        <f>Z20*0.0225</f>
        <v/>
      </c>
      <c r="AB20" s="46" t="n"/>
      <c r="AC20" s="46" t="n"/>
      <c r="AD20" s="35" t="inlineStr">
        <is>
          <t>MASTER</t>
        </is>
      </c>
      <c r="AE20" s="174" t="n"/>
      <c r="AF20" s="43">
        <f>AE20*0.0225</f>
        <v/>
      </c>
      <c r="AG20" s="48" t="n"/>
      <c r="AH20" s="46" t="n"/>
      <c r="AI20" s="60" t="n"/>
      <c r="AJ20" s="39" t="n"/>
      <c r="AK20" s="40" t="n"/>
      <c r="AL20" s="46" t="n"/>
      <c r="AM20" s="46" t="n"/>
      <c r="AN20" s="35" t="inlineStr">
        <is>
          <t>MASTER</t>
        </is>
      </c>
      <c r="AO20" s="174" t="n"/>
      <c r="AP20" s="43">
        <f>AO20*0.0225</f>
        <v/>
      </c>
      <c r="AQ20" s="48" t="n"/>
      <c r="AR20" s="46" t="n"/>
      <c r="AS20" s="35" t="inlineStr">
        <is>
          <t>MASTER</t>
        </is>
      </c>
      <c r="AT20" s="174" t="n"/>
      <c r="AU20" s="43">
        <f>AT20*0.0225</f>
        <v/>
      </c>
      <c r="AV20" s="48" t="n"/>
      <c r="AW20" s="46" t="n"/>
      <c r="AX20" s="35" t="inlineStr">
        <is>
          <t>MASTER</t>
        </is>
      </c>
      <c r="AY20" s="174" t="n"/>
      <c r="AZ20" s="43">
        <f>AY20*0.021</f>
        <v/>
      </c>
      <c r="BA20" s="48" t="n"/>
    </row>
    <row r="21" ht="27.75" customHeight="1" s="220">
      <c r="A21" s="31" t="inlineStr">
        <is>
          <t>MEDISAVE</t>
        </is>
      </c>
      <c r="B21" s="174" t="n"/>
      <c r="C21" s="33" t="n"/>
      <c r="D21" s="34" t="n"/>
      <c r="E21" s="35" t="inlineStr">
        <is>
          <t>MEDISAVE</t>
        </is>
      </c>
      <c r="F21" s="36" t="n"/>
      <c r="G21" s="33" t="n"/>
      <c r="H21" s="34" t="n"/>
      <c r="I21" s="35" t="inlineStr">
        <is>
          <t>MEDISAVE</t>
        </is>
      </c>
      <c r="J21" s="174" t="n"/>
      <c r="K21" s="33" t="n"/>
      <c r="L21" s="34" t="n"/>
      <c r="M21" s="41" t="inlineStr">
        <is>
          <t>MEDISAVE</t>
        </is>
      </c>
      <c r="N21" s="173" t="n"/>
      <c r="O21" s="33" t="n"/>
      <c r="P21" s="46" t="n"/>
      <c r="Q21" s="31" t="n"/>
      <c r="R21" s="39" t="n"/>
      <c r="S21" s="40" t="n"/>
      <c r="T21" s="46" t="n"/>
      <c r="U21" s="35" t="inlineStr">
        <is>
          <t>MEDISAVE</t>
        </is>
      </c>
      <c r="V21" s="174" t="n"/>
      <c r="W21" s="33" t="n"/>
      <c r="X21" s="48" t="n"/>
      <c r="Y21" s="35" t="inlineStr">
        <is>
          <t>MEDISAVE</t>
        </is>
      </c>
      <c r="Z21" s="174" t="n"/>
      <c r="AA21" s="45" t="n"/>
      <c r="AB21" s="46" t="n"/>
      <c r="AC21" s="46" t="n"/>
      <c r="AD21" s="35" t="inlineStr">
        <is>
          <t>MEDISAVE</t>
        </is>
      </c>
      <c r="AE21" s="174" t="n"/>
      <c r="AF21" s="43" t="n"/>
      <c r="AG21" s="48" t="n"/>
      <c r="AH21" s="46" t="n"/>
      <c r="AI21" s="60" t="n"/>
      <c r="AJ21" s="39" t="n"/>
      <c r="AK21" s="40" t="n"/>
      <c r="AL21" s="46" t="n"/>
      <c r="AM21" s="46" t="n"/>
      <c r="AN21" s="35" t="inlineStr">
        <is>
          <t>MEDISAVE</t>
        </is>
      </c>
      <c r="AO21" s="174" t="n"/>
      <c r="AP21" s="43" t="n"/>
      <c r="AQ21" s="48" t="n"/>
      <c r="AR21" s="46" t="n"/>
      <c r="AS21" s="35" t="inlineStr">
        <is>
          <t>MEDISAVE</t>
        </is>
      </c>
      <c r="AT21" s="174" t="n"/>
      <c r="AU21" s="43" t="n"/>
      <c r="AV21" s="48" t="n"/>
      <c r="AW21" s="46" t="n"/>
      <c r="AX21" s="35" t="inlineStr">
        <is>
          <t>MEDISAVE</t>
        </is>
      </c>
      <c r="AY21" s="174" t="n"/>
      <c r="AZ21" s="43" t="n"/>
      <c r="BA21" s="48" t="n"/>
    </row>
    <row r="22" ht="27.75" customHeight="1" s="220">
      <c r="A22" s="52" t="inlineStr">
        <is>
          <t>mednefits</t>
        </is>
      </c>
      <c r="B22" s="53" t="n"/>
      <c r="C22" s="54">
        <f>B22*20%</f>
        <v/>
      </c>
      <c r="D22" s="34" t="n"/>
      <c r="E22" s="35" t="inlineStr">
        <is>
          <t>mednefits</t>
        </is>
      </c>
      <c r="F22" s="50" t="n"/>
      <c r="G22" s="33">
        <f>F22*20%</f>
        <v/>
      </c>
      <c r="H22" s="34" t="n"/>
      <c r="I22" s="35" t="inlineStr">
        <is>
          <t>mednefits</t>
        </is>
      </c>
      <c r="J22" s="50" t="n"/>
      <c r="K22" s="33">
        <f>J22*20%</f>
        <v/>
      </c>
      <c r="L22" s="34" t="n"/>
      <c r="M22" s="41" t="inlineStr">
        <is>
          <t>mednefits</t>
        </is>
      </c>
      <c r="N22" s="36" t="n"/>
      <c r="O22" s="33">
        <f>N22*20%</f>
        <v/>
      </c>
      <c r="P22" s="46" t="n"/>
      <c r="Q22" s="31" t="n"/>
      <c r="R22" s="39" t="n"/>
      <c r="S22" s="40" t="n"/>
      <c r="T22" s="46" t="n"/>
      <c r="U22" s="35" t="inlineStr">
        <is>
          <t>mednefits</t>
        </is>
      </c>
      <c r="V22" s="51" t="n"/>
      <c r="W22" s="33">
        <f>V22*20%</f>
        <v/>
      </c>
      <c r="X22" s="48" t="n"/>
      <c r="Y22" s="35" t="inlineStr">
        <is>
          <t>mednefits</t>
        </is>
      </c>
      <c r="Z22" s="55" t="n"/>
      <c r="AA22" s="56">
        <f>Z22*20%</f>
        <v/>
      </c>
      <c r="AB22" s="46" t="n"/>
      <c r="AC22" s="46" t="n"/>
      <c r="AD22" s="57" t="inlineStr">
        <is>
          <t>mednefits</t>
        </is>
      </c>
      <c r="AE22" s="58" t="n"/>
      <c r="AF22" s="59">
        <f>AE22*20%</f>
        <v/>
      </c>
      <c r="AG22" s="48" t="n"/>
      <c r="AH22" s="46" t="n"/>
      <c r="AI22" s="60" t="n"/>
      <c r="AJ22" s="39" t="n"/>
      <c r="AK22" s="40" t="n"/>
      <c r="AL22" s="46" t="n"/>
      <c r="AM22" s="46" t="n"/>
      <c r="AN22" s="57" t="inlineStr">
        <is>
          <t>mednefits</t>
        </is>
      </c>
      <c r="AO22" s="58" t="n"/>
      <c r="AP22" s="59">
        <f>AO22*20%</f>
        <v/>
      </c>
      <c r="AQ22" s="48" t="n"/>
      <c r="AR22" s="46" t="n"/>
      <c r="AS22" s="57" t="inlineStr">
        <is>
          <t>mednefits</t>
        </is>
      </c>
      <c r="AT22" s="58" t="n"/>
      <c r="AU22" s="59">
        <f>AT22*20%</f>
        <v/>
      </c>
      <c r="AV22" s="48" t="n"/>
      <c r="AW22" s="46" t="n"/>
      <c r="AX22" s="57" t="inlineStr">
        <is>
          <t>mednefits</t>
        </is>
      </c>
      <c r="AY22" s="58" t="n"/>
      <c r="AZ22" s="59">
        <f>AY22*20%</f>
        <v/>
      </c>
      <c r="BA22" s="48" t="n"/>
    </row>
    <row r="23" ht="27.75" customHeight="1" s="220">
      <c r="A23" s="35" t="inlineStr">
        <is>
          <t>MHC</t>
        </is>
      </c>
      <c r="B23" s="174" t="n"/>
      <c r="C23" s="33">
        <f>B23*0.15*1.09</f>
        <v/>
      </c>
      <c r="D23" s="34" t="n"/>
      <c r="E23" s="35" t="inlineStr">
        <is>
          <t>MHC</t>
        </is>
      </c>
      <c r="F23" s="36" t="n"/>
      <c r="G23" s="33">
        <f>F23*0.15*1.09</f>
        <v/>
      </c>
      <c r="H23" s="34" t="n"/>
      <c r="I23" s="35" t="inlineStr">
        <is>
          <t>MHC</t>
        </is>
      </c>
      <c r="J23" s="36" t="n"/>
      <c r="K23" s="33">
        <f>J23*0.15*1.09</f>
        <v/>
      </c>
      <c r="L23" s="34" t="n"/>
      <c r="M23" s="41" t="inlineStr">
        <is>
          <t>MHC</t>
        </is>
      </c>
      <c r="N23" s="173" t="n"/>
      <c r="O23" s="33">
        <f>N23*0.15*1.09</f>
        <v/>
      </c>
      <c r="P23" s="46" t="n"/>
      <c r="Q23" s="31" t="n"/>
      <c r="R23" s="39" t="n"/>
      <c r="S23" s="40" t="n"/>
      <c r="T23" s="46" t="n"/>
      <c r="U23" s="35" t="inlineStr">
        <is>
          <t>MHC</t>
        </is>
      </c>
      <c r="V23" s="174" t="n"/>
      <c r="W23" s="33">
        <f>V23*0.15*1.09</f>
        <v/>
      </c>
      <c r="X23" s="48" t="n"/>
      <c r="Y23" s="35" t="inlineStr">
        <is>
          <t>MHC</t>
        </is>
      </c>
      <c r="Z23" s="174" t="n"/>
      <c r="AA23" s="33">
        <f>Z23*0.15*1.09</f>
        <v/>
      </c>
      <c r="AB23" s="46" t="n"/>
      <c r="AC23" s="46" t="n"/>
      <c r="AD23" s="35" t="inlineStr">
        <is>
          <t>MHC</t>
        </is>
      </c>
      <c r="AE23" s="174" t="n"/>
      <c r="AF23" s="33">
        <f>AE23*0.15*1.09</f>
        <v/>
      </c>
      <c r="AG23" s="48" t="n"/>
      <c r="AH23" s="46" t="n"/>
      <c r="AI23" s="60" t="n"/>
      <c r="AJ23" s="39" t="n"/>
      <c r="AK23" s="40" t="n"/>
      <c r="AL23" s="46" t="n"/>
      <c r="AM23" s="46" t="n"/>
      <c r="AN23" s="35" t="inlineStr">
        <is>
          <t>MHC</t>
        </is>
      </c>
      <c r="AO23" s="174" t="n"/>
      <c r="AP23" s="33">
        <f>AO23*0.15*1.09</f>
        <v/>
      </c>
      <c r="AQ23" s="48" t="n"/>
      <c r="AR23" s="46" t="n"/>
      <c r="AS23" s="35" t="inlineStr">
        <is>
          <t>MHC</t>
        </is>
      </c>
      <c r="AT23" s="174" t="n"/>
      <c r="AU23" s="33">
        <f>AT23*0.15*1.09</f>
        <v/>
      </c>
      <c r="AV23" s="48" t="n"/>
      <c r="AW23" s="46" t="n"/>
      <c r="AX23" s="35" t="inlineStr">
        <is>
          <t>MHC</t>
        </is>
      </c>
      <c r="AY23" s="173" t="n"/>
      <c r="AZ23" s="33">
        <f>AY23*0.15*1.09</f>
        <v/>
      </c>
      <c r="BA23" s="48" t="n"/>
    </row>
    <row r="24" ht="27.75" customHeight="1" s="220">
      <c r="A24" s="31" t="inlineStr">
        <is>
          <t>NETS</t>
        </is>
      </c>
      <c r="B24" s="185" t="n"/>
      <c r="C24" s="33">
        <f>B24*0.008</f>
        <v/>
      </c>
      <c r="D24" s="34" t="n"/>
      <c r="E24" s="35" t="inlineStr">
        <is>
          <t>NETS</t>
        </is>
      </c>
      <c r="F24" s="36" t="n"/>
      <c r="G24" s="33">
        <f>F24*0.008</f>
        <v/>
      </c>
      <c r="H24" s="34" t="n"/>
      <c r="I24" s="35" t="inlineStr">
        <is>
          <t>NETS</t>
        </is>
      </c>
      <c r="J24" s="174" t="n"/>
      <c r="K24" s="33">
        <f>J24*0.008</f>
        <v/>
      </c>
      <c r="L24" s="34" t="n"/>
      <c r="M24" s="41" t="inlineStr">
        <is>
          <t>NETS</t>
        </is>
      </c>
      <c r="N24" s="173" t="n"/>
      <c r="O24" s="33">
        <f>N24*0.008</f>
        <v/>
      </c>
      <c r="P24" s="46" t="n"/>
      <c r="Q24" s="31" t="n"/>
      <c r="R24" s="39" t="n"/>
      <c r="S24" s="40" t="n"/>
      <c r="T24" s="46" t="n"/>
      <c r="U24" s="35" t="inlineStr">
        <is>
          <t>NETS</t>
        </is>
      </c>
      <c r="V24" s="174" t="n"/>
      <c r="W24" s="33">
        <f>V24*0.008</f>
        <v/>
      </c>
      <c r="X24" s="48" t="n"/>
      <c r="Y24" s="35" t="inlineStr">
        <is>
          <t>NETS</t>
        </is>
      </c>
      <c r="Z24" s="173" t="n"/>
      <c r="AA24" s="33">
        <f>Z24*0.008</f>
        <v/>
      </c>
      <c r="AB24" s="46" t="n"/>
      <c r="AC24" s="46" t="n"/>
      <c r="AD24" s="35" t="inlineStr">
        <is>
          <t>NETS</t>
        </is>
      </c>
      <c r="AE24" s="174" t="n"/>
      <c r="AF24" s="33">
        <f>AE24*0.008</f>
        <v/>
      </c>
      <c r="AG24" s="48" t="n"/>
      <c r="AH24" s="46" t="n"/>
      <c r="AI24" s="60" t="n"/>
      <c r="AJ24" s="39" t="n"/>
      <c r="AK24" s="40" t="n"/>
      <c r="AL24" s="46" t="n"/>
      <c r="AM24" s="46" t="n"/>
      <c r="AN24" s="35" t="inlineStr">
        <is>
          <t>NETS</t>
        </is>
      </c>
      <c r="AO24" s="174" t="n"/>
      <c r="AP24" s="33">
        <f>AO24*0.008</f>
        <v/>
      </c>
      <c r="AQ24" s="48" t="n"/>
      <c r="AR24" s="46" t="n"/>
      <c r="AS24" s="35" t="inlineStr">
        <is>
          <t>NETS</t>
        </is>
      </c>
      <c r="AT24" s="174" t="n"/>
      <c r="AU24" s="33">
        <f>AT24*0.008</f>
        <v/>
      </c>
      <c r="AV24" s="48" t="n"/>
      <c r="AW24" s="46" t="n"/>
      <c r="AX24" s="35" t="inlineStr">
        <is>
          <t>NETS</t>
        </is>
      </c>
      <c r="AY24" s="174" t="n"/>
      <c r="AZ24" s="33">
        <f>AY24*0.008</f>
        <v/>
      </c>
      <c r="BA24" s="48" t="n"/>
    </row>
    <row r="25" ht="27.75" customHeight="1" s="220">
      <c r="A25" s="35" t="inlineStr">
        <is>
          <t>PARKWAY</t>
        </is>
      </c>
      <c r="B25" s="174" t="n"/>
      <c r="C25" s="33">
        <f>B25*10%</f>
        <v/>
      </c>
      <c r="D25" s="34" t="n"/>
      <c r="E25" s="35" t="inlineStr">
        <is>
          <t>PARKWAY</t>
        </is>
      </c>
      <c r="F25" s="36" t="n"/>
      <c r="G25" s="61">
        <f>F25*10%</f>
        <v/>
      </c>
      <c r="H25" s="34" t="n"/>
      <c r="I25" s="35" t="inlineStr">
        <is>
          <t>PARKWAY</t>
        </is>
      </c>
      <c r="J25" s="36" t="n"/>
      <c r="K25" s="61">
        <f>J25*10%</f>
        <v/>
      </c>
      <c r="L25" s="34" t="n"/>
      <c r="M25" s="41" t="inlineStr">
        <is>
          <t>PARKWAY</t>
        </is>
      </c>
      <c r="N25" s="36" t="n"/>
      <c r="O25" s="61">
        <f>N25*10%</f>
        <v/>
      </c>
      <c r="P25" s="46" t="n"/>
      <c r="Q25" s="31" t="n"/>
      <c r="R25" s="39" t="n"/>
      <c r="S25" s="40" t="n"/>
      <c r="T25" s="46" t="n"/>
      <c r="U25" s="35" t="inlineStr">
        <is>
          <t>PARKWAY</t>
        </is>
      </c>
      <c r="V25" s="36" t="n"/>
      <c r="W25" s="61">
        <f>V25*10%</f>
        <v/>
      </c>
      <c r="X25" s="48" t="n"/>
      <c r="Y25" s="35" t="inlineStr">
        <is>
          <t>PARKWAY</t>
        </is>
      </c>
      <c r="Z25" s="174" t="n"/>
      <c r="AA25" s="33">
        <f>Z25*10%</f>
        <v/>
      </c>
      <c r="AB25" s="46" t="n"/>
      <c r="AC25" s="46" t="n"/>
      <c r="AD25" s="35" t="inlineStr">
        <is>
          <t>PARKWAY</t>
        </is>
      </c>
      <c r="AE25" s="174" t="n"/>
      <c r="AF25" s="33">
        <f>AE25*10%</f>
        <v/>
      </c>
      <c r="AG25" s="48" t="n"/>
      <c r="AH25" s="46" t="n"/>
      <c r="AI25" s="60" t="n"/>
      <c r="AJ25" s="39" t="n"/>
      <c r="AK25" s="40" t="n"/>
      <c r="AL25" s="46" t="n"/>
      <c r="AM25" s="46" t="n"/>
      <c r="AN25" s="35" t="inlineStr">
        <is>
          <t>PARKWAY</t>
        </is>
      </c>
      <c r="AO25" s="36" t="n"/>
      <c r="AP25" s="33">
        <f>AO25*10%</f>
        <v/>
      </c>
      <c r="AQ25" s="48" t="n"/>
      <c r="AR25" s="46" t="n"/>
      <c r="AS25" s="35" t="inlineStr">
        <is>
          <t>PARKWAY</t>
        </is>
      </c>
      <c r="AT25" s="36" t="n"/>
      <c r="AU25" s="33">
        <f>AT25*10%</f>
        <v/>
      </c>
      <c r="AV25" s="48" t="n"/>
      <c r="AW25" s="46" t="n"/>
      <c r="AX25" s="35" t="inlineStr">
        <is>
          <t>PARKWAY</t>
        </is>
      </c>
      <c r="AY25" s="36" t="n"/>
      <c r="AZ25" s="33">
        <f>AY25*10%</f>
        <v/>
      </c>
      <c r="BA25" s="48" t="n"/>
    </row>
    <row r="26" ht="27.75" customHeight="1" s="220">
      <c r="A26" s="31" t="inlineStr">
        <is>
          <t>PAYNOW</t>
        </is>
      </c>
      <c r="B26" s="174" t="n"/>
      <c r="C26" s="33" t="n"/>
      <c r="D26" s="34" t="n"/>
      <c r="E26" s="35" t="inlineStr">
        <is>
          <t>PAYNOW</t>
        </is>
      </c>
      <c r="F26" s="36" t="n"/>
      <c r="G26" s="33" t="n"/>
      <c r="H26" s="34" t="n"/>
      <c r="I26" s="35" t="inlineStr">
        <is>
          <t>PAYNOW</t>
        </is>
      </c>
      <c r="J26" s="174" t="n"/>
      <c r="K26" s="33" t="n"/>
      <c r="L26" s="34" t="n"/>
      <c r="M26" s="41" t="inlineStr">
        <is>
          <t>PAYNOW</t>
        </is>
      </c>
      <c r="N26" s="173" t="n"/>
      <c r="O26" s="33" t="n"/>
      <c r="P26" s="46" t="n"/>
      <c r="Q26" s="31" t="n"/>
      <c r="R26" s="39" t="n"/>
      <c r="S26" s="40" t="n"/>
      <c r="T26" s="46" t="n"/>
      <c r="U26" s="35" t="inlineStr">
        <is>
          <t>PAYNOW</t>
        </is>
      </c>
      <c r="V26" s="174" t="n"/>
      <c r="W26" s="33" t="n"/>
      <c r="X26" s="48" t="n"/>
      <c r="Y26" s="35" t="inlineStr">
        <is>
          <t>PAYNOW</t>
        </is>
      </c>
      <c r="Z26" s="174" t="n"/>
      <c r="AA26" s="33" t="n"/>
      <c r="AB26" s="46" t="n"/>
      <c r="AC26" s="46" t="n"/>
      <c r="AD26" s="35" t="inlineStr">
        <is>
          <t>PAYNOW</t>
        </is>
      </c>
      <c r="AE26" s="174" t="n"/>
      <c r="AF26" s="33" t="n"/>
      <c r="AG26" s="48" t="n"/>
      <c r="AH26" s="46" t="n"/>
      <c r="AI26" s="60" t="n"/>
      <c r="AJ26" s="39" t="n"/>
      <c r="AK26" s="40" t="n"/>
      <c r="AL26" s="46" t="n"/>
      <c r="AM26" s="46" t="n"/>
      <c r="AN26" s="35" t="inlineStr">
        <is>
          <t>PAYNOW</t>
        </is>
      </c>
      <c r="AO26" s="174" t="n"/>
      <c r="AP26" s="33" t="n"/>
      <c r="AQ26" s="48" t="n"/>
      <c r="AR26" s="46" t="n"/>
      <c r="AS26" s="35" t="inlineStr">
        <is>
          <t>PAYNOW</t>
        </is>
      </c>
      <c r="AT26" s="36" t="n"/>
      <c r="AU26" s="33" t="n"/>
      <c r="AV26" s="48" t="n"/>
      <c r="AW26" s="46" t="n"/>
      <c r="AX26" s="35" t="inlineStr">
        <is>
          <t>PAYNOW</t>
        </is>
      </c>
      <c r="AY26" s="36" t="n"/>
      <c r="AZ26" s="33" t="n"/>
      <c r="BA26" s="48" t="n"/>
    </row>
    <row r="27" ht="27.75" customHeight="1" s="220">
      <c r="A27" s="63" t="inlineStr">
        <is>
          <t>RHI</t>
        </is>
      </c>
      <c r="B27" s="173" t="n"/>
      <c r="C27" s="65" t="n"/>
      <c r="D27" s="34" t="n"/>
      <c r="E27" s="35" t="inlineStr">
        <is>
          <t>RHI</t>
        </is>
      </c>
      <c r="F27" s="36" t="n"/>
      <c r="G27" s="33" t="n"/>
      <c r="H27" s="34" t="n"/>
      <c r="I27" s="35" t="inlineStr">
        <is>
          <t>RHI</t>
        </is>
      </c>
      <c r="J27" s="36" t="n"/>
      <c r="K27" s="33" t="n"/>
      <c r="L27" s="34" t="n"/>
      <c r="M27" s="41" t="inlineStr">
        <is>
          <t>RHI</t>
        </is>
      </c>
      <c r="N27" s="173" t="n"/>
      <c r="O27" s="33" t="n"/>
      <c r="P27" s="46" t="n"/>
      <c r="Q27" s="31" t="n"/>
      <c r="R27" s="39" t="n"/>
      <c r="S27" s="40" t="n"/>
      <c r="T27" s="46" t="n"/>
      <c r="U27" s="35" t="inlineStr">
        <is>
          <t>RHI</t>
        </is>
      </c>
      <c r="V27" s="51" t="n"/>
      <c r="W27" s="33" t="n"/>
      <c r="X27" s="48" t="n"/>
      <c r="Y27" s="35" t="inlineStr">
        <is>
          <t>RHI</t>
        </is>
      </c>
      <c r="Z27" s="36" t="n"/>
      <c r="AA27" s="33" t="n"/>
      <c r="AB27" s="46" t="n"/>
      <c r="AC27" s="46" t="n"/>
      <c r="AD27" s="35" t="inlineStr">
        <is>
          <t>RHI</t>
        </is>
      </c>
      <c r="AE27" s="36" t="n"/>
      <c r="AF27" s="33" t="n"/>
      <c r="AG27" s="48" t="n"/>
      <c r="AH27" s="46" t="n"/>
      <c r="AI27" s="60" t="n"/>
      <c r="AJ27" s="39" t="n"/>
      <c r="AK27" s="40" t="n"/>
      <c r="AL27" s="46" t="n"/>
      <c r="AM27" s="46" t="n"/>
      <c r="AN27" s="35" t="inlineStr">
        <is>
          <t>RHI</t>
        </is>
      </c>
      <c r="AO27" s="36" t="n"/>
      <c r="AP27" s="33" t="n"/>
      <c r="AQ27" s="48" t="n"/>
      <c r="AR27" s="46" t="n"/>
      <c r="AS27" s="35" t="inlineStr">
        <is>
          <t>RHI</t>
        </is>
      </c>
      <c r="AT27" s="36" t="n"/>
      <c r="AU27" s="33" t="n"/>
      <c r="AV27" s="48" t="n"/>
      <c r="AW27" s="46" t="n"/>
      <c r="AX27" s="35" t="inlineStr">
        <is>
          <t>RHI</t>
        </is>
      </c>
      <c r="AY27" s="36" t="n"/>
      <c r="AZ27" s="33" t="n"/>
      <c r="BA27" s="48" t="n"/>
    </row>
    <row r="28" ht="27.75" customHeight="1" s="220">
      <c r="A28" s="35" t="inlineStr">
        <is>
          <t>SAH</t>
        </is>
      </c>
      <c r="B28" s="36" t="n"/>
      <c r="C28" s="61">
        <f>B28*8%</f>
        <v/>
      </c>
      <c r="D28" s="34" t="n"/>
      <c r="E28" s="35" t="inlineStr">
        <is>
          <t>SAH</t>
        </is>
      </c>
      <c r="F28" s="36" t="n"/>
      <c r="G28" s="61">
        <f>F28*8%</f>
        <v/>
      </c>
      <c r="H28" s="34" t="n"/>
      <c r="I28" s="35" t="inlineStr">
        <is>
          <t>SAH</t>
        </is>
      </c>
      <c r="J28" s="36" t="n"/>
      <c r="K28" s="61">
        <f>J28*8%</f>
        <v/>
      </c>
      <c r="L28" s="34" t="n"/>
      <c r="M28" s="35" t="inlineStr">
        <is>
          <t>SAH</t>
        </is>
      </c>
      <c r="N28" s="36" t="n"/>
      <c r="O28" s="61">
        <f>N28*8%</f>
        <v/>
      </c>
      <c r="P28" s="46" t="n"/>
      <c r="Q28" s="31" t="n"/>
      <c r="R28" s="39" t="n"/>
      <c r="S28" s="40" t="n"/>
      <c r="T28" s="46" t="n"/>
      <c r="U28" s="35" t="inlineStr">
        <is>
          <t>SAH</t>
        </is>
      </c>
      <c r="V28" s="36" t="n"/>
      <c r="W28" s="61">
        <f>V28*8%</f>
        <v/>
      </c>
      <c r="X28" s="48" t="n"/>
      <c r="Y28" s="35" t="inlineStr">
        <is>
          <t>SAH</t>
        </is>
      </c>
      <c r="Z28" s="36" t="n"/>
      <c r="AA28" s="61">
        <f>Z28*8%</f>
        <v/>
      </c>
      <c r="AB28" s="46" t="n"/>
      <c r="AC28" s="46" t="n"/>
      <c r="AD28" s="35" t="inlineStr">
        <is>
          <t>SAH</t>
        </is>
      </c>
      <c r="AE28" s="36" t="n"/>
      <c r="AF28" s="61">
        <f>AE28*8%</f>
        <v/>
      </c>
      <c r="AG28" s="48" t="n"/>
      <c r="AH28" s="46" t="n"/>
      <c r="AI28" s="60" t="n"/>
      <c r="AJ28" s="39" t="n"/>
      <c r="AK28" s="40" t="n"/>
      <c r="AL28" s="46" t="n"/>
      <c r="AM28" s="46" t="n"/>
      <c r="AN28" s="35" t="inlineStr">
        <is>
          <t>SAH</t>
        </is>
      </c>
      <c r="AO28" s="36" t="n"/>
      <c r="AP28" s="61">
        <f>AO28*8%</f>
        <v/>
      </c>
      <c r="AQ28" s="48" t="n"/>
      <c r="AR28" s="46" t="n"/>
      <c r="AS28" s="35" t="inlineStr">
        <is>
          <t>SAH</t>
        </is>
      </c>
      <c r="AT28" s="36" t="n"/>
      <c r="AU28" s="61">
        <f>AT28*8%</f>
        <v/>
      </c>
      <c r="AV28" s="48" t="n"/>
      <c r="AW28" s="46" t="n"/>
      <c r="AX28" s="35" t="inlineStr">
        <is>
          <t>SAH</t>
        </is>
      </c>
      <c r="AY28" s="36" t="n"/>
      <c r="AZ28" s="61">
        <f>AY28*8%</f>
        <v/>
      </c>
      <c r="BA28" s="48" t="n"/>
    </row>
    <row r="29" ht="27.75" customHeight="1" s="220">
      <c r="A29" s="52" t="inlineStr">
        <is>
          <t>UNION PAY</t>
        </is>
      </c>
      <c r="B29" s="174" t="n"/>
      <c r="C29" s="54">
        <f>B29*2.5%</f>
        <v/>
      </c>
      <c r="D29" s="34" t="n"/>
      <c r="E29" s="35" t="inlineStr">
        <is>
          <t>UNION PAY</t>
        </is>
      </c>
      <c r="F29" s="36" t="n"/>
      <c r="G29" s="33">
        <f>F29*2.5%</f>
        <v/>
      </c>
      <c r="H29" s="34" t="n"/>
      <c r="I29" s="35" t="inlineStr">
        <is>
          <t>UNION PAY</t>
        </is>
      </c>
      <c r="J29" s="36" t="n"/>
      <c r="K29" s="33">
        <f>J29*2.5%</f>
        <v/>
      </c>
      <c r="L29" s="34" t="n"/>
      <c r="M29" s="35" t="inlineStr">
        <is>
          <t>UNION PAY</t>
        </is>
      </c>
      <c r="N29" s="174" t="n"/>
      <c r="O29" s="33">
        <f>N29*2.5%</f>
        <v/>
      </c>
      <c r="P29" s="46" t="n"/>
      <c r="Q29" s="31" t="n"/>
      <c r="R29" s="39" t="n"/>
      <c r="S29" s="40" t="n"/>
      <c r="T29" s="46" t="n"/>
      <c r="U29" s="35" t="inlineStr">
        <is>
          <t>UNION PAY</t>
        </is>
      </c>
      <c r="V29" s="36" t="n"/>
      <c r="W29" s="33">
        <f>V29*2.5%</f>
        <v/>
      </c>
      <c r="X29" s="48" t="n"/>
      <c r="Y29" s="35" t="inlineStr">
        <is>
          <t>UNION PAY</t>
        </is>
      </c>
      <c r="Z29" s="36" t="n"/>
      <c r="AA29" s="33">
        <f>Z29*2.5%</f>
        <v/>
      </c>
      <c r="AB29" s="46" t="n"/>
      <c r="AC29" s="46" t="n"/>
      <c r="AD29" s="35" t="inlineStr">
        <is>
          <t>UNION PAY</t>
        </is>
      </c>
      <c r="AE29" s="36" t="n"/>
      <c r="AF29" s="33">
        <f>AE29*2.5%</f>
        <v/>
      </c>
      <c r="AG29" s="48" t="n"/>
      <c r="AH29" s="46" t="n"/>
      <c r="AI29" s="60" t="n"/>
      <c r="AJ29" s="39" t="n"/>
      <c r="AK29" s="40" t="n"/>
      <c r="AL29" s="46" t="n"/>
      <c r="AM29" s="46" t="n"/>
      <c r="AN29" s="35" t="inlineStr">
        <is>
          <t>UNION PAY</t>
        </is>
      </c>
      <c r="AO29" s="36" t="n"/>
      <c r="AP29" s="33">
        <f>AO29*2.5%</f>
        <v/>
      </c>
      <c r="AQ29" s="48" t="n"/>
      <c r="AR29" s="46" t="n"/>
      <c r="AS29" s="35" t="inlineStr">
        <is>
          <t>UNION PAY</t>
        </is>
      </c>
      <c r="AT29" s="36" t="n"/>
      <c r="AU29" s="33">
        <f>AT29*2.5%</f>
        <v/>
      </c>
      <c r="AV29" s="48" t="n"/>
      <c r="AW29" s="46" t="n"/>
      <c r="AX29" s="35" t="inlineStr">
        <is>
          <t>UNION PAY</t>
        </is>
      </c>
      <c r="AY29" s="36" t="n"/>
      <c r="AZ29" s="33">
        <f>AY29*2.5%</f>
        <v/>
      </c>
      <c r="BA29" s="48" t="n"/>
    </row>
    <row r="30" ht="28.5" customHeight="1" s="220">
      <c r="A30" s="66" t="inlineStr">
        <is>
          <t>VISA</t>
        </is>
      </c>
      <c r="B30" s="206" t="n"/>
      <c r="C30" s="68">
        <f>B30*0.0225</f>
        <v/>
      </c>
      <c r="D30" s="34" t="n"/>
      <c r="E30" s="69" t="inlineStr">
        <is>
          <t>VISA</t>
        </is>
      </c>
      <c r="F30" s="70" t="n"/>
      <c r="G30" s="68">
        <f>F30*0.021</f>
        <v/>
      </c>
      <c r="H30" s="34" t="n"/>
      <c r="I30" s="69" t="inlineStr">
        <is>
          <t>VISA</t>
        </is>
      </c>
      <c r="J30" s="70" t="n"/>
      <c r="K30" s="68">
        <f>J30*0.0225</f>
        <v/>
      </c>
      <c r="L30" s="34" t="n"/>
      <c r="M30" s="69" t="inlineStr">
        <is>
          <t>VISA</t>
        </is>
      </c>
      <c r="N30" s="70" t="n"/>
      <c r="O30" s="68">
        <f>N30*0.0225</f>
        <v/>
      </c>
      <c r="P30" s="46" t="n"/>
      <c r="Q30" s="31" t="n"/>
      <c r="R30" s="39" t="n"/>
      <c r="S30" s="40" t="n"/>
      <c r="T30" s="46" t="n"/>
      <c r="U30" s="69" t="inlineStr">
        <is>
          <t>VISA</t>
        </is>
      </c>
      <c r="V30" s="70" t="n"/>
      <c r="W30" s="68">
        <f>V30*0.0225</f>
        <v/>
      </c>
      <c r="X30" s="48" t="n"/>
      <c r="Y30" s="69" t="inlineStr">
        <is>
          <t>VISA</t>
        </is>
      </c>
      <c r="Z30" s="70" t="n"/>
      <c r="AA30" s="68">
        <f>Z30*0.0225</f>
        <v/>
      </c>
      <c r="AB30" s="46" t="n"/>
      <c r="AC30" s="46" t="n"/>
      <c r="AD30" s="69" t="inlineStr">
        <is>
          <t>VISA</t>
        </is>
      </c>
      <c r="AE30" s="70" t="n"/>
      <c r="AF30" s="68">
        <f>AE30*0.0225</f>
        <v/>
      </c>
      <c r="AG30" s="48" t="n"/>
      <c r="AH30" s="46" t="n"/>
      <c r="AI30" s="60" t="n"/>
      <c r="AJ30" s="39" t="n"/>
      <c r="AK30" s="40" t="n"/>
      <c r="AL30" s="46" t="n"/>
      <c r="AM30" s="46" t="n"/>
      <c r="AN30" s="69" t="inlineStr">
        <is>
          <t>VISA</t>
        </is>
      </c>
      <c r="AO30" s="70" t="n"/>
      <c r="AP30" s="68">
        <f>AO30*0.0225</f>
        <v/>
      </c>
      <c r="AQ30" s="48" t="n"/>
      <c r="AR30" s="46" t="n"/>
      <c r="AS30" s="69" t="inlineStr">
        <is>
          <t>VISA</t>
        </is>
      </c>
      <c r="AT30" s="70" t="n"/>
      <c r="AU30" s="68">
        <f>AT30*0.0225</f>
        <v/>
      </c>
      <c r="AV30" s="48" t="n"/>
      <c r="AW30" s="46" t="n"/>
      <c r="AX30" s="69" t="inlineStr">
        <is>
          <t>VISA</t>
        </is>
      </c>
      <c r="AY30" s="70" t="n"/>
      <c r="AZ30" s="68">
        <f>AY30*0.021</f>
        <v/>
      </c>
      <c r="BA30" s="48" t="n"/>
    </row>
    <row r="31" ht="32.25" customHeight="1" s="220">
      <c r="A31" s="72" t="inlineStr">
        <is>
          <t>TOTAL INCOME</t>
        </is>
      </c>
      <c r="B31" s="188">
        <f>SUM(B7:B30)</f>
        <v/>
      </c>
      <c r="C31" s="74">
        <f>SUM(C7:C30)</f>
        <v/>
      </c>
      <c r="D31" s="34" t="n"/>
      <c r="E31" s="75" t="inlineStr">
        <is>
          <t>DR TOTAL INCOME</t>
        </is>
      </c>
      <c r="F31" s="75">
        <f>SUM(F7:F30)</f>
        <v/>
      </c>
      <c r="G31" s="76">
        <f>SUM(G7:G30)</f>
        <v/>
      </c>
      <c r="H31" s="34" t="n"/>
      <c r="I31" s="77" t="inlineStr">
        <is>
          <t>DR TOTAL INCOME</t>
        </is>
      </c>
      <c r="J31" s="189">
        <f>SUM(J7:J30)</f>
        <v/>
      </c>
      <c r="K31" s="79">
        <f>SUM(K7:K30)</f>
        <v/>
      </c>
      <c r="L31" s="34" t="n"/>
      <c r="M31" s="77" t="inlineStr">
        <is>
          <t>DR TOTAL INCOME</t>
        </is>
      </c>
      <c r="N31" s="189">
        <f>SUM(N7:N30)</f>
        <v/>
      </c>
      <c r="O31" s="80">
        <f>SUM(O7:O30)</f>
        <v/>
      </c>
      <c r="P31" s="46" t="n"/>
      <c r="Q31" s="31" t="n"/>
      <c r="R31" s="39" t="n"/>
      <c r="S31" s="40" t="n"/>
      <c r="T31" s="46" t="n"/>
      <c r="U31" s="75" t="inlineStr">
        <is>
          <t>DR TOTAL INCOME</t>
        </is>
      </c>
      <c r="V31" s="190">
        <f>SUM(V7:V30)</f>
        <v/>
      </c>
      <c r="W31" s="82">
        <f>SUM(W7:W30)</f>
        <v/>
      </c>
      <c r="X31" s="49" t="n"/>
      <c r="Y31" s="77" t="inlineStr">
        <is>
          <t>DR TOTAL INCOME</t>
        </is>
      </c>
      <c r="Z31" s="191">
        <f>SUM(Z7:Z30)</f>
        <v/>
      </c>
      <c r="AA31" s="79">
        <f>SUM(AA7:AA30)</f>
        <v/>
      </c>
      <c r="AB31" s="46" t="n"/>
      <c r="AC31" s="46" t="n"/>
      <c r="AD31" s="84" t="inlineStr">
        <is>
          <t>DR TOTAL INCOME</t>
        </is>
      </c>
      <c r="AE31" s="192">
        <f>SUM(AE7:AE30)</f>
        <v/>
      </c>
      <c r="AF31" s="82">
        <f>SUM(AF7:AF30)</f>
        <v/>
      </c>
      <c r="AG31" s="48" t="n"/>
      <c r="AH31" s="46" t="n"/>
      <c r="AI31" s="60" t="n"/>
      <c r="AJ31" s="39" t="n"/>
      <c r="AK31" s="40" t="n"/>
      <c r="AL31" s="46" t="n"/>
      <c r="AM31" s="46" t="n"/>
      <c r="AN31" s="84" t="inlineStr">
        <is>
          <t>DR TOTAL INCOME</t>
        </is>
      </c>
      <c r="AO31" s="192">
        <f>SUM(AO7:AO30)</f>
        <v/>
      </c>
      <c r="AP31" s="82">
        <f>SUM(AP7:AP30)</f>
        <v/>
      </c>
      <c r="AQ31" s="48" t="n"/>
      <c r="AR31" s="46" t="n"/>
      <c r="AS31" s="84" t="inlineStr">
        <is>
          <t>DR TOTAL INCOME</t>
        </is>
      </c>
      <c r="AT31" s="192">
        <f>SUM(AT7:AT30)</f>
        <v/>
      </c>
      <c r="AU31" s="82">
        <f>SUM(AU7:AU30)</f>
        <v/>
      </c>
      <c r="AV31" s="48" t="n"/>
      <c r="AW31" s="46" t="n"/>
      <c r="AX31" s="84" t="inlineStr">
        <is>
          <t>DR TOTAL INCOME</t>
        </is>
      </c>
      <c r="AY31" s="192">
        <f>SUM(AY7:AY30)</f>
        <v/>
      </c>
      <c r="AZ31" s="82">
        <f>SUM(AZ7:AZ30)</f>
        <v/>
      </c>
      <c r="BA31" s="48" t="n"/>
    </row>
    <row r="32" ht="29.25" customHeight="1" s="220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31" t="n"/>
      <c r="R32" s="39" t="n"/>
      <c r="S32" s="40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8" t="n"/>
      <c r="AH32" s="46" t="n"/>
      <c r="AI32" s="60" t="n"/>
      <c r="AJ32" s="39" t="n"/>
      <c r="AK32" s="40" t="n"/>
      <c r="AL32" s="46" t="n"/>
      <c r="AM32" s="46" t="n"/>
      <c r="AN32" s="46" t="n"/>
      <c r="AO32" s="46" t="n"/>
      <c r="AP32" s="46" t="n"/>
      <c r="AQ32" s="48" t="n"/>
      <c r="AR32" s="46" t="n"/>
      <c r="AS32" s="46" t="n"/>
      <c r="AT32" s="46" t="n"/>
      <c r="AU32" s="46" t="n"/>
      <c r="AV32" s="48" t="n"/>
      <c r="AW32" s="46" t="n"/>
      <c r="AX32" s="46" t="n"/>
      <c r="AY32" s="46" t="n"/>
      <c r="AZ32" s="46" t="n"/>
      <c r="BA32" s="48" t="n"/>
    </row>
    <row r="33" ht="23.25" customHeight="1" s="220">
      <c r="A33" s="86" t="n"/>
      <c r="B33" s="230" t="inlineStr">
        <is>
          <t>EXPENSES</t>
        </is>
      </c>
      <c r="C33" s="231" t="n"/>
      <c r="D33" s="86" t="n"/>
      <c r="E33" s="86" t="n"/>
      <c r="F33" s="232" t="inlineStr">
        <is>
          <t>DEDUCTIONS</t>
        </is>
      </c>
      <c r="G33" s="222" t="n"/>
      <c r="H33" s="90" t="inlineStr">
        <is>
          <t>REMARKS</t>
        </is>
      </c>
      <c r="I33" s="86" t="n"/>
      <c r="J33" s="230" t="inlineStr">
        <is>
          <t>DEDUCTIONS</t>
        </is>
      </c>
      <c r="K33" s="231" t="n"/>
      <c r="L33" s="90" t="inlineStr">
        <is>
          <t>REMARKS</t>
        </is>
      </c>
      <c r="M33" s="86" t="n"/>
      <c r="N33" s="230" t="inlineStr">
        <is>
          <t>DEDUCTIONS</t>
        </is>
      </c>
      <c r="O33" s="231" t="n"/>
      <c r="P33" s="90" t="inlineStr">
        <is>
          <t>REMARKS</t>
        </is>
      </c>
      <c r="Q33" s="86" t="n"/>
      <c r="R33" s="232" t="inlineStr">
        <is>
          <t>DEDUCTIONS</t>
        </is>
      </c>
      <c r="S33" s="222" t="n"/>
      <c r="T33" s="90" t="inlineStr">
        <is>
          <t>REMARKS</t>
        </is>
      </c>
      <c r="U33" s="86" t="n"/>
      <c r="V33" s="230" t="inlineStr">
        <is>
          <t>DEDUCTIONS</t>
        </is>
      </c>
      <c r="W33" s="231" t="n"/>
      <c r="X33" s="90" t="inlineStr">
        <is>
          <t>REMARKS</t>
        </is>
      </c>
      <c r="Y33" s="86" t="n"/>
      <c r="Z33" s="230" t="inlineStr">
        <is>
          <t>DEDUCTIONS</t>
        </is>
      </c>
      <c r="AA33" s="231" t="n"/>
      <c r="AB33" s="90" t="inlineStr">
        <is>
          <t>REMARKS</t>
        </is>
      </c>
      <c r="AC33" s="86" t="n"/>
      <c r="AD33" s="86" t="n"/>
      <c r="AE33" s="230" t="inlineStr">
        <is>
          <t>DEDUCTIONS</t>
        </is>
      </c>
      <c r="AF33" s="231" t="n"/>
      <c r="AG33" s="90" t="inlineStr">
        <is>
          <t>REMARKS</t>
        </is>
      </c>
      <c r="AH33" s="86" t="n"/>
      <c r="AI33" s="86" t="n"/>
      <c r="AJ33" s="232" t="inlineStr">
        <is>
          <t>DEDUCTIONS</t>
        </is>
      </c>
      <c r="AK33" s="222" t="n"/>
      <c r="AL33" s="90" t="inlineStr">
        <is>
          <t>REMARKS</t>
        </is>
      </c>
      <c r="AM33" s="86" t="n"/>
      <c r="AN33" s="86" t="n"/>
      <c r="AO33" s="230" t="inlineStr">
        <is>
          <t>DEDUCTIONS</t>
        </is>
      </c>
      <c r="AP33" s="231" t="n"/>
      <c r="AQ33" s="90" t="inlineStr">
        <is>
          <t>REMARKS</t>
        </is>
      </c>
      <c r="AR33" s="86" t="n"/>
      <c r="AS33" s="86" t="n"/>
      <c r="AT33" s="230" t="inlineStr">
        <is>
          <t>DEDUCTIONS</t>
        </is>
      </c>
      <c r="AU33" s="231" t="n"/>
      <c r="AV33" s="90" t="inlineStr">
        <is>
          <t>REMARKS</t>
        </is>
      </c>
      <c r="AW33" s="86" t="n"/>
      <c r="AX33" s="86" t="n"/>
      <c r="AY33" s="230" t="inlineStr">
        <is>
          <t>DEDUCTIONS</t>
        </is>
      </c>
      <c r="AZ33" s="231" t="n"/>
      <c r="BA33" s="90" t="inlineStr">
        <is>
          <t>REMARKS</t>
        </is>
      </c>
    </row>
    <row r="34" ht="30.75" customHeight="1" s="220">
      <c r="A34" s="1" t="n"/>
      <c r="B34" s="96" t="inlineStr">
        <is>
          <t>ADMIN FEE</t>
        </is>
      </c>
      <c r="C34" s="97">
        <f>SUM(C7:C30)</f>
        <v/>
      </c>
      <c r="D34" s="1" t="n"/>
      <c r="E34" s="1" t="n"/>
      <c r="F34" s="31" t="inlineStr">
        <is>
          <t>ADMIN CHARGES</t>
        </is>
      </c>
      <c r="G34" s="93">
        <f>G31</f>
        <v/>
      </c>
      <c r="H34" s="90" t="n"/>
      <c r="I34" s="1" t="n"/>
      <c r="J34" s="35" t="inlineStr">
        <is>
          <t>ADMIN CHARGES</t>
        </is>
      </c>
      <c r="K34" s="94">
        <f>K31</f>
        <v/>
      </c>
      <c r="L34" s="90" t="n"/>
      <c r="M34" s="1" t="n"/>
      <c r="N34" s="35" t="inlineStr">
        <is>
          <t>ADMIN CHARGES</t>
        </is>
      </c>
      <c r="O34" s="94">
        <f>O31</f>
        <v/>
      </c>
      <c r="P34" s="90" t="n"/>
      <c r="Q34" s="1" t="n"/>
      <c r="R34" s="31" t="inlineStr">
        <is>
          <t>ADMIN CHARGES</t>
        </is>
      </c>
      <c r="S34" s="93">
        <f>#REF!</f>
        <v/>
      </c>
      <c r="T34" s="90" t="n"/>
      <c r="U34" s="1" t="n"/>
      <c r="V34" s="35" t="inlineStr">
        <is>
          <t>ADMIN CHARGES</t>
        </is>
      </c>
      <c r="W34" s="94">
        <f>W31</f>
        <v/>
      </c>
      <c r="X34" s="90" t="n"/>
      <c r="Y34" s="1" t="n"/>
      <c r="Z34" s="35" t="inlineStr">
        <is>
          <t>ADMIN CHARGES</t>
        </is>
      </c>
      <c r="AA34" s="94">
        <f>AA31</f>
        <v/>
      </c>
      <c r="AB34" s="90" t="n"/>
      <c r="AC34" s="1" t="n"/>
      <c r="AD34" s="1" t="n"/>
      <c r="AE34" s="35" t="inlineStr">
        <is>
          <t>ADMIN CHARGES</t>
        </is>
      </c>
      <c r="AF34" s="94">
        <f>AF31</f>
        <v/>
      </c>
      <c r="AG34" s="90" t="n"/>
      <c r="AH34" s="1" t="n"/>
      <c r="AI34" s="1" t="n"/>
      <c r="AJ34" s="31" t="inlineStr">
        <is>
          <t>ADMIN CHARGES</t>
        </is>
      </c>
      <c r="AK34" s="93">
        <f>#REF!</f>
        <v/>
      </c>
      <c r="AL34" s="90" t="n"/>
      <c r="AM34" s="1" t="n"/>
      <c r="AN34" s="1" t="n"/>
      <c r="AO34" s="35" t="inlineStr">
        <is>
          <t>ADMIN CHARGES</t>
        </is>
      </c>
      <c r="AP34" s="94">
        <f>AP31</f>
        <v/>
      </c>
      <c r="AQ34" s="90" t="n"/>
      <c r="AR34" s="1" t="n"/>
      <c r="AS34" s="1" t="n"/>
      <c r="AT34" s="35" t="inlineStr">
        <is>
          <t>ADMIN CHARGES</t>
        </is>
      </c>
      <c r="AU34" s="94">
        <f>AU31</f>
        <v/>
      </c>
      <c r="AV34" s="90" t="n"/>
      <c r="AW34" s="1" t="n"/>
      <c r="AX34" s="1" t="n"/>
      <c r="AY34" s="35" t="inlineStr">
        <is>
          <t>ADMIN CHARGES</t>
        </is>
      </c>
      <c r="AZ34" s="94">
        <f>AZ31</f>
        <v/>
      </c>
      <c r="BA34" s="90" t="n"/>
    </row>
    <row r="35" ht="30.75" customHeight="1" s="220">
      <c r="A35" s="1" t="n"/>
      <c r="B35" s="96" t="inlineStr">
        <is>
          <t>GST</t>
        </is>
      </c>
      <c r="C35" s="179">
        <f>K35+O35+AA35+AF35+AM35+AP35+T35+W35+AU35+AZ35</f>
        <v/>
      </c>
      <c r="D35" s="1" t="n"/>
      <c r="E35" s="1" t="n"/>
      <c r="F35" s="31" t="inlineStr">
        <is>
          <t>GST</t>
        </is>
      </c>
      <c r="G35" s="100" t="n"/>
      <c r="H35" s="90" t="n"/>
      <c r="I35" s="1" t="n"/>
      <c r="J35" s="35" t="inlineStr">
        <is>
          <t>GST</t>
        </is>
      </c>
      <c r="K35" s="51" t="n"/>
      <c r="L35" s="90" t="n"/>
      <c r="M35" s="1" t="n"/>
      <c r="N35" s="35" t="inlineStr">
        <is>
          <t>GST</t>
        </is>
      </c>
      <c r="O35" s="51" t="n"/>
      <c r="P35" s="90" t="n"/>
      <c r="Q35" s="1" t="n"/>
      <c r="R35" s="31" t="inlineStr">
        <is>
          <t>GST</t>
        </is>
      </c>
      <c r="S35" s="100" t="n"/>
      <c r="T35" s="90" t="n"/>
      <c r="U35" s="1" t="n"/>
      <c r="V35" s="35" t="inlineStr">
        <is>
          <t>GST</t>
        </is>
      </c>
      <c r="W35" s="51" t="n"/>
      <c r="X35" s="90" t="n"/>
      <c r="Y35" s="1" t="n"/>
      <c r="Z35" s="35" t="inlineStr">
        <is>
          <t>GST</t>
        </is>
      </c>
      <c r="AA35" s="51" t="n"/>
      <c r="AB35" s="90" t="n"/>
      <c r="AC35" s="1" t="n"/>
      <c r="AD35" s="1" t="n"/>
      <c r="AE35" s="35" t="inlineStr">
        <is>
          <t>GST</t>
        </is>
      </c>
      <c r="AF35" s="51" t="n"/>
      <c r="AG35" s="90" t="n"/>
      <c r="AH35" s="1" t="n"/>
      <c r="AI35" s="1" t="n"/>
      <c r="AJ35" s="31" t="inlineStr">
        <is>
          <t>GST</t>
        </is>
      </c>
      <c r="AK35" s="100" t="n"/>
      <c r="AL35" s="90" t="n"/>
      <c r="AM35" s="1" t="n"/>
      <c r="AN35" s="1" t="n"/>
      <c r="AO35" s="35" t="inlineStr">
        <is>
          <t>GST</t>
        </is>
      </c>
      <c r="AP35" s="51" t="n"/>
      <c r="AQ35" s="90" t="n"/>
      <c r="AR35" s="1" t="n"/>
      <c r="AS35" s="1" t="n"/>
      <c r="AT35" s="35" t="inlineStr">
        <is>
          <t>GST</t>
        </is>
      </c>
      <c r="AU35" s="51" t="n"/>
      <c r="AV35" s="90" t="n"/>
      <c r="AW35" s="1" t="n"/>
      <c r="AX35" s="1" t="n"/>
      <c r="AY35" s="35" t="inlineStr">
        <is>
          <t>GST</t>
        </is>
      </c>
      <c r="AZ35" s="51" t="n"/>
      <c r="BA35" s="90" t="n"/>
    </row>
    <row r="36" ht="30.75" customHeight="1" s="220">
      <c r="A36" s="1" t="n"/>
      <c r="B36" s="96" t="inlineStr">
        <is>
          <t>RENTAL</t>
        </is>
      </c>
      <c r="C36" s="97" t="n"/>
      <c r="D36" s="1" t="n"/>
      <c r="E36" s="1" t="n"/>
      <c r="F36" s="31" t="inlineStr">
        <is>
          <t>ICC-5</t>
        </is>
      </c>
      <c r="G36" s="100" t="n"/>
      <c r="H36" s="90" t="n"/>
      <c r="I36" s="1" t="n"/>
      <c r="J36" s="35" t="inlineStr">
        <is>
          <t>ICC-5</t>
        </is>
      </c>
      <c r="K36" s="51" t="n"/>
      <c r="L36" s="90" t="n"/>
      <c r="M36" s="1" t="n"/>
      <c r="N36" s="35" t="inlineStr">
        <is>
          <t>ICC-5</t>
        </is>
      </c>
      <c r="O36" s="51" t="n"/>
      <c r="P36" s="90" t="n"/>
      <c r="Q36" s="1" t="n"/>
      <c r="R36" s="31" t="n"/>
      <c r="S36" s="100" t="n"/>
      <c r="T36" s="90" t="n"/>
      <c r="U36" s="1" t="n"/>
      <c r="V36" s="35" t="inlineStr">
        <is>
          <t>ICC-5</t>
        </is>
      </c>
      <c r="W36" s="51" t="n"/>
      <c r="X36" s="90" t="n"/>
      <c r="Y36" s="1" t="n"/>
      <c r="Z36" s="35" t="inlineStr">
        <is>
          <t>ICC-5</t>
        </is>
      </c>
      <c r="AA36" s="51" t="n"/>
      <c r="AB36" s="90" t="n"/>
      <c r="AC36" s="1" t="n"/>
      <c r="AD36" s="1" t="n"/>
      <c r="AE36" s="35" t="inlineStr">
        <is>
          <t>ICC-5</t>
        </is>
      </c>
      <c r="AF36" s="51" t="n"/>
      <c r="AG36" s="90" t="n"/>
      <c r="AH36" s="1" t="n"/>
      <c r="AI36" s="1" t="n"/>
      <c r="AJ36" s="31" t="n"/>
      <c r="AK36" s="100" t="n"/>
      <c r="AL36" s="90" t="n"/>
      <c r="AM36" s="1" t="n"/>
      <c r="AN36" s="1" t="n"/>
      <c r="AO36" s="35" t="inlineStr">
        <is>
          <t>ICC-5</t>
        </is>
      </c>
      <c r="AP36" s="51" t="n"/>
      <c r="AQ36" s="90" t="n"/>
      <c r="AR36" s="1" t="n"/>
      <c r="AS36" s="1" t="n"/>
      <c r="AT36" s="35" t="inlineStr">
        <is>
          <t>ICC-5</t>
        </is>
      </c>
      <c r="AU36" s="51" t="n"/>
      <c r="AV36" s="90" t="n"/>
      <c r="AW36" s="1" t="n"/>
      <c r="AX36" s="1" t="n"/>
      <c r="AY36" s="35" t="inlineStr">
        <is>
          <t>ICC-5</t>
        </is>
      </c>
      <c r="AZ36" s="51" t="n"/>
      <c r="BA36" s="90" t="n"/>
    </row>
    <row r="37" ht="30.75" customHeight="1" s="220">
      <c r="A37" s="1" t="n"/>
      <c r="B37" s="96" t="inlineStr">
        <is>
          <t>LOAN INTEREST</t>
        </is>
      </c>
      <c r="C37" s="97" t="n"/>
      <c r="D37" s="1" t="n"/>
      <c r="E37" s="1" t="n"/>
      <c r="F37" s="31" t="inlineStr">
        <is>
          <t>PRODUCTS</t>
        </is>
      </c>
      <c r="G37" s="100" t="n"/>
      <c r="H37" s="90" t="n"/>
      <c r="I37" s="1" t="n"/>
      <c r="J37" s="35" t="inlineStr">
        <is>
          <t>PRODUCTS</t>
        </is>
      </c>
      <c r="K37" s="51" t="n"/>
      <c r="L37" s="90" t="n"/>
      <c r="M37" s="1" t="n"/>
      <c r="N37" s="35" t="inlineStr">
        <is>
          <t>PRODUCTS</t>
        </is>
      </c>
      <c r="O37" s="51" t="n"/>
      <c r="P37" s="90" t="n"/>
      <c r="Q37" s="1" t="n"/>
      <c r="R37" s="31" t="n"/>
      <c r="S37" s="100" t="n"/>
      <c r="T37" s="90" t="n"/>
      <c r="U37" s="1" t="n"/>
      <c r="V37" s="35" t="inlineStr">
        <is>
          <t>PRODUCTS</t>
        </is>
      </c>
      <c r="W37" s="51" t="n"/>
      <c r="X37" s="90" t="n"/>
      <c r="Y37" s="1" t="n"/>
      <c r="Z37" s="35" t="inlineStr">
        <is>
          <t>PRODUCTS</t>
        </is>
      </c>
      <c r="AA37" s="51" t="n"/>
      <c r="AB37" s="90" t="n"/>
      <c r="AC37" s="1" t="n"/>
      <c r="AD37" s="1" t="n"/>
      <c r="AE37" s="35" t="inlineStr">
        <is>
          <t>PRODUCTS</t>
        </is>
      </c>
      <c r="AF37" s="51" t="n"/>
      <c r="AG37" s="90" t="n"/>
      <c r="AH37" s="1" t="n"/>
      <c r="AI37" s="1" t="n"/>
      <c r="AJ37" s="31" t="n"/>
      <c r="AK37" s="100" t="n"/>
      <c r="AL37" s="90" t="n"/>
      <c r="AM37" s="1" t="n"/>
      <c r="AN37" s="1" t="n"/>
      <c r="AO37" s="35" t="inlineStr">
        <is>
          <t>PRODUCTS</t>
        </is>
      </c>
      <c r="AP37" s="51" t="n"/>
      <c r="AQ37" s="90" t="n"/>
      <c r="AR37" s="1" t="n"/>
      <c r="AS37" s="1" t="n"/>
      <c r="AT37" s="35" t="inlineStr">
        <is>
          <t>PRODUCTS</t>
        </is>
      </c>
      <c r="AU37" s="51" t="n"/>
      <c r="AV37" s="90" t="n"/>
      <c r="AW37" s="1" t="n"/>
      <c r="AX37" s="1" t="n"/>
      <c r="AY37" s="35" t="inlineStr">
        <is>
          <t>PRODUCTS</t>
        </is>
      </c>
      <c r="AZ37" s="51" t="n"/>
      <c r="BA37" s="90" t="n"/>
    </row>
    <row r="38" ht="30.75" customHeight="1" s="220">
      <c r="A38" s="1" t="n"/>
      <c r="B38" s="96" t="inlineStr">
        <is>
          <t xml:space="preserve">IRAS TAX </t>
        </is>
      </c>
      <c r="C38" s="97" t="n"/>
      <c r="D38" s="1" t="n"/>
      <c r="E38" s="1" t="n"/>
      <c r="F38" s="31" t="inlineStr">
        <is>
          <t>ORTHO (B+B)</t>
        </is>
      </c>
      <c r="G38" s="100" t="n"/>
      <c r="H38" s="90" t="n"/>
      <c r="I38" s="1" t="n"/>
      <c r="J38" s="35" t="inlineStr">
        <is>
          <t>ORTHO (B+B)</t>
        </is>
      </c>
      <c r="K38" s="51" t="n"/>
      <c r="L38" s="90" t="n"/>
      <c r="M38" s="1" t="n"/>
      <c r="N38" s="35" t="inlineStr">
        <is>
          <t>ORTHO (B+B)</t>
        </is>
      </c>
      <c r="O38" s="51" t="n"/>
      <c r="P38" s="90" t="n"/>
      <c r="Q38" s="1" t="n"/>
      <c r="R38" s="31" t="n"/>
      <c r="S38" s="100" t="n"/>
      <c r="T38" s="90" t="n"/>
      <c r="U38" s="1" t="n"/>
      <c r="V38" s="35" t="inlineStr">
        <is>
          <t>ORTHO (B+B)</t>
        </is>
      </c>
      <c r="W38" s="51" t="n"/>
      <c r="X38" s="90" t="n"/>
      <c r="Y38" s="1" t="n"/>
      <c r="Z38" s="35" t="inlineStr">
        <is>
          <t>ORTHO (B+B)</t>
        </is>
      </c>
      <c r="AA38" s="51" t="n"/>
      <c r="AB38" s="90" t="n"/>
      <c r="AC38" s="1" t="n"/>
      <c r="AD38" s="1" t="n"/>
      <c r="AE38" s="35" t="inlineStr">
        <is>
          <t>ORTHO (B+B)</t>
        </is>
      </c>
      <c r="AF38" s="51" t="n"/>
      <c r="AG38" s="90" t="n"/>
      <c r="AH38" s="1" t="n"/>
      <c r="AI38" s="1" t="n"/>
      <c r="AJ38" s="31" t="n"/>
      <c r="AK38" s="100" t="n"/>
      <c r="AL38" s="90" t="n"/>
      <c r="AM38" s="1" t="n"/>
      <c r="AN38" s="1" t="n"/>
      <c r="AO38" s="35" t="inlineStr">
        <is>
          <t>ORTHO (B+B)</t>
        </is>
      </c>
      <c r="AP38" s="51" t="n"/>
      <c r="AQ38" s="90" t="n"/>
      <c r="AR38" s="1" t="n"/>
      <c r="AS38" s="1" t="n"/>
      <c r="AT38" s="35" t="inlineStr">
        <is>
          <t>ORTHO (B+B)</t>
        </is>
      </c>
      <c r="AU38" s="51" t="n"/>
      <c r="AV38" s="90" t="n"/>
      <c r="AW38" s="1" t="n"/>
      <c r="AX38" s="1" t="n"/>
      <c r="AY38" s="35" t="inlineStr">
        <is>
          <t>ORTHO (B+B)</t>
        </is>
      </c>
      <c r="AZ38" s="51" t="n"/>
      <c r="BA38" s="90" t="n"/>
    </row>
    <row r="39" ht="30.75" customHeight="1" s="220">
      <c r="A39" s="1" t="n"/>
      <c r="B39" s="96" t="inlineStr">
        <is>
          <t>CK SECRETARIAL / ACCOUNTS SERVICES</t>
        </is>
      </c>
      <c r="C39" s="97" t="n"/>
      <c r="D39" s="1" t="n"/>
      <c r="E39" s="1" t="n"/>
      <c r="F39" s="31" t="inlineStr">
        <is>
          <t>ABUTMENTS</t>
        </is>
      </c>
      <c r="G39" s="100" t="n"/>
      <c r="H39" s="98" t="n"/>
      <c r="I39" s="1" t="n"/>
      <c r="J39" s="35" t="inlineStr">
        <is>
          <t>ABUTMENTS</t>
        </is>
      </c>
      <c r="K39" s="51" t="n"/>
      <c r="L39" s="90" t="n"/>
      <c r="M39" s="1" t="n"/>
      <c r="N39" s="35" t="inlineStr">
        <is>
          <t>ABUTMENTS</t>
        </is>
      </c>
      <c r="O39" s="51" t="n"/>
      <c r="P39" s="90" t="n"/>
      <c r="Q39" s="1" t="n"/>
      <c r="R39" s="31" t="n"/>
      <c r="S39" s="100" t="n"/>
      <c r="T39" s="90" t="n"/>
      <c r="U39" s="1" t="n"/>
      <c r="V39" s="35" t="inlineStr">
        <is>
          <t>ABUTMENTS</t>
        </is>
      </c>
      <c r="W39" s="51" t="n"/>
      <c r="X39" s="90" t="n"/>
      <c r="Y39" s="1" t="n"/>
      <c r="Z39" s="35" t="inlineStr">
        <is>
          <t>ABUTMENTS</t>
        </is>
      </c>
      <c r="AA39" s="51" t="n"/>
      <c r="AB39" s="90" t="n"/>
      <c r="AC39" s="1" t="n"/>
      <c r="AD39" s="1" t="n"/>
      <c r="AE39" s="35" t="inlineStr">
        <is>
          <t>ABUTMENTS</t>
        </is>
      </c>
      <c r="AF39" s="51" t="n"/>
      <c r="AG39" s="90" t="n"/>
      <c r="AH39" s="1" t="n"/>
      <c r="AI39" s="1" t="n"/>
      <c r="AJ39" s="31" t="n"/>
      <c r="AK39" s="100" t="n"/>
      <c r="AL39" s="90" t="n"/>
      <c r="AM39" s="1" t="n"/>
      <c r="AN39" s="1" t="n"/>
      <c r="AO39" s="35" t="inlineStr">
        <is>
          <t>ABUTMENTS</t>
        </is>
      </c>
      <c r="AP39" s="51" t="n"/>
      <c r="AQ39" s="90" t="n"/>
      <c r="AR39" s="1" t="n"/>
      <c r="AS39" s="1" t="n"/>
      <c r="AT39" s="35" t="inlineStr">
        <is>
          <t>ABUTMENTS</t>
        </is>
      </c>
      <c r="AU39" s="51" t="n"/>
      <c r="AV39" s="90" t="n"/>
      <c r="AW39" s="1" t="n"/>
      <c r="AX39" s="1" t="n"/>
      <c r="AY39" s="35" t="inlineStr">
        <is>
          <t>ABUTMENTS</t>
        </is>
      </c>
      <c r="AZ39" s="51" t="n"/>
      <c r="BA39" s="90" t="n"/>
    </row>
    <row r="40" ht="30.75" customHeight="1" s="220">
      <c r="A40" s="1" t="n"/>
      <c r="B40" s="96" t="inlineStr">
        <is>
          <t>TOWN COUNCIL</t>
        </is>
      </c>
      <c r="C40" s="97" t="n"/>
      <c r="D40" s="1" t="n"/>
      <c r="E40" s="1" t="n"/>
      <c r="F40" s="31" t="inlineStr">
        <is>
          <t>IMPLANT</t>
        </is>
      </c>
      <c r="G40" s="99" t="n"/>
      <c r="H40" s="90" t="n"/>
      <c r="I40" s="1" t="n"/>
      <c r="J40" s="35" t="inlineStr">
        <is>
          <t>IMPLANT</t>
        </is>
      </c>
      <c r="K40" s="51" t="n"/>
      <c r="L40" s="90" t="n"/>
      <c r="M40" s="1" t="n"/>
      <c r="N40" s="35" t="inlineStr">
        <is>
          <t>IMPLANT</t>
        </is>
      </c>
      <c r="O40" s="51" t="n"/>
      <c r="P40" s="90" t="n"/>
      <c r="Q40" s="1" t="n"/>
      <c r="R40" s="31" t="n"/>
      <c r="S40" s="100" t="n"/>
      <c r="T40" s="90" t="n"/>
      <c r="U40" s="1" t="n"/>
      <c r="V40" s="35" t="inlineStr">
        <is>
          <t>IMPLANT</t>
        </is>
      </c>
      <c r="W40" s="51" t="n"/>
      <c r="X40" s="90" t="n"/>
      <c r="Y40" s="1" t="n"/>
      <c r="Z40" s="35" t="inlineStr">
        <is>
          <t>IMPLANT</t>
        </is>
      </c>
      <c r="AA40" s="51" t="n"/>
      <c r="AB40" s="90" t="n"/>
      <c r="AC40" s="1" t="n"/>
      <c r="AD40" s="1" t="n"/>
      <c r="AE40" s="35" t="inlineStr">
        <is>
          <t>IMPLANT</t>
        </is>
      </c>
      <c r="AF40" s="51" t="n"/>
      <c r="AG40" s="90" t="n"/>
      <c r="AH40" s="1" t="n"/>
      <c r="AI40" s="1" t="n"/>
      <c r="AJ40" s="31" t="n"/>
      <c r="AK40" s="100" t="n"/>
      <c r="AL40" s="90" t="n"/>
      <c r="AM40" s="1" t="n"/>
      <c r="AN40" s="1" t="n"/>
      <c r="AO40" s="35" t="inlineStr">
        <is>
          <t>IMPLANT</t>
        </is>
      </c>
      <c r="AP40" s="51" t="n"/>
      <c r="AQ40" s="90" t="n"/>
      <c r="AR40" s="1" t="n"/>
      <c r="AS40" s="1" t="n"/>
      <c r="AT40" s="35" t="inlineStr">
        <is>
          <t>IMPLANT</t>
        </is>
      </c>
      <c r="AU40" s="51" t="n"/>
      <c r="AV40" s="90" t="n"/>
      <c r="AW40" s="1" t="n"/>
      <c r="AX40" s="1" t="n"/>
      <c r="AY40" s="35" t="inlineStr">
        <is>
          <t>IMPLANT</t>
        </is>
      </c>
      <c r="AZ40" s="51" t="n"/>
      <c r="BA40" s="90" t="n"/>
    </row>
    <row r="41" ht="30.75" customHeight="1" s="220">
      <c r="A41" s="1" t="n"/>
      <c r="B41" s="96" t="inlineStr">
        <is>
          <t>SERVICE &amp; CONSERVANCY CHARGES</t>
        </is>
      </c>
      <c r="C41" s="97" t="n"/>
      <c r="D41" s="1" t="n"/>
      <c r="E41" s="1" t="n"/>
      <c r="F41" s="31" t="inlineStr">
        <is>
          <t>SKY LAB</t>
        </is>
      </c>
      <c r="G41" s="100" t="n"/>
      <c r="H41" s="90" t="n"/>
      <c r="I41" s="1" t="n"/>
      <c r="J41" s="35" t="inlineStr">
        <is>
          <t>SKY LAB</t>
        </is>
      </c>
      <c r="K41" s="51" t="n"/>
      <c r="L41" s="90" t="n"/>
      <c r="M41" s="1" t="n"/>
      <c r="N41" s="35" t="inlineStr">
        <is>
          <t>SKY LAB</t>
        </is>
      </c>
      <c r="O41" s="51" t="n"/>
      <c r="P41" s="90" t="n"/>
      <c r="Q41" s="1" t="n"/>
      <c r="R41" s="31" t="n"/>
      <c r="S41" s="100" t="n"/>
      <c r="T41" s="90" t="n"/>
      <c r="U41" s="1" t="n"/>
      <c r="V41" s="35" t="inlineStr">
        <is>
          <t>SKY LAB</t>
        </is>
      </c>
      <c r="W41" s="51" t="n"/>
      <c r="X41" s="90" t="n"/>
      <c r="Y41" s="1" t="n"/>
      <c r="Z41" s="35" t="inlineStr">
        <is>
          <t>SKY LAB</t>
        </is>
      </c>
      <c r="AA41" s="51" t="n"/>
      <c r="AB41" s="90" t="n"/>
      <c r="AC41" s="1" t="n"/>
      <c r="AD41" s="1" t="n"/>
      <c r="AE41" s="35" t="inlineStr">
        <is>
          <t>SKY LAB</t>
        </is>
      </c>
      <c r="AF41" s="51" t="n"/>
      <c r="AG41" s="90" t="n"/>
      <c r="AH41" s="1" t="n"/>
      <c r="AI41" s="1" t="n"/>
      <c r="AJ41" s="31" t="n"/>
      <c r="AK41" s="100" t="n"/>
      <c r="AL41" s="90" t="n"/>
      <c r="AM41" s="1" t="n"/>
      <c r="AN41" s="1" t="n"/>
      <c r="AO41" s="35" t="inlineStr">
        <is>
          <t>SKY LAB</t>
        </is>
      </c>
      <c r="AP41" s="51" t="n"/>
      <c r="AQ41" s="90" t="n"/>
      <c r="AR41" s="1" t="n"/>
      <c r="AS41" s="1" t="n"/>
      <c r="AT41" s="35" t="inlineStr">
        <is>
          <t>SKY LAB</t>
        </is>
      </c>
      <c r="AU41" s="51" t="n"/>
      <c r="AV41" s="90" t="n"/>
      <c r="AW41" s="1" t="n"/>
      <c r="AX41" s="1" t="n"/>
      <c r="AY41" s="35" t="inlineStr">
        <is>
          <t>SKY LAB</t>
        </is>
      </c>
      <c r="AZ41" s="51" t="n"/>
      <c r="BA41" s="90" t="n"/>
    </row>
    <row r="42" ht="30.75" customHeight="1" s="220">
      <c r="A42" s="1" t="n"/>
      <c r="B42" s="96" t="inlineStr">
        <is>
          <t>SP</t>
        </is>
      </c>
      <c r="C42" s="97" t="n"/>
      <c r="D42" s="1" t="n"/>
      <c r="E42" s="1" t="n"/>
      <c r="F42" s="31" t="inlineStr">
        <is>
          <t>DIGICADCAM</t>
        </is>
      </c>
      <c r="G42" s="100" t="n"/>
      <c r="H42" s="90" t="n"/>
      <c r="I42" s="1" t="n"/>
      <c r="J42" s="35" t="inlineStr">
        <is>
          <t>DIGICADCAM</t>
        </is>
      </c>
      <c r="K42" s="51" t="n"/>
      <c r="L42" s="90" t="n"/>
      <c r="M42" s="1" t="n"/>
      <c r="N42" s="35" t="inlineStr">
        <is>
          <t>DIGICADCAM</t>
        </is>
      </c>
      <c r="O42" s="51" t="n"/>
      <c r="P42" s="90" t="n"/>
      <c r="Q42" s="1" t="n"/>
      <c r="R42" s="31" t="n"/>
      <c r="S42" s="100" t="n"/>
      <c r="T42" s="90" t="n"/>
      <c r="U42" s="1" t="n"/>
      <c r="V42" s="35" t="inlineStr">
        <is>
          <t>DIGICADCAM</t>
        </is>
      </c>
      <c r="W42" s="51" t="n"/>
      <c r="X42" s="90" t="n"/>
      <c r="Y42" s="1" t="n"/>
      <c r="Z42" s="35" t="inlineStr">
        <is>
          <t>DIGICADCAM</t>
        </is>
      </c>
      <c r="AA42" s="51" t="n"/>
      <c r="AB42" s="90" t="n"/>
      <c r="AC42" s="1" t="n"/>
      <c r="AD42" s="1" t="n"/>
      <c r="AE42" s="35" t="inlineStr">
        <is>
          <t>DIGICADCAM</t>
        </is>
      </c>
      <c r="AF42" s="51" t="n"/>
      <c r="AG42" s="90" t="n"/>
      <c r="AH42" s="1" t="n"/>
      <c r="AI42" s="1" t="n"/>
      <c r="AJ42" s="31" t="n"/>
      <c r="AK42" s="100" t="n"/>
      <c r="AL42" s="90" t="n"/>
      <c r="AM42" s="1" t="n"/>
      <c r="AN42" s="1" t="n"/>
      <c r="AO42" s="35" t="inlineStr">
        <is>
          <t>DIGICADCAM</t>
        </is>
      </c>
      <c r="AP42" s="51" t="n"/>
      <c r="AQ42" s="90" t="n"/>
      <c r="AR42" s="1" t="n"/>
      <c r="AS42" s="1" t="n"/>
      <c r="AT42" s="35" t="inlineStr">
        <is>
          <t>DIGICADCAM</t>
        </is>
      </c>
      <c r="AU42" s="51" t="n"/>
      <c r="AV42" s="90" t="n"/>
      <c r="AW42" s="1" t="n"/>
      <c r="AX42" s="1" t="n"/>
      <c r="AY42" s="35" t="inlineStr">
        <is>
          <t>DIGICADCAM</t>
        </is>
      </c>
      <c r="AZ42" s="51" t="n"/>
      <c r="BA42" s="90" t="n"/>
    </row>
    <row r="43" ht="30.75" customHeight="1" s="220">
      <c r="A43" s="1" t="n"/>
      <c r="B43" s="96" t="inlineStr">
        <is>
          <t>SINGTEL</t>
        </is>
      </c>
      <c r="C43" s="97" t="n"/>
      <c r="D43" s="1" t="n"/>
      <c r="E43" s="1" t="n"/>
      <c r="F43" s="31" t="inlineStr">
        <is>
          <t>OTHER LAB</t>
        </is>
      </c>
      <c r="G43" s="100" t="n"/>
      <c r="H43" s="101" t="n"/>
      <c r="I43" s="1" t="n"/>
      <c r="J43" s="35" t="inlineStr">
        <is>
          <t>OTHER LAB</t>
        </is>
      </c>
      <c r="K43" s="51" t="n"/>
      <c r="L43" s="101" t="n"/>
      <c r="M43" s="1" t="n"/>
      <c r="N43" s="35" t="inlineStr">
        <is>
          <t>OTHER LAB</t>
        </is>
      </c>
      <c r="O43" s="51" t="n"/>
      <c r="P43" s="101" t="n"/>
      <c r="Q43" s="1" t="n"/>
      <c r="R43" s="31" t="n"/>
      <c r="S43" s="100" t="n"/>
      <c r="T43" s="90" t="n"/>
      <c r="U43" s="1" t="n"/>
      <c r="V43" s="35" t="inlineStr">
        <is>
          <t>OTHER LAB</t>
        </is>
      </c>
      <c r="W43" s="51" t="n"/>
      <c r="X43" s="90" t="n"/>
      <c r="Y43" s="1" t="n"/>
      <c r="Z43" s="35" t="inlineStr">
        <is>
          <t>OTHER LAB</t>
        </is>
      </c>
      <c r="AA43" s="51" t="n"/>
      <c r="AB43" s="90" t="n"/>
      <c r="AC43" s="1" t="n"/>
      <c r="AD43" s="1" t="n"/>
      <c r="AE43" s="35" t="inlineStr">
        <is>
          <t>OTHER LAB</t>
        </is>
      </c>
      <c r="AF43" s="51" t="n"/>
      <c r="AG43" s="90" t="n"/>
      <c r="AH43" s="1" t="n"/>
      <c r="AI43" s="1" t="n"/>
      <c r="AJ43" s="31" t="n"/>
      <c r="AK43" s="100" t="n"/>
      <c r="AL43" s="90" t="n"/>
      <c r="AM43" s="1" t="n"/>
      <c r="AN43" s="1" t="n"/>
      <c r="AO43" s="35" t="inlineStr">
        <is>
          <t>OTHER LAB</t>
        </is>
      </c>
      <c r="AP43" s="51" t="n"/>
      <c r="AQ43" s="90" t="n"/>
      <c r="AR43" s="1" t="n"/>
      <c r="AS43" s="1" t="n"/>
      <c r="AT43" s="35" t="inlineStr">
        <is>
          <t>OTHER LAB</t>
        </is>
      </c>
      <c r="AU43" s="51" t="n"/>
      <c r="AV43" s="90" t="n"/>
      <c r="AW43" s="1" t="n"/>
      <c r="AX43" s="1" t="n"/>
      <c r="AY43" s="35" t="inlineStr">
        <is>
          <t>OTHER LAB</t>
        </is>
      </c>
      <c r="AZ43" s="51" t="n"/>
      <c r="BA43" s="90" t="n"/>
    </row>
    <row r="44" ht="30.75" customHeight="1" s="220">
      <c r="A44" s="1" t="n"/>
      <c r="B44" s="96" t="inlineStr">
        <is>
          <t>PRODUCTS</t>
        </is>
      </c>
      <c r="C44" s="97">
        <f>G37+K37+O37+S59+W37+AA37+AF37+AK59+AP37+AU37+AZ37</f>
        <v/>
      </c>
      <c r="D44" s="1" t="n"/>
      <c r="E44" s="1" t="n"/>
      <c r="F44" s="31" t="inlineStr">
        <is>
          <t>INVISALIGN</t>
        </is>
      </c>
      <c r="G44" s="100" t="n"/>
      <c r="H44" s="101" t="n"/>
      <c r="I44" s="1" t="n"/>
      <c r="J44" s="35" t="inlineStr">
        <is>
          <t>INVISALIGN</t>
        </is>
      </c>
      <c r="K44" s="51" t="n"/>
      <c r="L44" s="101" t="n"/>
      <c r="M44" s="1" t="n"/>
      <c r="N44" s="35" t="inlineStr">
        <is>
          <t>INVISALIGN</t>
        </is>
      </c>
      <c r="O44" s="51" t="n"/>
      <c r="P44" s="90" t="n"/>
      <c r="Q44" s="1" t="n"/>
      <c r="R44" s="31" t="n"/>
      <c r="S44" s="100" t="n"/>
      <c r="T44" s="90" t="n"/>
      <c r="U44" s="1" t="n"/>
      <c r="V44" s="35" t="inlineStr">
        <is>
          <t>INVISALIGN</t>
        </is>
      </c>
      <c r="W44" s="51" t="n"/>
      <c r="X44" s="101" t="n"/>
      <c r="Y44" s="1" t="n"/>
      <c r="Z44" s="35" t="inlineStr">
        <is>
          <t>INVISALIGN</t>
        </is>
      </c>
      <c r="AA44" s="51" t="n"/>
      <c r="AB44" s="90" t="n"/>
      <c r="AC44" s="1" t="n"/>
      <c r="AD44" s="1" t="n"/>
      <c r="AE44" s="35" t="inlineStr">
        <is>
          <t>INVISALIGN</t>
        </is>
      </c>
      <c r="AF44" s="51" t="n"/>
      <c r="AG44" s="90" t="n"/>
      <c r="AH44" s="1" t="n"/>
      <c r="AI44" s="1" t="n"/>
      <c r="AJ44" s="31" t="n"/>
      <c r="AK44" s="100" t="n"/>
      <c r="AL44" s="90" t="n"/>
      <c r="AM44" s="1" t="n"/>
      <c r="AN44" s="1" t="n"/>
      <c r="AO44" s="35" t="inlineStr">
        <is>
          <t>INVISALIGN</t>
        </is>
      </c>
      <c r="AP44" s="51" t="n"/>
      <c r="AQ44" s="90" t="n"/>
      <c r="AR44" s="1" t="n"/>
      <c r="AS44" s="1" t="n"/>
      <c r="AT44" s="35" t="inlineStr">
        <is>
          <t>INVISALIGN</t>
        </is>
      </c>
      <c r="AU44" s="51" t="n"/>
      <c r="AV44" s="90" t="n"/>
      <c r="AW44" s="1" t="n"/>
      <c r="AX44" s="1" t="n"/>
      <c r="AY44" s="35" t="inlineStr">
        <is>
          <t>INVISALIGN</t>
        </is>
      </c>
      <c r="AZ44" s="51" t="n"/>
      <c r="BA44" s="90" t="n"/>
    </row>
    <row r="45" ht="30.75" customHeight="1" s="220">
      <c r="A45" s="1" t="n"/>
      <c r="B45" s="96" t="inlineStr">
        <is>
          <t>ADMIN STAFF &amp; OFFICE RENTAL</t>
        </is>
      </c>
      <c r="C45" s="97" t="n"/>
      <c r="D45" s="1" t="n"/>
      <c r="E45" s="1" t="n"/>
      <c r="F45" s="31" t="inlineStr">
        <is>
          <t>TRANSFER (+)</t>
        </is>
      </c>
      <c r="G45" s="100" t="n"/>
      <c r="H45" s="98" t="n"/>
      <c r="I45" s="1" t="n"/>
      <c r="J45" s="35" t="inlineStr">
        <is>
          <t>TRANSFER (+)</t>
        </is>
      </c>
      <c r="K45" s="51" t="n"/>
      <c r="L45" s="98" t="n"/>
      <c r="M45" s="1" t="n"/>
      <c r="N45" s="35" t="inlineStr">
        <is>
          <t>TRANSFER (+)</t>
        </is>
      </c>
      <c r="O45" s="51" t="n"/>
      <c r="P45" s="90" t="n"/>
      <c r="Q45" s="1" t="n"/>
      <c r="R45" s="31" t="n"/>
      <c r="S45" s="100" t="n"/>
      <c r="T45" s="90" t="n"/>
      <c r="U45" s="1" t="n"/>
      <c r="V45" s="35" t="inlineStr">
        <is>
          <t>TRANSFER (+)</t>
        </is>
      </c>
      <c r="W45" s="51" t="n"/>
      <c r="X45" s="102" t="n"/>
      <c r="Y45" s="1" t="n"/>
      <c r="Z45" s="35" t="inlineStr">
        <is>
          <t>TRANSFER (+)</t>
        </is>
      </c>
      <c r="AA45" s="51" t="n"/>
      <c r="AB45" s="98" t="n"/>
      <c r="AC45" s="1" t="n"/>
      <c r="AD45" s="1" t="n"/>
      <c r="AE45" s="35" t="inlineStr">
        <is>
          <t>TRANSFER (+)</t>
        </is>
      </c>
      <c r="AF45" s="51" t="n"/>
      <c r="AG45" s="98" t="n"/>
      <c r="AH45" s="1" t="n"/>
      <c r="AI45" s="1" t="n"/>
      <c r="AJ45" s="31" t="n"/>
      <c r="AK45" s="100" t="n"/>
      <c r="AL45" s="90" t="n"/>
      <c r="AM45" s="1" t="n"/>
      <c r="AN45" s="1" t="n"/>
      <c r="AO45" s="35" t="inlineStr">
        <is>
          <t>TRANSFER (+)</t>
        </is>
      </c>
      <c r="AP45" s="51" t="n"/>
      <c r="AQ45" s="98" t="n"/>
      <c r="AR45" s="1" t="n"/>
      <c r="AS45" s="1" t="n"/>
      <c r="AT45" s="35" t="inlineStr">
        <is>
          <t>TRANSFER (+)</t>
        </is>
      </c>
      <c r="AU45" s="51" t="n"/>
      <c r="AV45" s="98" t="n"/>
      <c r="AW45" s="1" t="n"/>
      <c r="AX45" s="1" t="n"/>
      <c r="AY45" s="35" t="inlineStr">
        <is>
          <t>TRANSFER (+)</t>
        </is>
      </c>
      <c r="AZ45" s="51" t="n"/>
      <c r="BA45" s="98" t="n"/>
    </row>
    <row r="46" ht="30.75" customHeight="1" s="220">
      <c r="A46" s="1" t="n"/>
      <c r="B46" s="96" t="inlineStr">
        <is>
          <t>SUPPLIERS</t>
        </is>
      </c>
      <c r="C46" s="97" t="n"/>
      <c r="D46" s="1" t="n"/>
      <c r="E46" s="1" t="n"/>
      <c r="F46" s="31" t="inlineStr">
        <is>
          <t>TRANSFER (-)</t>
        </is>
      </c>
      <c r="G46" s="100" t="n"/>
      <c r="H46" s="98" t="n"/>
      <c r="I46" s="1" t="n"/>
      <c r="J46" s="35" t="inlineStr">
        <is>
          <t>TRANSFER (-)</t>
        </is>
      </c>
      <c r="K46" s="51" t="n"/>
      <c r="L46" s="90" t="n"/>
      <c r="M46" s="1" t="n"/>
      <c r="N46" s="35" t="inlineStr">
        <is>
          <t>TRANSFER (-)</t>
        </is>
      </c>
      <c r="O46" s="51" t="n"/>
      <c r="P46" s="90" t="n"/>
      <c r="Q46" s="1" t="n"/>
      <c r="R46" s="31" t="n"/>
      <c r="S46" s="100" t="n"/>
      <c r="T46" s="90" t="n"/>
      <c r="U46" s="1" t="n"/>
      <c r="V46" s="35" t="inlineStr">
        <is>
          <t>TRANSFER (-)</t>
        </is>
      </c>
      <c r="W46" s="51" t="n"/>
      <c r="X46" s="103" t="n"/>
      <c r="Y46" s="1" t="n"/>
      <c r="Z46" s="35" t="inlineStr">
        <is>
          <t>TRANSFER (-)</t>
        </is>
      </c>
      <c r="AA46" s="51" t="n"/>
      <c r="AB46" s="102" t="n"/>
      <c r="AC46" s="1" t="n"/>
      <c r="AD46" s="1" t="n"/>
      <c r="AE46" s="35" t="inlineStr">
        <is>
          <t>TRANSFER (-)</t>
        </is>
      </c>
      <c r="AF46" s="51" t="n"/>
      <c r="AG46" s="102" t="n"/>
      <c r="AH46" s="1" t="n"/>
      <c r="AI46" s="1" t="n"/>
      <c r="AJ46" s="31" t="n"/>
      <c r="AK46" s="100" t="n"/>
      <c r="AL46" s="90" t="n"/>
      <c r="AM46" s="1" t="n"/>
      <c r="AN46" s="1" t="n"/>
      <c r="AO46" s="35" t="inlineStr">
        <is>
          <t>TRANSFER (-)</t>
        </is>
      </c>
      <c r="AP46" s="51" t="n"/>
      <c r="AQ46" s="102" t="n"/>
      <c r="AR46" s="1" t="n"/>
      <c r="AS46" s="1" t="n"/>
      <c r="AT46" s="35" t="inlineStr">
        <is>
          <t>TRANSFER (-)</t>
        </is>
      </c>
      <c r="AU46" s="51" t="n"/>
      <c r="AV46" s="102" t="n"/>
      <c r="AW46" s="1" t="n"/>
      <c r="AX46" s="1" t="n"/>
      <c r="AY46" s="35" t="inlineStr">
        <is>
          <t>TRANSFER (-)</t>
        </is>
      </c>
      <c r="AZ46" s="51" t="n"/>
      <c r="BA46" s="102" t="n"/>
    </row>
    <row r="47" ht="30.75" customHeight="1" s="220">
      <c r="A47" s="1" t="n"/>
      <c r="B47" s="104" t="inlineStr">
        <is>
          <t>VOUCHER</t>
        </is>
      </c>
      <c r="C47" s="97">
        <f>B12</f>
        <v/>
      </c>
      <c r="D47" s="1" t="n"/>
      <c r="E47" s="1" t="n"/>
      <c r="F47" s="52" t="inlineStr">
        <is>
          <t>REFUND/REFERRAL</t>
        </is>
      </c>
      <c r="G47" s="105" t="n"/>
      <c r="H47" s="90" t="n"/>
      <c r="I47" s="1" t="n"/>
      <c r="J47" s="35" t="inlineStr">
        <is>
          <t>REFUND/REFERRAL</t>
        </is>
      </c>
      <c r="K47" s="51" t="n"/>
      <c r="L47" s="90" t="n"/>
      <c r="M47" s="1" t="n"/>
      <c r="N47" s="35" t="inlineStr">
        <is>
          <t>REFUND/REFERRAL</t>
        </is>
      </c>
      <c r="O47" s="51" t="n"/>
      <c r="P47" s="98" t="n"/>
      <c r="Q47" s="1" t="n"/>
      <c r="R47" s="31" t="n"/>
      <c r="S47" s="100" t="n"/>
      <c r="T47" s="90" t="n"/>
      <c r="U47" s="1" t="n"/>
      <c r="V47" s="35" t="inlineStr">
        <is>
          <t>REFUND</t>
        </is>
      </c>
      <c r="W47" s="51" t="n"/>
      <c r="X47" s="90" t="n"/>
      <c r="Y47" s="1" t="n"/>
      <c r="Z47" s="35" t="inlineStr">
        <is>
          <t>REFUND</t>
        </is>
      </c>
      <c r="AA47" s="51" t="n"/>
      <c r="AB47" s="90" t="n"/>
      <c r="AC47" s="1" t="n"/>
      <c r="AD47" s="1" t="n"/>
      <c r="AE47" s="35" t="inlineStr">
        <is>
          <t>REFUND</t>
        </is>
      </c>
      <c r="AF47" s="51" t="n"/>
      <c r="AG47" s="90" t="n"/>
      <c r="AH47" s="1" t="n"/>
      <c r="AI47" s="1" t="n"/>
      <c r="AJ47" s="31" t="n"/>
      <c r="AK47" s="100" t="n"/>
      <c r="AL47" s="90" t="n"/>
      <c r="AM47" s="1" t="n"/>
      <c r="AN47" s="1" t="n"/>
      <c r="AO47" s="35" t="inlineStr">
        <is>
          <t>REFUND</t>
        </is>
      </c>
      <c r="AP47" s="51" t="n"/>
      <c r="AQ47" s="90" t="n"/>
      <c r="AR47" s="1" t="n"/>
      <c r="AS47" s="1" t="n"/>
      <c r="AT47" s="35" t="inlineStr">
        <is>
          <t>REFUND</t>
        </is>
      </c>
      <c r="AU47" s="51" t="n"/>
      <c r="AV47" s="90" t="n"/>
      <c r="AW47" s="1" t="n"/>
      <c r="AX47" s="1" t="n"/>
      <c r="AY47" s="35" t="inlineStr">
        <is>
          <t>REFUND</t>
        </is>
      </c>
      <c r="AZ47" s="51" t="n"/>
      <c r="BA47" s="90" t="n"/>
    </row>
    <row r="48" ht="30.75" customHeight="1" s="220">
      <c r="A48" s="1" t="n"/>
      <c r="B48" s="96" t="inlineStr">
        <is>
          <t>PETTY CASH</t>
        </is>
      </c>
      <c r="C48" s="97" t="n"/>
      <c r="D48" s="1" t="n"/>
      <c r="E48" s="1" t="n"/>
      <c r="F48" s="52" t="inlineStr">
        <is>
          <t>VOUCHER</t>
        </is>
      </c>
      <c r="G48" s="105">
        <f>F12</f>
        <v/>
      </c>
      <c r="H48" s="90" t="n"/>
      <c r="I48" s="1" t="n"/>
      <c r="J48" s="35" t="inlineStr">
        <is>
          <t>VOUCHER</t>
        </is>
      </c>
      <c r="K48" s="51" t="n"/>
      <c r="L48" s="90" t="n"/>
      <c r="M48" s="1" t="n"/>
      <c r="N48" s="35" t="inlineStr">
        <is>
          <t>VOUCHER</t>
        </is>
      </c>
      <c r="O48" s="51" t="n"/>
      <c r="P48" s="90" t="n"/>
      <c r="Q48" s="1" t="n"/>
      <c r="R48" s="31" t="n"/>
      <c r="S48" s="100" t="n"/>
      <c r="T48" s="90" t="n"/>
      <c r="U48" s="1" t="n"/>
      <c r="V48" s="35" t="inlineStr">
        <is>
          <t>VOUCHER</t>
        </is>
      </c>
      <c r="W48" s="51" t="n"/>
      <c r="X48" s="90" t="n"/>
      <c r="Y48" s="1" t="n"/>
      <c r="Z48" s="35" t="inlineStr">
        <is>
          <t>VOUCHER</t>
        </is>
      </c>
      <c r="AA48" s="51" t="n"/>
      <c r="AB48" s="90" t="n"/>
      <c r="AC48" s="1" t="n"/>
      <c r="AD48" s="1" t="n"/>
      <c r="AE48" s="35" t="inlineStr">
        <is>
          <t>SEDATION</t>
        </is>
      </c>
      <c r="AF48" s="51" t="n"/>
      <c r="AG48" s="90" t="n"/>
      <c r="AH48" s="1" t="n"/>
      <c r="AI48" s="1" t="n"/>
      <c r="AJ48" s="31" t="n"/>
      <c r="AK48" s="100" t="n"/>
      <c r="AL48" s="90" t="n"/>
      <c r="AM48" s="1" t="n"/>
      <c r="AN48" s="1" t="n"/>
      <c r="AO48" s="35" t="inlineStr">
        <is>
          <t>SEDATION</t>
        </is>
      </c>
      <c r="AP48" s="51" t="n"/>
      <c r="AQ48" s="90" t="n"/>
      <c r="AR48" s="1" t="n"/>
      <c r="AS48" s="1" t="n"/>
      <c r="AT48" s="35" t="inlineStr">
        <is>
          <t>SEDATION</t>
        </is>
      </c>
      <c r="AU48" s="51" t="n"/>
      <c r="AV48" s="90" t="n"/>
      <c r="AW48" s="1" t="n"/>
      <c r="AX48" s="1" t="n"/>
      <c r="AY48" s="35" t="inlineStr">
        <is>
          <t>SEDATION</t>
        </is>
      </c>
      <c r="AZ48" s="51" t="n"/>
      <c r="BA48" s="90" t="n"/>
    </row>
    <row r="49" ht="30.75" customHeight="1" s="220">
      <c r="A49" s="1" t="n"/>
      <c r="B49" s="96" t="inlineStr">
        <is>
          <t>STOCKS / CONSUMABLES FEES</t>
        </is>
      </c>
      <c r="C49" s="97" t="n"/>
      <c r="D49" s="1" t="n"/>
      <c r="E49" s="1" t="n"/>
      <c r="F49" s="31" t="inlineStr">
        <is>
          <t>RETAINERS/BT/SPLINT</t>
        </is>
      </c>
      <c r="G49" s="105" t="n"/>
      <c r="H49" s="90" t="n"/>
      <c r="I49" s="1" t="n"/>
      <c r="J49" s="35" t="inlineStr">
        <is>
          <t>RETAINERS/BT/SPLINT</t>
        </is>
      </c>
      <c r="K49" s="51" t="n"/>
      <c r="L49" s="90" t="n"/>
      <c r="M49" s="1" t="n"/>
      <c r="N49" s="35" t="inlineStr">
        <is>
          <t>RETAINERS/BT/SPLINT</t>
        </is>
      </c>
      <c r="O49" s="51" t="n"/>
      <c r="P49" s="90" t="n"/>
      <c r="Q49" s="1" t="n"/>
      <c r="R49" s="31" t="n"/>
      <c r="S49" s="100" t="n"/>
      <c r="T49" s="90" t="n"/>
      <c r="U49" s="1" t="n"/>
      <c r="V49" s="35" t="inlineStr">
        <is>
          <t>RETAINERS/BT/SPLINT</t>
        </is>
      </c>
      <c r="W49" s="51" t="n"/>
      <c r="X49" s="90" t="n"/>
      <c r="Y49" s="1" t="n"/>
      <c r="Z49" s="35" t="inlineStr">
        <is>
          <t>RETAINERS/BT/SPLINT</t>
        </is>
      </c>
      <c r="AA49" s="51" t="n"/>
      <c r="AB49" s="90" t="n"/>
      <c r="AC49" s="1" t="n"/>
      <c r="AD49" s="1" t="n"/>
      <c r="AE49" s="35" t="inlineStr">
        <is>
          <t>RETAINERS/BT/SPLINT</t>
        </is>
      </c>
      <c r="AF49" s="51" t="n"/>
      <c r="AG49" s="90" t="n"/>
      <c r="AH49" s="1" t="n"/>
      <c r="AI49" s="1" t="n"/>
      <c r="AJ49" s="31" t="n"/>
      <c r="AK49" s="100" t="n"/>
      <c r="AL49" s="90" t="n"/>
      <c r="AM49" s="1" t="n"/>
      <c r="AN49" s="1" t="n"/>
      <c r="AO49" s="35" t="inlineStr">
        <is>
          <t>RETAINERS/BT/SPLINT</t>
        </is>
      </c>
      <c r="AP49" s="51" t="n"/>
      <c r="AQ49" s="90" t="n"/>
      <c r="AR49" s="1" t="n"/>
      <c r="AS49" s="1" t="n"/>
      <c r="AT49" s="35" t="inlineStr">
        <is>
          <t>RETAINERS/BT/SPLINT</t>
        </is>
      </c>
      <c r="AU49" s="51" t="n"/>
      <c r="AV49" s="90" t="n"/>
      <c r="AW49" s="1" t="n"/>
      <c r="AX49" s="1" t="n"/>
      <c r="AY49" s="35" t="inlineStr">
        <is>
          <t>RETAINERS/BT/SPLINT</t>
        </is>
      </c>
      <c r="AZ49" s="51" t="n"/>
      <c r="BA49" s="90" t="n"/>
    </row>
    <row r="50" ht="30.75" customHeight="1" s="220">
      <c r="A50" s="1" t="n"/>
      <c r="B50" s="96" t="inlineStr">
        <is>
          <t xml:space="preserve">MARKETING FEE </t>
        </is>
      </c>
      <c r="C50" s="97" t="n"/>
      <c r="D50" s="1" t="n"/>
      <c r="E50" s="1" t="n"/>
      <c r="F50" s="31" t="inlineStr">
        <is>
          <t>INSTALLMENT</t>
        </is>
      </c>
      <c r="G50" s="105" t="n"/>
      <c r="H50" s="106" t="n"/>
      <c r="I50" s="1" t="n"/>
      <c r="J50" s="35" t="inlineStr">
        <is>
          <t>INSTALLMENT</t>
        </is>
      </c>
      <c r="K50" s="51" t="n"/>
      <c r="L50" s="106" t="n"/>
      <c r="M50" s="1" t="n"/>
      <c r="N50" s="35" t="inlineStr">
        <is>
          <t>INSTALLMENT</t>
        </is>
      </c>
      <c r="O50" s="51" t="n"/>
      <c r="P50" s="90" t="n"/>
      <c r="Q50" s="1" t="n"/>
      <c r="R50" s="31" t="n"/>
      <c r="S50" s="100" t="n"/>
      <c r="T50" s="90" t="n"/>
      <c r="U50" s="1" t="n"/>
      <c r="V50" s="35" t="inlineStr">
        <is>
          <t>INSTALLMENT</t>
        </is>
      </c>
      <c r="W50" s="51" t="n"/>
      <c r="X50" s="90" t="n"/>
      <c r="Y50" s="1" t="n"/>
      <c r="Z50" s="35" t="inlineStr">
        <is>
          <t>INSTALLMENT</t>
        </is>
      </c>
      <c r="AA50" s="51" t="n"/>
      <c r="AB50" s="90" t="n"/>
      <c r="AC50" s="1" t="n"/>
      <c r="AD50" s="1" t="n"/>
      <c r="AE50" s="35" t="inlineStr">
        <is>
          <t>INSTALLMENT</t>
        </is>
      </c>
      <c r="AF50" s="51" t="n"/>
      <c r="AG50" s="90" t="n"/>
      <c r="AH50" s="1" t="n"/>
      <c r="AI50" s="1" t="n"/>
      <c r="AJ50" s="31" t="n"/>
      <c r="AK50" s="100" t="n"/>
      <c r="AL50" s="90" t="n"/>
      <c r="AM50" s="1" t="n"/>
      <c r="AN50" s="1" t="n"/>
      <c r="AO50" s="35" t="inlineStr">
        <is>
          <t>INSTALLMENT</t>
        </is>
      </c>
      <c r="AP50" s="51" t="n"/>
      <c r="AQ50" s="90" t="n"/>
      <c r="AR50" s="1" t="n"/>
      <c r="AS50" s="1" t="n"/>
      <c r="AT50" s="35" t="inlineStr">
        <is>
          <t>INSTALLMENT</t>
        </is>
      </c>
      <c r="AU50" s="51" t="n"/>
      <c r="AV50" s="90" t="n"/>
      <c r="AW50" s="1" t="n"/>
      <c r="AX50" s="1" t="n"/>
      <c r="AY50" s="35" t="inlineStr">
        <is>
          <t>INSTALLMENT</t>
        </is>
      </c>
      <c r="AZ50" s="51" t="n"/>
      <c r="BA50" s="90" t="n"/>
    </row>
    <row r="51" ht="30.75" customHeight="1" s="220">
      <c r="A51" s="1" t="n"/>
      <c r="B51" s="96" t="inlineStr">
        <is>
          <t>INVISALIGN</t>
        </is>
      </c>
      <c r="C51" s="97">
        <f>G44+K44+O44+S66+W44+AA44+AF44+AK66+AP44+AU44</f>
        <v/>
      </c>
      <c r="D51" s="1" t="n"/>
      <c r="E51" s="1" t="n"/>
      <c r="F51" s="35" t="inlineStr">
        <is>
          <t>DEDUCTIONS</t>
        </is>
      </c>
      <c r="G51" s="51" t="n"/>
      <c r="H51" s="101" t="n"/>
      <c r="I51" s="1" t="n"/>
      <c r="J51" s="35" t="inlineStr">
        <is>
          <t>DEDUCTIONS</t>
        </is>
      </c>
      <c r="K51" s="51" t="n"/>
      <c r="L51" s="90" t="n"/>
      <c r="M51" s="1" t="n"/>
      <c r="N51" s="35" t="inlineStr">
        <is>
          <t>DEDUCTIONS</t>
        </is>
      </c>
      <c r="O51" s="51" t="n"/>
      <c r="P51" s="90" t="n"/>
      <c r="Q51" s="1" t="n"/>
      <c r="R51" s="31" t="n"/>
      <c r="S51" s="100" t="n"/>
      <c r="T51" s="90" t="n"/>
      <c r="U51" s="1" t="n"/>
      <c r="V51" s="35" t="inlineStr">
        <is>
          <t>DEDUCTIONS</t>
        </is>
      </c>
      <c r="W51" s="51" t="n"/>
      <c r="X51" s="106" t="n"/>
      <c r="Y51" s="1" t="n"/>
      <c r="Z51" s="35" t="inlineStr">
        <is>
          <t>DEDUCTIONS</t>
        </is>
      </c>
      <c r="AA51" s="51" t="n"/>
      <c r="AB51" s="102" t="n"/>
      <c r="AC51" s="1" t="n"/>
      <c r="AD51" s="1" t="n"/>
      <c r="AE51" s="35" t="inlineStr">
        <is>
          <t>DEDUCTIONS</t>
        </is>
      </c>
      <c r="AF51" s="51" t="n"/>
      <c r="AG51" s="102" t="n"/>
      <c r="AH51" s="1" t="n"/>
      <c r="AI51" s="1" t="n"/>
      <c r="AJ51" s="31" t="n"/>
      <c r="AK51" s="100" t="n"/>
      <c r="AL51" s="90" t="n"/>
      <c r="AM51" s="1" t="n"/>
      <c r="AN51" s="1" t="n"/>
      <c r="AO51" s="35" t="inlineStr">
        <is>
          <t>DEDUCTIONS</t>
        </is>
      </c>
      <c r="AP51" s="51" t="n"/>
      <c r="AQ51" s="102" t="n"/>
      <c r="AR51" s="1" t="n"/>
      <c r="AS51" s="1" t="n"/>
      <c r="AT51" s="35" t="inlineStr">
        <is>
          <t>DEDUCTIONS</t>
        </is>
      </c>
      <c r="AU51" s="51" t="n"/>
      <c r="AV51" s="102" t="n"/>
      <c r="AW51" s="1" t="n"/>
      <c r="AX51" s="1" t="n"/>
      <c r="AY51" s="35" t="inlineStr">
        <is>
          <t>DEDUCTIONS</t>
        </is>
      </c>
      <c r="AZ51" s="51" t="n"/>
      <c r="BA51" s="102" t="n"/>
    </row>
    <row r="52" ht="30.75" customHeight="1" s="220">
      <c r="A52" s="1" t="n"/>
      <c r="B52" s="96" t="inlineStr">
        <is>
          <t>IMPLANT</t>
        </is>
      </c>
      <c r="C52" s="97">
        <f>G40+O40+S62+W40+AA40+AF40+K40+AK62</f>
        <v/>
      </c>
      <c r="D52" s="1" t="n"/>
      <c r="E52" s="1" t="n"/>
      <c r="F52" s="107" t="n"/>
      <c r="G52" s="108" t="n"/>
      <c r="H52" s="1" t="n"/>
      <c r="I52" s="1" t="n"/>
      <c r="J52" s="107" t="n"/>
      <c r="K52" s="108" t="n"/>
      <c r="L52" s="1" t="n"/>
      <c r="M52" s="1" t="n"/>
      <c r="N52" s="107" t="n"/>
      <c r="O52" s="108" t="n"/>
      <c r="P52" s="1" t="n"/>
      <c r="Q52" s="1" t="n"/>
      <c r="R52" s="31" t="n"/>
      <c r="S52" s="100" t="n"/>
      <c r="T52" s="90" t="n"/>
      <c r="U52" s="1" t="n"/>
      <c r="V52" s="107" t="n"/>
      <c r="W52" s="108" t="n"/>
      <c r="X52" s="1" t="n"/>
      <c r="Y52" s="1" t="n"/>
      <c r="Z52" s="107" t="n"/>
      <c r="AA52" s="108" t="n"/>
      <c r="AB52" s="1" t="n"/>
      <c r="AC52" s="1" t="n"/>
      <c r="AD52" s="1" t="n"/>
      <c r="AE52" s="107" t="n"/>
      <c r="AF52" s="108" t="n"/>
      <c r="AG52" s="1" t="n"/>
      <c r="AH52" s="1" t="n"/>
      <c r="AI52" s="1" t="n"/>
      <c r="AJ52" s="31" t="n"/>
      <c r="AK52" s="100" t="n"/>
      <c r="AL52" s="90" t="n"/>
      <c r="AM52" s="1" t="n"/>
      <c r="AN52" s="1" t="n"/>
      <c r="AO52" s="107" t="n"/>
      <c r="AP52" s="108" t="n"/>
      <c r="AQ52" s="1" t="n"/>
      <c r="AR52" s="1" t="n"/>
      <c r="AS52" s="1" t="n"/>
      <c r="AT52" s="107" t="n"/>
      <c r="AU52" s="108" t="n"/>
      <c r="AV52" s="1" t="n"/>
      <c r="AW52" s="1" t="n"/>
      <c r="AX52" s="1" t="n"/>
      <c r="AY52" s="107" t="n"/>
      <c r="AZ52" s="108" t="n"/>
      <c r="BA52" s="1" t="n"/>
    </row>
    <row r="53" ht="30.75" customHeight="1" s="220">
      <c r="A53" s="1" t="n"/>
      <c r="B53" s="96" t="inlineStr">
        <is>
          <t>SKYLAB</t>
        </is>
      </c>
      <c r="C53" s="97">
        <f>G41+O41+W41+S63+K41+AA41+AF41+AK63</f>
        <v/>
      </c>
      <c r="D53" s="1" t="n"/>
      <c r="E53" s="1" t="n"/>
      <c r="F53" s="61" t="inlineStr">
        <is>
          <t>TOTAL</t>
        </is>
      </c>
      <c r="G53" s="109">
        <f>F31-G34-G35-G37-G36-G38-G39-G40-G41-G42-G43-G44+G45-G46-G47-G48-G49-G50-G51</f>
        <v/>
      </c>
      <c r="H53" s="90" t="n"/>
      <c r="I53" s="1" t="n"/>
      <c r="J53" s="61" t="inlineStr">
        <is>
          <t>TOTAL</t>
        </is>
      </c>
      <c r="K53" s="109">
        <f>J31-K34-K35-K36-K37-K38-K39-K40-K41-K42-K43-K44+K45-K46-K47-K48-K49-K50-K51</f>
        <v/>
      </c>
      <c r="L53" s="90" t="n"/>
      <c r="M53" s="1" t="n"/>
      <c r="N53" s="61" t="inlineStr">
        <is>
          <t>TOTAL</t>
        </is>
      </c>
      <c r="O53" s="109">
        <f>N31-O34-O35-O36-O37-O38-O39-O40-O41-O42-O43-O44+O45-O46-O47-O48-O49-O50-O51</f>
        <v/>
      </c>
      <c r="P53" s="90" t="n"/>
      <c r="Q53" s="1" t="n"/>
      <c r="R53" s="31" t="n"/>
      <c r="S53" s="100" t="n"/>
      <c r="T53" s="90" t="n"/>
      <c r="U53" s="1" t="n"/>
      <c r="V53" s="61" t="inlineStr">
        <is>
          <t>TOTAL</t>
        </is>
      </c>
      <c r="W53" s="109">
        <f>V31-W34-W35-W36-W37-W38-W39-W40-W41-W42-W43-W44+W45-W46-W47-W48-W49-W50-W51</f>
        <v/>
      </c>
      <c r="X53" s="90" t="n"/>
      <c r="Y53" s="1" t="n"/>
      <c r="Z53" s="61" t="inlineStr">
        <is>
          <t>TOTAL</t>
        </is>
      </c>
      <c r="AA53" s="109">
        <f>Z31-AA34-AA35-AA36-AA37-AA38-AA39-AA40-AA41-AA42-AA43-AA44+AA45-AA46-AA47-AA48-AA49-AA50-AA51</f>
        <v/>
      </c>
      <c r="AB53" s="182" t="n"/>
      <c r="AC53" s="1" t="n"/>
      <c r="AD53" s="1" t="n"/>
      <c r="AE53" s="61" t="inlineStr">
        <is>
          <t>TOTAL</t>
        </is>
      </c>
      <c r="AF53" s="109">
        <f>AE31-AF34-AF35-AF36-AF37-AF38-AF39-AF40-AF41-AF42-AF43-AF44+AF45-AF46-AF47-AF48-AF49-AF50-AF51</f>
        <v/>
      </c>
      <c r="AG53" s="90" t="n"/>
      <c r="AH53" s="1" t="n"/>
      <c r="AI53" s="1" t="n"/>
      <c r="AJ53" s="31" t="n"/>
      <c r="AK53" s="100" t="n"/>
      <c r="AL53" s="90" t="n"/>
      <c r="AM53" s="1" t="n"/>
      <c r="AN53" s="1" t="n"/>
      <c r="AO53" s="61" t="inlineStr">
        <is>
          <t>TOTAL</t>
        </is>
      </c>
      <c r="AP53" s="109">
        <f>AO31-AP34-AP35-AP36-AP37-AP38-AP39-AP40-AP41-AP42-AP43-AP44+AP45-AP46-AP47-AP48-AP49-AP50-AP51</f>
        <v/>
      </c>
      <c r="AQ53" s="90" t="n"/>
      <c r="AR53" s="1" t="n"/>
      <c r="AS53" s="1" t="n"/>
      <c r="AT53" s="61" t="inlineStr">
        <is>
          <t>TOTAL</t>
        </is>
      </c>
      <c r="AU53" s="109">
        <f>AT31-AU34-AU35-AU36-AU37-AU38-AU39-AU40-AU41-AU42-AU43-AU44+AU45-AU46-AU47-AU48-AU49-AU50-AU51</f>
        <v/>
      </c>
      <c r="AV53" s="90" t="n"/>
      <c r="AW53" s="1" t="n"/>
      <c r="AX53" s="1" t="n"/>
      <c r="AY53" s="61" t="inlineStr">
        <is>
          <t>TOTAL</t>
        </is>
      </c>
      <c r="AZ53" s="109">
        <f>AY31-AZ34-AZ35-AZ36-AZ37-AZ38-AZ39-AZ40-AZ41-AZ42-AZ43-AZ44+AZ45-AZ46-AZ47-AZ48-AZ49-AZ50-AZ51</f>
        <v/>
      </c>
      <c r="BA53" s="90" t="n"/>
    </row>
    <row r="54" ht="30.75" customHeight="1" s="220">
      <c r="A54" s="1" t="n"/>
      <c r="B54" s="96" t="inlineStr">
        <is>
          <t>DIGICADCAM</t>
        </is>
      </c>
      <c r="C54" s="97">
        <f>G42+O42+W42+AA42+AF42+S64+K42+AK64</f>
        <v/>
      </c>
      <c r="D54" s="1" t="n"/>
      <c r="E54" s="1" t="n"/>
      <c r="F54" s="110" t="inlineStr">
        <is>
          <t>DOCTORS FEE BEFORE DEDUCTION</t>
        </is>
      </c>
      <c r="G54" s="111">
        <f>G53/2+G55</f>
        <v/>
      </c>
      <c r="H54" s="90" t="n"/>
      <c r="I54" s="1" t="n"/>
      <c r="J54" s="110" t="inlineStr">
        <is>
          <t>DOCTORS FEE BEFORE DEDUCTION</t>
        </is>
      </c>
      <c r="K54" s="111">
        <f>K53/2+K55</f>
        <v/>
      </c>
      <c r="L54" s="90" t="n"/>
      <c r="M54" s="1" t="n"/>
      <c r="N54" s="112" t="inlineStr">
        <is>
          <t>DOCTORS PAY</t>
        </is>
      </c>
      <c r="O54" s="111">
        <f>(O53*50%)+O55</f>
        <v/>
      </c>
      <c r="P54" s="90" t="n"/>
      <c r="Q54" s="1" t="n"/>
      <c r="R54" s="31" t="n"/>
      <c r="S54" s="100" t="n"/>
      <c r="T54" s="90" t="n"/>
      <c r="U54" s="1" t="n"/>
      <c r="V54" s="112" t="inlineStr">
        <is>
          <t>DOCTORS PAY</t>
        </is>
      </c>
      <c r="W54" s="111">
        <f>(W53*50%)+W55</f>
        <v/>
      </c>
      <c r="X54" s="90" t="n"/>
      <c r="Y54" s="1" t="n"/>
      <c r="Z54" s="112" t="inlineStr">
        <is>
          <t>DOCTORS PAY</t>
        </is>
      </c>
      <c r="AA54" s="111">
        <f>(AA53*50%)+AA55</f>
        <v/>
      </c>
      <c r="AB54" s="90" t="n"/>
      <c r="AC54" s="1" t="n"/>
      <c r="AD54" s="1" t="n"/>
      <c r="AE54" s="112" t="inlineStr">
        <is>
          <t>DOCTORS PAY</t>
        </is>
      </c>
      <c r="AF54" s="111">
        <f>(AF53*50%)+AF55</f>
        <v/>
      </c>
      <c r="AG54" s="90" t="n"/>
      <c r="AH54" s="1" t="n"/>
      <c r="AI54" s="1" t="n"/>
      <c r="AJ54" s="31" t="n"/>
      <c r="AK54" s="100" t="n"/>
      <c r="AL54" s="90" t="n"/>
      <c r="AM54" s="1" t="n"/>
      <c r="AN54" s="1" t="n"/>
      <c r="AO54" s="112" t="inlineStr">
        <is>
          <t>DOCTORS PAY</t>
        </is>
      </c>
      <c r="AP54" s="111">
        <f>(AP53*45%)+AP55</f>
        <v/>
      </c>
      <c r="AQ54" s="90" t="n"/>
      <c r="AR54" s="1" t="n"/>
      <c r="AS54" s="1" t="n"/>
      <c r="AT54" s="112" t="inlineStr">
        <is>
          <t>DOCTORS PAY</t>
        </is>
      </c>
      <c r="AU54" s="111">
        <f>(AU53*50%)+AU55</f>
        <v/>
      </c>
      <c r="AV54" s="90" t="n"/>
      <c r="AW54" s="1" t="n"/>
      <c r="AX54" s="1" t="n"/>
      <c r="AY54" s="112" t="inlineStr">
        <is>
          <t>DOCTORS PAY</t>
        </is>
      </c>
      <c r="AZ54" s="111">
        <f>(AZ53*50%)+AZ55</f>
        <v/>
      </c>
      <c r="BA54" s="90" t="n"/>
    </row>
    <row r="55" ht="30.75" customHeight="1" s="220">
      <c r="A55" s="1" t="n"/>
      <c r="B55" s="113" t="inlineStr">
        <is>
          <t xml:space="preserve">OTHER LAB </t>
        </is>
      </c>
      <c r="C55" s="97">
        <f>G43+O43+K43+S65+W43+AA43+AF43+AK65</f>
        <v/>
      </c>
      <c r="D55" s="1" t="n"/>
      <c r="E55" s="1" t="n"/>
      <c r="F55" s="50" t="inlineStr">
        <is>
          <t>ADJUSTMENTS (+)</t>
        </is>
      </c>
      <c r="G55" s="36" t="n"/>
      <c r="H55" s="98" t="n"/>
      <c r="I55" s="1" t="n"/>
      <c r="J55" s="50" t="inlineStr">
        <is>
          <t>ADJUSTMENTS (+)</t>
        </is>
      </c>
      <c r="K55" s="36" t="n"/>
      <c r="L55" s="90" t="n"/>
      <c r="M55" s="1" t="n"/>
      <c r="N55" s="50" t="inlineStr">
        <is>
          <t>ADJUSTMENTS (+)</t>
        </is>
      </c>
      <c r="O55" s="36" t="n"/>
      <c r="P55" s="90" t="n"/>
      <c r="Q55" s="1" t="n"/>
      <c r="R55" s="31" t="n"/>
      <c r="S55" s="100" t="n"/>
      <c r="T55" s="90" t="n"/>
      <c r="U55" s="1" t="n"/>
      <c r="V55" s="50" t="inlineStr">
        <is>
          <t>ADJUSTMENTS (+)</t>
        </is>
      </c>
      <c r="W55" s="36" t="n"/>
      <c r="X55" s="114" t="n"/>
      <c r="Y55" s="1" t="n"/>
      <c r="Z55" s="50" t="inlineStr">
        <is>
          <t>ADJUSTMENTS (+)</t>
        </is>
      </c>
      <c r="AA55" s="36" t="n"/>
      <c r="AB55" s="90" t="n"/>
      <c r="AC55" s="1" t="n"/>
      <c r="AD55" s="1" t="n"/>
      <c r="AE55" s="50" t="inlineStr">
        <is>
          <t>ADJUSTMENTS (+)</t>
        </is>
      </c>
      <c r="AF55" s="36" t="n"/>
      <c r="AG55" s="98" t="n"/>
      <c r="AH55" s="1" t="n"/>
      <c r="AI55" s="1" t="n"/>
      <c r="AJ55" s="31" t="n"/>
      <c r="AK55" s="100" t="n"/>
      <c r="AL55" s="90" t="n"/>
      <c r="AM55" s="1" t="n"/>
      <c r="AN55" s="1" t="n"/>
      <c r="AO55" s="50" t="inlineStr">
        <is>
          <t>ADJUSTMENTS (+)</t>
        </is>
      </c>
      <c r="AP55" s="36" t="n"/>
      <c r="AQ55" s="98" t="n"/>
      <c r="AR55" s="1" t="n"/>
      <c r="AS55" s="1" t="n"/>
      <c r="AT55" s="50" t="inlineStr">
        <is>
          <t>ADJUSTMENTS (+)</t>
        </is>
      </c>
      <c r="AU55" s="36" t="n"/>
      <c r="AV55" s="98" t="n"/>
      <c r="AW55" s="1" t="n"/>
      <c r="AX55" s="1" t="n"/>
      <c r="AY55" s="50" t="inlineStr">
        <is>
          <t>ADJUSTMENTS (+)</t>
        </is>
      </c>
      <c r="AZ55" s="36" t="n"/>
      <c r="BA55" s="98" t="n"/>
    </row>
    <row r="56" ht="82.5" customHeight="1" s="220">
      <c r="A56" s="1" t="n"/>
      <c r="B56" s="96" t="inlineStr">
        <is>
          <t>ORTHO (B+B)</t>
        </is>
      </c>
      <c r="C56" s="97">
        <f>G38+K38+O38+S60+W38+AA38+AF38+AK60</f>
        <v/>
      </c>
      <c r="D56" s="1" t="n"/>
      <c r="E56" s="1" t="n"/>
      <c r="F56" s="50" t="inlineStr">
        <is>
          <t>ADJUSTMENTS (-)</t>
        </is>
      </c>
      <c r="G56" s="115">
        <f>G61+G65</f>
        <v/>
      </c>
      <c r="H56" s="114" t="inlineStr">
        <is>
          <t>ADDN MARKETING&amp; MEDISAVE ADMIN</t>
        </is>
      </c>
      <c r="I56" s="1" t="n"/>
      <c r="J56" s="50" t="inlineStr">
        <is>
          <t>ADJUSTMENTS (-)</t>
        </is>
      </c>
      <c r="K56" s="115">
        <f>K61+K65</f>
        <v/>
      </c>
      <c r="L56" s="114" t="inlineStr">
        <is>
          <t>ADDN MARKETING</t>
        </is>
      </c>
      <c r="M56" s="1" t="n"/>
      <c r="N56" s="50" t="inlineStr">
        <is>
          <t>ADJUSTMENTS (-)</t>
        </is>
      </c>
      <c r="O56" s="115">
        <f>O61+O65</f>
        <v/>
      </c>
      <c r="P56" s="114" t="inlineStr">
        <is>
          <t>ADDN MARKETING &amp; MEDISAVE ADMIN</t>
        </is>
      </c>
      <c r="Q56" s="1" t="n"/>
      <c r="R56" s="31" t="n"/>
      <c r="S56" s="100" t="n"/>
      <c r="T56" s="90" t="n"/>
      <c r="U56" s="1" t="n"/>
      <c r="V56" s="50" t="inlineStr">
        <is>
          <t>ADJUSTMENTS (-)</t>
        </is>
      </c>
      <c r="W56" s="116">
        <f>W61+W65</f>
        <v/>
      </c>
      <c r="X56" s="114" t="inlineStr">
        <is>
          <t>ADDN MKTRG &amp; MEDISAVE ADMIN</t>
        </is>
      </c>
      <c r="Y56" s="1" t="n"/>
      <c r="Z56" s="50" t="inlineStr">
        <is>
          <t>ADJUSTMENTS (-)</t>
        </is>
      </c>
      <c r="AA56" s="115">
        <f>AA61+AA65</f>
        <v/>
      </c>
      <c r="AB56" s="102" t="inlineStr">
        <is>
          <t>MARKETING FEE &amp; MEDISAVE ADMIN</t>
        </is>
      </c>
      <c r="AC56" s="1" t="n"/>
      <c r="AD56" s="1" t="n"/>
      <c r="AE56" s="50" t="inlineStr">
        <is>
          <t>ADJUSTMENTS (-)</t>
        </is>
      </c>
      <c r="AF56" s="116">
        <f>AF61+AF65</f>
        <v/>
      </c>
      <c r="AG56" s="102" t="inlineStr">
        <is>
          <t>MARKETING FEE &amp; MEDISAVE ADMIN</t>
        </is>
      </c>
      <c r="AH56" s="1" t="n"/>
      <c r="AI56" s="1" t="n"/>
      <c r="AJ56" s="31" t="n"/>
      <c r="AK56" s="100" t="n"/>
      <c r="AL56" s="90" t="n"/>
      <c r="AM56" s="1" t="n"/>
      <c r="AN56" s="1" t="n"/>
      <c r="AO56" s="50" t="inlineStr">
        <is>
          <t>ADJUSTMENTS (-)</t>
        </is>
      </c>
      <c r="AP56" s="116">
        <f>AP61+AP65</f>
        <v/>
      </c>
      <c r="AQ56" s="102" t="inlineStr">
        <is>
          <t>MARKETING FEE &amp; MEDISAVE ADMIN</t>
        </is>
      </c>
      <c r="AR56" s="1" t="n"/>
      <c r="AS56" s="1" t="n"/>
      <c r="AT56" s="50" t="inlineStr">
        <is>
          <t>ADJUSTMENTS (-)</t>
        </is>
      </c>
      <c r="AU56" s="116">
        <f>AU61+AU65</f>
        <v/>
      </c>
      <c r="AV56" s="102" t="inlineStr">
        <is>
          <t>MARKETING FEE &amp; MEDISAVE ADMIN</t>
        </is>
      </c>
      <c r="AW56" s="1" t="n"/>
      <c r="AX56" s="1" t="n"/>
      <c r="AY56" s="50" t="inlineStr">
        <is>
          <t>ADJUSTMENTS (-)</t>
        </is>
      </c>
      <c r="AZ56" s="116">
        <f>AZ61+AZ65</f>
        <v/>
      </c>
      <c r="BA56" s="102" t="inlineStr">
        <is>
          <t>MARKETING FEE &amp; MEDISAVE ADMIN</t>
        </is>
      </c>
    </row>
    <row r="57" ht="30.75" customHeight="1" s="220">
      <c r="A57" s="1" t="n"/>
      <c r="B57" s="96" t="inlineStr">
        <is>
          <t>ABUTMENT</t>
        </is>
      </c>
      <c r="C57" s="97">
        <f>O39+G39+K39+S61+AA39+W39+AF39+AK61</f>
        <v/>
      </c>
      <c r="D57" s="1" t="n"/>
      <c r="E57" s="1" t="n"/>
      <c r="F57" s="50" t="inlineStr">
        <is>
          <t>NET PAY</t>
        </is>
      </c>
      <c r="G57" s="111">
        <f>G54-G56</f>
        <v/>
      </c>
      <c r="H57" s="90" t="n"/>
      <c r="I57" s="1" t="n"/>
      <c r="J57" s="50" t="inlineStr">
        <is>
          <t>NET PAY</t>
        </is>
      </c>
      <c r="K57" s="111">
        <f>K54-K56</f>
        <v/>
      </c>
      <c r="L57" s="90" t="n"/>
      <c r="M57" s="1" t="n"/>
      <c r="N57" s="50" t="inlineStr">
        <is>
          <t>NET PAY</t>
        </is>
      </c>
      <c r="O57" s="111">
        <f>O54-O56</f>
        <v/>
      </c>
      <c r="P57" s="90" t="n"/>
      <c r="Q57" s="1" t="n"/>
      <c r="R57" s="31" t="n"/>
      <c r="S57" s="100" t="n"/>
      <c r="T57" s="90" t="n"/>
      <c r="U57" s="1" t="n"/>
      <c r="V57" s="50" t="inlineStr">
        <is>
          <t>NET PAY</t>
        </is>
      </c>
      <c r="W57" s="111">
        <f>W54-W56</f>
        <v/>
      </c>
      <c r="X57" s="90" t="n"/>
      <c r="Y57" s="1" t="n"/>
      <c r="Z57" s="50" t="inlineStr">
        <is>
          <t>NET PAY</t>
        </is>
      </c>
      <c r="AA57" s="111">
        <f>AA54-AA56</f>
        <v/>
      </c>
      <c r="AB57" s="90" t="n"/>
      <c r="AC57" s="1" t="n"/>
      <c r="AD57" s="1" t="n"/>
      <c r="AE57" s="50" t="inlineStr">
        <is>
          <t>NET PAY</t>
        </is>
      </c>
      <c r="AF57" s="111">
        <f>AF54-AF56</f>
        <v/>
      </c>
      <c r="AG57" s="90" t="n"/>
      <c r="AH57" s="1" t="n"/>
      <c r="AI57" s="1" t="n"/>
      <c r="AJ57" s="31" t="n"/>
      <c r="AK57" s="100" t="n"/>
      <c r="AL57" s="90" t="n"/>
      <c r="AM57" s="1" t="n"/>
      <c r="AN57" s="1" t="n"/>
      <c r="AO57" s="50" t="inlineStr">
        <is>
          <t>NET PAY</t>
        </is>
      </c>
      <c r="AP57" s="111">
        <f>AP54-AP56</f>
        <v/>
      </c>
      <c r="AQ57" s="90" t="n"/>
      <c r="AR57" s="1" t="n"/>
      <c r="AS57" s="1" t="n"/>
      <c r="AT57" s="50" t="inlineStr">
        <is>
          <t>NET PAY</t>
        </is>
      </c>
      <c r="AU57" s="111">
        <f>AU54-AU56</f>
        <v/>
      </c>
      <c r="AV57" s="90" t="n"/>
      <c r="AW57" s="1" t="n"/>
      <c r="AX57" s="1" t="n"/>
      <c r="AY57" s="50" t="inlineStr">
        <is>
          <t>NET PAY</t>
        </is>
      </c>
      <c r="AZ57" s="111">
        <f>AZ54-AZ56</f>
        <v/>
      </c>
      <c r="BA57" s="90" t="n"/>
    </row>
    <row r="58" ht="30.75" customHeight="1" s="220">
      <c r="A58" s="1" t="inlineStr">
        <is>
          <t> </t>
        </is>
      </c>
      <c r="B58" s="96" t="inlineStr">
        <is>
          <t>REFUND / REFERRAL</t>
        </is>
      </c>
      <c r="C58" s="97">
        <f>G47+K47+O47+S69+W47+AA47+AF47+AK69</f>
        <v/>
      </c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31" t="inlineStr">
        <is>
          <t>ICC-5</t>
        </is>
      </c>
      <c r="S58" s="100" t="n"/>
      <c r="T58" s="90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31" t="inlineStr">
        <is>
          <t>ICC-5</t>
        </is>
      </c>
      <c r="AK58" s="100" t="n"/>
      <c r="AL58" s="90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</row>
    <row r="59" ht="30.75" customHeight="1" s="220">
      <c r="A59" s="1" t="n"/>
      <c r="B59" s="96" t="inlineStr">
        <is>
          <t>DOCTORS PAY</t>
        </is>
      </c>
      <c r="C59" s="97">
        <f>G54+K54+O54+W54+AA54+AF54+AP54+AU54+AZ54</f>
        <v/>
      </c>
      <c r="D59" s="1" t="n"/>
      <c r="E59" s="1" t="n"/>
      <c r="F59" s="117" t="inlineStr">
        <is>
          <t>MEDISAVE ADMIN FEE CALCULATION:</t>
        </is>
      </c>
      <c r="G59" s="1" t="n"/>
      <c r="H59" s="1" t="n"/>
      <c r="I59" s="1" t="n"/>
      <c r="J59" s="117" t="inlineStr">
        <is>
          <t>MEDISAVE ADMIN FEE CALCULATION:</t>
        </is>
      </c>
      <c r="K59" s="1" t="n"/>
      <c r="L59" s="1" t="n"/>
      <c r="M59" s="1" t="n"/>
      <c r="N59" s="117" t="inlineStr">
        <is>
          <t>MEDISAVE ADMIN FEE CALCULATION:</t>
        </is>
      </c>
      <c r="O59" s="1" t="n"/>
      <c r="P59" s="1" t="n"/>
      <c r="Q59" s="1" t="n"/>
      <c r="R59" s="31" t="inlineStr">
        <is>
          <t>PRODUCTS</t>
        </is>
      </c>
      <c r="S59" s="100" t="n"/>
      <c r="T59" s="90" t="n"/>
      <c r="U59" s="1" t="n"/>
      <c r="V59" s="117" t="inlineStr">
        <is>
          <t>MEDISAVE ADMIN FEE CALCULATION:</t>
        </is>
      </c>
      <c r="W59" s="1" t="n"/>
      <c r="X59" s="1" t="n"/>
      <c r="Y59" s="1" t="n"/>
      <c r="Z59" s="117" t="inlineStr">
        <is>
          <t>MEDISAVE ADMIN FEE CALCULATION:</t>
        </is>
      </c>
      <c r="AA59" s="1" t="n"/>
      <c r="AB59" s="1" t="n"/>
      <c r="AC59" s="1" t="n"/>
      <c r="AD59" s="1" t="n"/>
      <c r="AE59" s="117" t="inlineStr">
        <is>
          <t>MEDISAVE ADMIN FEE CALCULATION:</t>
        </is>
      </c>
      <c r="AF59" s="1" t="n"/>
      <c r="AG59" s="1" t="n"/>
      <c r="AH59" s="1" t="n"/>
      <c r="AI59" s="1" t="n"/>
      <c r="AJ59" s="31" t="inlineStr">
        <is>
          <t>PRODUCTS</t>
        </is>
      </c>
      <c r="AK59" s="100" t="n"/>
      <c r="AL59" s="90" t="n"/>
      <c r="AM59" s="1" t="n"/>
      <c r="AN59" s="1" t="n"/>
      <c r="AO59" s="117" t="inlineStr">
        <is>
          <t>MEDISAVE ADMIN FEE CALCULATION:</t>
        </is>
      </c>
      <c r="AP59" s="1" t="n"/>
      <c r="AQ59" s="1" t="n"/>
      <c r="AR59" s="1" t="n"/>
      <c r="AS59" s="1" t="n"/>
      <c r="AT59" s="117" t="inlineStr">
        <is>
          <t>MEDISAVE ADMIN FEE CALCULATION:</t>
        </is>
      </c>
      <c r="AU59" s="1" t="n"/>
      <c r="AV59" s="1" t="n"/>
      <c r="AW59" s="1" t="n"/>
      <c r="AX59" s="1" t="n"/>
      <c r="AY59" s="117" t="inlineStr">
        <is>
          <t>MEDISAVE ADMIN FEE CALCULATION:</t>
        </is>
      </c>
      <c r="AZ59" s="1" t="n"/>
      <c r="BA59" s="1" t="n"/>
    </row>
    <row r="60" ht="30.75" customHeight="1" s="220">
      <c r="A60" s="1" t="n"/>
      <c r="B60" s="96" t="inlineStr">
        <is>
          <t>NURSE PAY (BASIC PAY)</t>
        </is>
      </c>
      <c r="C60" s="97" t="n"/>
      <c r="D60" s="1" t="n"/>
      <c r="E60" s="1" t="n"/>
      <c r="F60" s="118" t="inlineStr">
        <is>
          <t>Medisave Claim</t>
        </is>
      </c>
      <c r="G60" s="119" t="inlineStr">
        <is>
          <t>Admin Fee</t>
        </is>
      </c>
      <c r="H60" s="119" t="inlineStr">
        <is>
          <t>REMARKS</t>
        </is>
      </c>
      <c r="I60" s="1" t="n"/>
      <c r="J60" s="118" t="inlineStr">
        <is>
          <t>Medisave Claim</t>
        </is>
      </c>
      <c r="K60" s="119" t="inlineStr">
        <is>
          <t>Admin Fee</t>
        </is>
      </c>
      <c r="L60" s="119" t="inlineStr">
        <is>
          <t>REMARKS</t>
        </is>
      </c>
      <c r="M60" s="1" t="n"/>
      <c r="N60" s="118" t="inlineStr">
        <is>
          <t>Medisave Claim</t>
        </is>
      </c>
      <c r="O60" s="119" t="inlineStr">
        <is>
          <t>Admin Fee</t>
        </is>
      </c>
      <c r="P60" s="119" t="inlineStr">
        <is>
          <t>REMARKS</t>
        </is>
      </c>
      <c r="Q60" s="1" t="n"/>
      <c r="R60" s="31" t="inlineStr">
        <is>
          <t>ORTHO (B+B)</t>
        </is>
      </c>
      <c r="S60" s="100" t="n"/>
      <c r="T60" s="90" t="n"/>
      <c r="U60" s="1" t="n"/>
      <c r="V60" s="118" t="inlineStr">
        <is>
          <t>Medisave Claim</t>
        </is>
      </c>
      <c r="W60" s="119" t="inlineStr">
        <is>
          <t>Admin Fee</t>
        </is>
      </c>
      <c r="X60" s="119" t="inlineStr">
        <is>
          <t>REMARKS</t>
        </is>
      </c>
      <c r="Y60" s="1" t="n"/>
      <c r="Z60" s="118" t="inlineStr">
        <is>
          <t>Medisave Claim</t>
        </is>
      </c>
      <c r="AA60" s="119" t="inlineStr">
        <is>
          <t>Admin Fee</t>
        </is>
      </c>
      <c r="AB60" s="119" t="inlineStr">
        <is>
          <t>REMARKS</t>
        </is>
      </c>
      <c r="AC60" s="1" t="n"/>
      <c r="AD60" s="1" t="n"/>
      <c r="AE60" s="118" t="inlineStr">
        <is>
          <t>Medisave Claim</t>
        </is>
      </c>
      <c r="AF60" s="119" t="inlineStr">
        <is>
          <t>Admin Fee</t>
        </is>
      </c>
      <c r="AG60" s="119" t="inlineStr">
        <is>
          <t>REMARKS</t>
        </is>
      </c>
      <c r="AH60" s="1" t="n"/>
      <c r="AI60" s="1" t="n"/>
      <c r="AJ60" s="31" t="inlineStr">
        <is>
          <t>ORTHO (B+B)</t>
        </is>
      </c>
      <c r="AK60" s="100" t="n"/>
      <c r="AL60" s="90" t="n"/>
      <c r="AM60" s="1" t="n"/>
      <c r="AN60" s="1" t="n"/>
      <c r="AO60" s="118" t="inlineStr">
        <is>
          <t>Medisave Claim</t>
        </is>
      </c>
      <c r="AP60" s="119" t="inlineStr">
        <is>
          <t>Admin Fee</t>
        </is>
      </c>
      <c r="AQ60" s="119" t="inlineStr">
        <is>
          <t>REMARKS</t>
        </is>
      </c>
      <c r="AR60" s="1" t="n"/>
      <c r="AS60" s="1" t="n"/>
      <c r="AT60" s="118" t="inlineStr">
        <is>
          <t>Medisave Claim</t>
        </is>
      </c>
      <c r="AU60" s="119" t="inlineStr">
        <is>
          <t>Admin Fee</t>
        </is>
      </c>
      <c r="AV60" s="119" t="inlineStr">
        <is>
          <t>REMARKS</t>
        </is>
      </c>
      <c r="AW60" s="1" t="n"/>
      <c r="AX60" s="1" t="n"/>
      <c r="AY60" s="118" t="inlineStr">
        <is>
          <t>Medisave Claim</t>
        </is>
      </c>
      <c r="AZ60" s="119" t="inlineStr">
        <is>
          <t>Admin Fee</t>
        </is>
      </c>
      <c r="BA60" s="119" t="inlineStr">
        <is>
          <t>REMARKS</t>
        </is>
      </c>
    </row>
    <row r="61" ht="30.75" customHeight="1" s="220">
      <c r="A61" s="1" t="n"/>
      <c r="B61" s="96" t="inlineStr">
        <is>
          <t>NURSE PAY (INCENTIVE)</t>
        </is>
      </c>
      <c r="C61" s="97" t="n"/>
      <c r="D61" s="1" t="n"/>
      <c r="E61" s="1" t="n"/>
      <c r="F61" s="120" t="n"/>
      <c r="G61" s="121">
        <f>F61*20</f>
        <v/>
      </c>
      <c r="H61" s="121" t="n"/>
      <c r="I61" s="1" t="n"/>
      <c r="J61" s="120" t="n"/>
      <c r="K61" s="121">
        <f>J61*20</f>
        <v/>
      </c>
      <c r="L61" s="121" t="n"/>
      <c r="M61" s="1" t="n"/>
      <c r="N61" s="120" t="n"/>
      <c r="O61" s="121">
        <f>N61*20</f>
        <v/>
      </c>
      <c r="P61" s="121" t="n"/>
      <c r="Q61" s="1" t="n"/>
      <c r="R61" s="31" t="inlineStr">
        <is>
          <t>ABUTMENTS</t>
        </is>
      </c>
      <c r="S61" s="100" t="n"/>
      <c r="T61" s="90" t="n"/>
      <c r="U61" s="1" t="n"/>
      <c r="V61" s="120" t="n"/>
      <c r="W61" s="121">
        <f>V61*20</f>
        <v/>
      </c>
      <c r="X61" s="121" t="n"/>
      <c r="Y61" s="1" t="n"/>
      <c r="Z61" s="120" t="n"/>
      <c r="AA61" s="121">
        <f>Z61*20</f>
        <v/>
      </c>
      <c r="AB61" s="121" t="n"/>
      <c r="AC61" s="1" t="n"/>
      <c r="AD61" s="1" t="n"/>
      <c r="AE61" s="120" t="n"/>
      <c r="AF61" s="121">
        <f>AE61*20</f>
        <v/>
      </c>
      <c r="AG61" s="121" t="n"/>
      <c r="AH61" s="1" t="n"/>
      <c r="AI61" s="1" t="n"/>
      <c r="AJ61" s="31" t="inlineStr">
        <is>
          <t>ABUTMENTS</t>
        </is>
      </c>
      <c r="AK61" s="100" t="n"/>
      <c r="AL61" s="90" t="n"/>
      <c r="AM61" s="1" t="n"/>
      <c r="AN61" s="1" t="n"/>
      <c r="AO61" s="120" t="n"/>
      <c r="AP61" s="121">
        <f>AO61*20</f>
        <v/>
      </c>
      <c r="AQ61" s="121" t="n"/>
      <c r="AR61" s="1" t="n"/>
      <c r="AS61" s="1" t="n"/>
      <c r="AT61" s="120" t="n"/>
      <c r="AU61" s="121">
        <f>AT61*20</f>
        <v/>
      </c>
      <c r="AV61" s="121" t="n"/>
      <c r="AW61" s="1" t="n"/>
      <c r="AX61" s="1" t="n"/>
      <c r="AY61" s="120" t="n"/>
      <c r="AZ61" s="121">
        <f>AY61*20</f>
        <v/>
      </c>
      <c r="BA61" s="121" t="n"/>
    </row>
    <row r="62" ht="30.75" customHeight="1" s="220">
      <c r="A62" s="1" t="n"/>
      <c r="B62" s="96" t="inlineStr">
        <is>
          <t>NURSE TRANSFER FEE</t>
        </is>
      </c>
      <c r="C62" s="97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31" t="inlineStr">
        <is>
          <t>IMPLANT</t>
        </is>
      </c>
      <c r="S62" s="100" t="n"/>
      <c r="T62" s="90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31" t="inlineStr">
        <is>
          <t>IMPLANT</t>
        </is>
      </c>
      <c r="AK62" s="100" t="n"/>
      <c r="AL62" s="90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</row>
    <row r="63" ht="30.75" customHeight="1" s="220">
      <c r="A63" s="1" t="inlineStr">
        <is>
          <t> </t>
        </is>
      </c>
      <c r="B63" s="96" t="inlineStr">
        <is>
          <t>TANK CULTURE</t>
        </is>
      </c>
      <c r="C63" s="97" t="n">
        <v>163.5</v>
      </c>
      <c r="D63" s="1" t="n"/>
      <c r="E63" s="1" t="n"/>
      <c r="F63" s="122" t="inlineStr">
        <is>
          <t>ADDITIONAL MARKETING:</t>
        </is>
      </c>
      <c r="G63" s="1" t="n"/>
      <c r="H63" s="1" t="n"/>
      <c r="I63" s="1" t="n"/>
      <c r="J63" s="122" t="inlineStr">
        <is>
          <t>ADDITIONAL MARKETING:</t>
        </is>
      </c>
      <c r="K63" s="1" t="n"/>
      <c r="L63" s="1" t="n"/>
      <c r="M63" s="1" t="n"/>
      <c r="N63" s="122" t="inlineStr">
        <is>
          <t>ADDITIONAL MARKETING:</t>
        </is>
      </c>
      <c r="O63" s="1" t="n"/>
      <c r="P63" s="1" t="n"/>
      <c r="Q63" s="1" t="n"/>
      <c r="R63" s="31" t="inlineStr">
        <is>
          <t>SKY LAB</t>
        </is>
      </c>
      <c r="S63" s="100" t="n"/>
      <c r="T63" s="90" t="n"/>
      <c r="U63" s="1" t="n"/>
      <c r="V63" s="122" t="inlineStr">
        <is>
          <t>ADDITIONAL MARKETING:</t>
        </is>
      </c>
      <c r="W63" s="1" t="n"/>
      <c r="X63" s="1" t="n"/>
      <c r="Y63" s="1" t="n"/>
      <c r="Z63" s="122" t="inlineStr">
        <is>
          <t>ADDITIONAL MARKETING:</t>
        </is>
      </c>
      <c r="AA63" s="1" t="n"/>
      <c r="AB63" s="1" t="n"/>
      <c r="AC63" s="1" t="n"/>
      <c r="AD63" s="1" t="n"/>
      <c r="AE63" s="122" t="inlineStr">
        <is>
          <t>ADDITIONAL MARKETING:</t>
        </is>
      </c>
      <c r="AF63" s="1" t="n"/>
      <c r="AG63" s="1" t="n"/>
      <c r="AH63" s="1" t="n"/>
      <c r="AI63" s="1" t="n"/>
      <c r="AJ63" s="31" t="inlineStr">
        <is>
          <t>SKY LAB</t>
        </is>
      </c>
      <c r="AK63" s="100" t="n"/>
      <c r="AL63" s="90" t="n"/>
      <c r="AM63" s="1" t="n"/>
      <c r="AN63" s="1" t="n"/>
      <c r="AO63" s="122" t="inlineStr">
        <is>
          <t>ADDITIONAL MARKETING:</t>
        </is>
      </c>
      <c r="AP63" s="1" t="n"/>
      <c r="AQ63" s="1" t="n"/>
      <c r="AR63" s="1" t="n"/>
      <c r="AS63" s="1" t="n"/>
      <c r="AT63" s="122" t="inlineStr">
        <is>
          <t>ADDITIONAL MARKETING:</t>
        </is>
      </c>
      <c r="AU63" s="1" t="n"/>
      <c r="AV63" s="1" t="n"/>
      <c r="AW63" s="1" t="n"/>
      <c r="AX63" s="1" t="n"/>
      <c r="AY63" s="122" t="inlineStr">
        <is>
          <t>ADDITIONAL MARKETING:</t>
        </is>
      </c>
      <c r="AZ63" s="1" t="n"/>
      <c r="BA63" s="1" t="n"/>
    </row>
    <row r="64" ht="30.75" customHeight="1" s="220">
      <c r="A64" s="1" t="inlineStr">
        <is>
          <t> </t>
        </is>
      </c>
      <c r="B64" s="96" t="inlineStr">
        <is>
          <t>SHARP BIN</t>
        </is>
      </c>
      <c r="C64" s="97" t="n"/>
      <c r="D64" s="1" t="n"/>
      <c r="E64" s="1" t="n"/>
      <c r="F64" s="123" t="inlineStr">
        <is>
          <t xml:space="preserve">MONTH </t>
        </is>
      </c>
      <c r="G64" s="124" t="inlineStr">
        <is>
          <t>AMOUNT</t>
        </is>
      </c>
      <c r="H64" s="124" t="inlineStr">
        <is>
          <t>REMARKS</t>
        </is>
      </c>
      <c r="I64" s="1" t="n"/>
      <c r="J64" s="123" t="inlineStr">
        <is>
          <t xml:space="preserve">MONTH </t>
        </is>
      </c>
      <c r="K64" s="124" t="inlineStr">
        <is>
          <t>AMOUNT</t>
        </is>
      </c>
      <c r="L64" s="124" t="inlineStr">
        <is>
          <t>REMARKS</t>
        </is>
      </c>
      <c r="M64" s="1" t="n"/>
      <c r="N64" s="123" t="inlineStr">
        <is>
          <t xml:space="preserve">MONTH </t>
        </is>
      </c>
      <c r="O64" s="124" t="inlineStr">
        <is>
          <t>AMOUNT</t>
        </is>
      </c>
      <c r="P64" s="124" t="inlineStr">
        <is>
          <t>REMARKS</t>
        </is>
      </c>
      <c r="Q64" s="1" t="n"/>
      <c r="R64" s="31" t="inlineStr">
        <is>
          <t>DIGICADCAM</t>
        </is>
      </c>
      <c r="S64" s="100" t="n"/>
      <c r="T64" s="90" t="n"/>
      <c r="U64" s="1" t="n"/>
      <c r="V64" s="123" t="inlineStr">
        <is>
          <t xml:space="preserve">MONTH </t>
        </is>
      </c>
      <c r="W64" s="124" t="inlineStr">
        <is>
          <t>AMOUNT</t>
        </is>
      </c>
      <c r="X64" s="124" t="inlineStr">
        <is>
          <t>REMARKS</t>
        </is>
      </c>
      <c r="Y64" s="1" t="n"/>
      <c r="Z64" s="123" t="inlineStr">
        <is>
          <t xml:space="preserve">MONTH </t>
        </is>
      </c>
      <c r="AA64" s="124" t="inlineStr">
        <is>
          <t>AMOUNT</t>
        </is>
      </c>
      <c r="AB64" s="124" t="inlineStr">
        <is>
          <t>REMARKS</t>
        </is>
      </c>
      <c r="AC64" s="1" t="n"/>
      <c r="AD64" s="1" t="n"/>
      <c r="AE64" s="123" t="inlineStr">
        <is>
          <t xml:space="preserve">MONTH </t>
        </is>
      </c>
      <c r="AF64" s="124" t="inlineStr">
        <is>
          <t>AMOUNT</t>
        </is>
      </c>
      <c r="AG64" s="124" t="inlineStr">
        <is>
          <t>REMARKS</t>
        </is>
      </c>
      <c r="AH64" s="1" t="n"/>
      <c r="AI64" s="1" t="n"/>
      <c r="AJ64" s="31" t="inlineStr">
        <is>
          <t>DIGICADCAM</t>
        </is>
      </c>
      <c r="AK64" s="100" t="n"/>
      <c r="AL64" s="90" t="n"/>
      <c r="AM64" s="1" t="n"/>
      <c r="AN64" s="1" t="n"/>
      <c r="AO64" s="123" t="inlineStr">
        <is>
          <t xml:space="preserve">MONTH </t>
        </is>
      </c>
      <c r="AP64" s="124" t="inlineStr">
        <is>
          <t>AMOUNT</t>
        </is>
      </c>
      <c r="AQ64" s="124" t="inlineStr">
        <is>
          <t>REMARKS</t>
        </is>
      </c>
      <c r="AR64" s="1" t="n"/>
      <c r="AS64" s="1" t="n"/>
      <c r="AT64" s="123" t="inlineStr">
        <is>
          <t xml:space="preserve">MONTH </t>
        </is>
      </c>
      <c r="AU64" s="124" t="inlineStr">
        <is>
          <t>AMOUNT</t>
        </is>
      </c>
      <c r="AV64" s="124" t="inlineStr">
        <is>
          <t>REMARKS</t>
        </is>
      </c>
      <c r="AW64" s="1" t="n"/>
      <c r="AX64" s="1" t="n"/>
      <c r="AY64" s="123" t="inlineStr">
        <is>
          <t xml:space="preserve">MONTH </t>
        </is>
      </c>
      <c r="AZ64" s="124" t="inlineStr">
        <is>
          <t>AMOUNT</t>
        </is>
      </c>
      <c r="BA64" s="124" t="inlineStr">
        <is>
          <t>REMARKS</t>
        </is>
      </c>
    </row>
    <row r="65" ht="41.25" customHeight="1" s="220">
      <c r="A65" s="1" t="n"/>
      <c r="B65" s="96" t="inlineStr">
        <is>
          <t>COURIER</t>
        </is>
      </c>
      <c r="C65" s="97" t="n">
        <v>129.44</v>
      </c>
      <c r="D65" s="1" t="n"/>
      <c r="E65" s="1" t="n"/>
      <c r="F65" s="125">
        <f>B3</f>
        <v/>
      </c>
      <c r="G65" s="128" t="n"/>
      <c r="H65" s="127" t="n"/>
      <c r="I65" s="1" t="n"/>
      <c r="J65" s="125">
        <f>F65</f>
        <v/>
      </c>
      <c r="K65" s="128" t="n">
        <v>180</v>
      </c>
      <c r="L65" s="127" t="n"/>
      <c r="M65" s="1" t="n"/>
      <c r="N65" s="125">
        <f>F65</f>
        <v/>
      </c>
      <c r="O65" s="128" t="n">
        <v>150</v>
      </c>
      <c r="P65" s="127" t="n"/>
      <c r="Q65" s="1" t="n"/>
      <c r="R65" s="31" t="inlineStr">
        <is>
          <t>OTHER LAB</t>
        </is>
      </c>
      <c r="S65" s="100" t="n"/>
      <c r="T65" s="90" t="n"/>
      <c r="U65" s="1" t="n"/>
      <c r="V65" s="125">
        <f>V3</f>
        <v/>
      </c>
      <c r="W65" s="128" t="n">
        <v>120</v>
      </c>
      <c r="X65" s="127" t="n"/>
      <c r="Y65" s="1" t="n"/>
      <c r="Z65" s="125">
        <f>V65</f>
        <v/>
      </c>
      <c r="AA65" s="128" t="n"/>
      <c r="AB65" s="127" t="n"/>
      <c r="AC65" s="1" t="n"/>
      <c r="AD65" s="1" t="n"/>
      <c r="AE65" s="125">
        <f>AE3</f>
        <v/>
      </c>
      <c r="AF65" s="128" t="n">
        <v>60</v>
      </c>
      <c r="AG65" s="127" t="n"/>
      <c r="AH65" s="1" t="n"/>
      <c r="AI65" s="1" t="n"/>
      <c r="AJ65" s="31" t="inlineStr">
        <is>
          <t>OTHER LAB</t>
        </is>
      </c>
      <c r="AK65" s="100" t="n"/>
      <c r="AL65" s="90" t="n"/>
      <c r="AM65" s="1" t="n"/>
      <c r="AN65" s="1" t="n"/>
      <c r="AO65" s="125">
        <f>AO3</f>
        <v/>
      </c>
      <c r="AP65" s="128" t="n"/>
      <c r="AQ65" s="127" t="n"/>
      <c r="AR65" s="1" t="n"/>
      <c r="AS65" s="1" t="n"/>
      <c r="AT65" s="125">
        <f>AT3</f>
        <v/>
      </c>
      <c r="AU65" s="128" t="n"/>
      <c r="AV65" s="127" t="n"/>
      <c r="AW65" s="1" t="n"/>
      <c r="AX65" s="1" t="n"/>
      <c r="AY65" s="125">
        <f>AY3</f>
        <v/>
      </c>
      <c r="AZ65" s="128" t="n"/>
      <c r="BA65" s="127" t="n"/>
    </row>
    <row r="66" ht="36" customHeight="1" s="220">
      <c r="A66" s="1" t="n"/>
      <c r="B66" s="96" t="inlineStr">
        <is>
          <t>REPAIR &amp; MAINTENANCE</t>
        </is>
      </c>
      <c r="C66" s="97" t="n"/>
      <c r="D66" s="2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31" t="inlineStr">
        <is>
          <t>INVISALIGN</t>
        </is>
      </c>
      <c r="S66" s="100" t="n"/>
      <c r="T66" s="90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31" t="inlineStr">
        <is>
          <t>INVISALIGN</t>
        </is>
      </c>
      <c r="AK66" s="100" t="n"/>
      <c r="AL66" s="90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</row>
    <row r="67" ht="33" customHeight="1" s="220">
      <c r="A67" s="1" t="n"/>
      <c r="B67" s="131" t="inlineStr">
        <is>
          <t>MOM LEVY</t>
        </is>
      </c>
      <c r="C67" s="130">
        <f>400+600</f>
        <v/>
      </c>
      <c r="D67" s="1" t="n"/>
      <c r="E67" s="1" t="n"/>
      <c r="F67" s="122" t="inlineStr">
        <is>
          <t>OTHERS: (CPF,PERSONAL REFUND, COURSEFEE)</t>
        </is>
      </c>
      <c r="G67" s="1" t="n"/>
      <c r="H67" s="1" t="n"/>
      <c r="I67" s="1" t="n"/>
      <c r="J67" s="122" t="inlineStr">
        <is>
          <t>OTHERS: (CPF,PERSONAL REFUND, COURSEFEE)</t>
        </is>
      </c>
      <c r="K67" s="1" t="n"/>
      <c r="L67" s="1" t="n"/>
      <c r="M67" s="1" t="n"/>
      <c r="N67" s="122" t="inlineStr">
        <is>
          <t>OTHERS: (CPF,PERSONAL REFUND, COURSEFEE)</t>
        </is>
      </c>
      <c r="O67" s="1" t="n"/>
      <c r="P67" s="1" t="n"/>
      <c r="Q67" s="1" t="n"/>
      <c r="R67" s="31" t="inlineStr">
        <is>
          <t>TRANSFER (+)</t>
        </is>
      </c>
      <c r="S67" s="100" t="n"/>
      <c r="T67" s="90" t="n"/>
      <c r="U67" s="1" t="n"/>
      <c r="V67" s="122" t="inlineStr">
        <is>
          <t>OTHERS: (CPF,PERSONAL REFUND, COURSEFEE)</t>
        </is>
      </c>
      <c r="W67" s="1" t="n"/>
      <c r="X67" s="1" t="n"/>
      <c r="Y67" s="1" t="n"/>
      <c r="Z67" s="122" t="inlineStr">
        <is>
          <t>OTHERS: (CPF,PERSONAL REFUND, COURSEFEE)</t>
        </is>
      </c>
      <c r="AA67" s="1" t="n"/>
      <c r="AB67" s="1" t="n"/>
      <c r="AC67" s="1" t="n"/>
      <c r="AD67" s="1" t="n"/>
      <c r="AE67" s="122" t="inlineStr">
        <is>
          <t>OTHERS: (CPF,PERSONAL REFUND, COURSEFEE)</t>
        </is>
      </c>
      <c r="AF67" s="1" t="n"/>
      <c r="AG67" s="1" t="n"/>
      <c r="AH67" s="1" t="n"/>
      <c r="AI67" s="1" t="n"/>
      <c r="AJ67" s="31" t="inlineStr">
        <is>
          <t>TRANSFER (+)</t>
        </is>
      </c>
      <c r="AK67" s="100" t="n"/>
      <c r="AL67" s="98" t="n"/>
      <c r="AM67" s="1" t="n"/>
      <c r="AN67" s="1" t="n"/>
      <c r="AO67" s="122" t="inlineStr">
        <is>
          <t>OTHERS: (CPF,PERSONAL REFUND, COURSEFEE)</t>
        </is>
      </c>
      <c r="AP67" s="1" t="n"/>
      <c r="AQ67" s="1" t="n"/>
      <c r="AR67" s="1" t="n"/>
      <c r="AS67" s="1" t="n"/>
      <c r="AT67" s="122" t="inlineStr">
        <is>
          <t>OTHERS: (CPF,PERSONAL REFUND, COURSEFEE)</t>
        </is>
      </c>
      <c r="AU67" s="1" t="n"/>
      <c r="AV67" s="1" t="n"/>
      <c r="AW67" s="1" t="n"/>
      <c r="AX67" s="1" t="n"/>
      <c r="AY67" s="122" t="inlineStr">
        <is>
          <t>OTHERS: (CPF,PERSONAL REFUND, COURSEFEE)</t>
        </is>
      </c>
      <c r="AZ67" s="1" t="n"/>
      <c r="BA67" s="1" t="n"/>
    </row>
    <row r="68" ht="33.75" customHeight="1" s="220">
      <c r="A68" s="1" t="n"/>
      <c r="B68" s="90" t="n"/>
      <c r="C68" s="90" t="n"/>
      <c r="D68" s="1" t="n"/>
      <c r="E68" s="1" t="n"/>
      <c r="F68" s="122" t="n"/>
      <c r="G68" s="1" t="n"/>
      <c r="H68" s="1" t="n"/>
      <c r="I68" s="1" t="n"/>
      <c r="J68" s="122" t="n"/>
      <c r="K68" s="1" t="n"/>
      <c r="L68" s="1" t="n"/>
      <c r="M68" s="1" t="n"/>
      <c r="N68" s="122" t="n"/>
      <c r="O68" s="1" t="n"/>
      <c r="P68" s="1" t="n"/>
      <c r="Q68" s="1" t="n"/>
      <c r="R68" s="31" t="inlineStr">
        <is>
          <t>TRANSFER (-)</t>
        </is>
      </c>
      <c r="S68" s="100" t="n"/>
      <c r="T68" s="90" t="n"/>
      <c r="U68" s="1" t="n"/>
      <c r="V68" s="122" t="n"/>
      <c r="W68" s="1" t="n"/>
      <c r="X68" s="1" t="n"/>
      <c r="Y68" s="1" t="n"/>
      <c r="Z68" s="122" t="n"/>
      <c r="AA68" s="1" t="n"/>
      <c r="AB68" s="1" t="n"/>
      <c r="AC68" s="1" t="n"/>
      <c r="AD68" s="1" t="n"/>
      <c r="AE68" s="122" t="n"/>
      <c r="AF68" s="1" t="n"/>
      <c r="AG68" s="1" t="n"/>
      <c r="AH68" s="1" t="n"/>
      <c r="AI68" s="1" t="n"/>
      <c r="AJ68" s="31" t="inlineStr">
        <is>
          <t>TRANSFER (-)</t>
        </is>
      </c>
      <c r="AK68" s="100" t="n"/>
      <c r="AL68" s="102" t="n"/>
      <c r="AM68" s="1" t="n"/>
      <c r="AN68" s="1" t="n"/>
      <c r="AO68" s="122" t="n"/>
      <c r="AP68" s="1" t="n"/>
      <c r="AQ68" s="1" t="n"/>
      <c r="AR68" s="1" t="n"/>
      <c r="AS68" s="1" t="n"/>
      <c r="AT68" s="122" t="n"/>
      <c r="AU68" s="1" t="n"/>
      <c r="AV68" s="1" t="n"/>
      <c r="AW68" s="1" t="n"/>
      <c r="AX68" s="1" t="n"/>
      <c r="AY68" s="122" t="n"/>
      <c r="AZ68" s="1" t="n"/>
      <c r="BA68" s="1" t="n"/>
    </row>
    <row r="69" ht="45" customHeight="1" s="220">
      <c r="A69" s="1" t="n"/>
      <c r="B69" s="90" t="n"/>
      <c r="C69" s="90" t="n"/>
      <c r="D69" s="1" t="n"/>
      <c r="E69" s="1" t="n"/>
      <c r="F69" s="134" t="inlineStr">
        <is>
          <t>DETAILS</t>
        </is>
      </c>
      <c r="G69" s="134" t="inlineStr">
        <is>
          <t>AMOUNT</t>
        </is>
      </c>
      <c r="H69" s="127" t="n"/>
      <c r="I69" s="1" t="n"/>
      <c r="J69" s="134" t="inlineStr">
        <is>
          <t>DETAILS</t>
        </is>
      </c>
      <c r="K69" s="134" t="inlineStr">
        <is>
          <t>AMOUNT</t>
        </is>
      </c>
      <c r="L69" s="127" t="n"/>
      <c r="M69" s="1" t="n"/>
      <c r="N69" s="134" t="inlineStr">
        <is>
          <t>DETAILS</t>
        </is>
      </c>
      <c r="O69" s="134" t="inlineStr">
        <is>
          <t>AMOUNT</t>
        </is>
      </c>
      <c r="P69" s="127" t="n"/>
      <c r="Q69" s="1" t="n"/>
      <c r="R69" s="52" t="inlineStr">
        <is>
          <t>REFUND</t>
        </is>
      </c>
      <c r="S69" s="105" t="n"/>
      <c r="T69" s="90" t="n"/>
      <c r="U69" s="1" t="n"/>
      <c r="V69" s="134" t="inlineStr">
        <is>
          <t>DETAILS</t>
        </is>
      </c>
      <c r="W69" s="134" t="inlineStr">
        <is>
          <t>AMOUNT</t>
        </is>
      </c>
      <c r="X69" s="127" t="n"/>
      <c r="Y69" s="1" t="n"/>
      <c r="Z69" s="134" t="inlineStr">
        <is>
          <t>DETAILS</t>
        </is>
      </c>
      <c r="AA69" s="134" t="inlineStr">
        <is>
          <t>AMOUNT</t>
        </is>
      </c>
      <c r="AB69" s="127" t="n"/>
      <c r="AC69" s="1" t="n"/>
      <c r="AD69" s="1" t="n"/>
      <c r="AE69" s="134" t="inlineStr">
        <is>
          <t>DETAILS</t>
        </is>
      </c>
      <c r="AF69" s="134" t="inlineStr">
        <is>
          <t>AMOUNT</t>
        </is>
      </c>
      <c r="AG69" s="127" t="n"/>
      <c r="AH69" s="1" t="n"/>
      <c r="AI69" s="1" t="n"/>
      <c r="AJ69" s="52" t="inlineStr">
        <is>
          <t>REFUND</t>
        </is>
      </c>
      <c r="AK69" s="105" t="n"/>
      <c r="AL69" s="90" t="n"/>
      <c r="AM69" s="1" t="n"/>
      <c r="AN69" s="1" t="n"/>
      <c r="AO69" s="134" t="inlineStr">
        <is>
          <t>DETAILS</t>
        </is>
      </c>
      <c r="AP69" s="134" t="inlineStr">
        <is>
          <t>AMOUNT</t>
        </is>
      </c>
      <c r="AQ69" s="127" t="n"/>
      <c r="AR69" s="1" t="n"/>
      <c r="AS69" s="1" t="n"/>
      <c r="AT69" s="134" t="inlineStr">
        <is>
          <t>DETAILS</t>
        </is>
      </c>
      <c r="AU69" s="134" t="inlineStr">
        <is>
          <t>AMOUNT</t>
        </is>
      </c>
      <c r="AV69" s="127" t="n"/>
      <c r="AW69" s="1" t="n"/>
      <c r="AX69" s="1" t="n"/>
      <c r="AY69" s="134" t="inlineStr">
        <is>
          <t>DETAILS</t>
        </is>
      </c>
      <c r="AZ69" s="134" t="inlineStr">
        <is>
          <t>AMOUNT</t>
        </is>
      </c>
      <c r="BA69" s="127" t="n"/>
    </row>
    <row r="70" ht="27.75" customHeight="1" s="220">
      <c r="A70" s="1" t="n"/>
      <c r="B70" s="90" t="n"/>
      <c r="C70" s="90" t="n"/>
      <c r="D70" s="1" t="n"/>
      <c r="E70" s="1" t="n"/>
      <c r="F70" s="134" t="inlineStr">
        <is>
          <t>CPF CONT SALARY</t>
        </is>
      </c>
      <c r="G70" s="134" t="n"/>
      <c r="H70" s="127" t="n"/>
      <c r="I70" s="135" t="n"/>
      <c r="J70" s="134" t="n"/>
      <c r="K70" s="134" t="n"/>
      <c r="L70" s="127" t="n"/>
      <c r="M70" s="135" t="n"/>
      <c r="N70" s="134" t="n"/>
      <c r="O70" s="134" t="n"/>
      <c r="P70" s="127" t="n"/>
      <c r="Q70" s="135" t="n"/>
      <c r="R70" s="52" t="inlineStr">
        <is>
          <t>VOUCHER</t>
        </is>
      </c>
      <c r="S70" s="105" t="n"/>
      <c r="T70" s="90" t="n"/>
      <c r="U70" s="135" t="n"/>
      <c r="V70" s="134" t="n"/>
      <c r="W70" s="134" t="n"/>
      <c r="X70" s="127" t="n"/>
      <c r="Y70" s="136" t="n"/>
      <c r="Z70" s="134" t="n"/>
      <c r="AA70" s="134" t="n"/>
      <c r="AB70" s="127" t="n"/>
      <c r="AC70" s="136" t="n"/>
      <c r="AD70" s="135" t="n"/>
      <c r="AE70" s="134" t="n"/>
      <c r="AF70" s="134" t="n"/>
      <c r="AG70" s="127" t="n"/>
      <c r="AH70" s="1" t="n"/>
      <c r="AI70" s="135" t="n"/>
      <c r="AJ70" s="52" t="inlineStr">
        <is>
          <t>SEDATION</t>
        </is>
      </c>
      <c r="AK70" s="105" t="n"/>
      <c r="AL70" s="90" t="n"/>
      <c r="AM70" s="1" t="n"/>
      <c r="AN70" s="135" t="n"/>
      <c r="AO70" s="134" t="n"/>
      <c r="AP70" s="134" t="n"/>
      <c r="AQ70" s="127" t="n"/>
      <c r="AR70" s="1" t="n"/>
      <c r="AS70" s="135" t="n"/>
      <c r="AT70" s="134" t="n"/>
      <c r="AU70" s="134" t="n"/>
      <c r="AV70" s="127" t="n"/>
      <c r="AW70" s="1" t="n"/>
      <c r="AX70" s="135" t="n"/>
      <c r="AY70" s="134" t="n"/>
      <c r="AZ70" s="134" t="n"/>
      <c r="BA70" s="127" t="n"/>
    </row>
    <row r="71" ht="27.75" customHeight="1" s="220">
      <c r="A71" s="137" t="n"/>
      <c r="B71" s="137" t="n"/>
      <c r="C71" s="137" t="n"/>
      <c r="D71" s="137" t="n"/>
      <c r="E71" s="137" t="n"/>
      <c r="F71" s="134" t="n"/>
      <c r="G71" s="134" t="n"/>
      <c r="H71" s="127" t="n"/>
      <c r="I71" s="138" t="n"/>
      <c r="J71" s="134" t="n"/>
      <c r="K71" s="134" t="n"/>
      <c r="L71" s="127" t="n"/>
      <c r="M71" s="138" t="n"/>
      <c r="N71" s="134" t="n"/>
      <c r="O71" s="134" t="n"/>
      <c r="P71" s="127" t="n"/>
      <c r="Q71" s="138" t="n"/>
      <c r="R71" s="31" t="n"/>
      <c r="S71" s="105" t="n"/>
      <c r="T71" s="90" t="n"/>
      <c r="U71" s="138" t="n"/>
      <c r="V71" s="134" t="n"/>
      <c r="W71" s="134" t="n"/>
      <c r="X71" s="127" t="n"/>
      <c r="Y71" s="138" t="n"/>
      <c r="Z71" s="134" t="n"/>
      <c r="AA71" s="134" t="n"/>
      <c r="AB71" s="127" t="n"/>
      <c r="AC71" s="137" t="n"/>
      <c r="AD71" s="138" t="n"/>
      <c r="AE71" s="134" t="n"/>
      <c r="AF71" s="134" t="n"/>
      <c r="AG71" s="127" t="n"/>
      <c r="AH71" s="137" t="n"/>
      <c r="AI71" s="138" t="n"/>
      <c r="AJ71" s="31" t="inlineStr">
        <is>
          <t>RETAINERS/BT/SPLINT</t>
        </is>
      </c>
      <c r="AK71" s="105" t="n"/>
      <c r="AL71" s="90" t="n"/>
      <c r="AM71" s="137" t="n"/>
      <c r="AN71" s="138" t="n"/>
      <c r="AO71" s="134" t="n"/>
      <c r="AP71" s="134" t="n"/>
      <c r="AQ71" s="127" t="n"/>
      <c r="AR71" s="137" t="n"/>
      <c r="AS71" s="138" t="n"/>
      <c r="AT71" s="134" t="n"/>
      <c r="AU71" s="134" t="n"/>
      <c r="AV71" s="127" t="n"/>
      <c r="AW71" s="137" t="n"/>
      <c r="AX71" s="138" t="n"/>
      <c r="AY71" s="134" t="n"/>
      <c r="AZ71" s="134" t="n"/>
      <c r="BA71" s="127" t="n"/>
    </row>
    <row r="72" ht="46.5" customHeight="1" s="220">
      <c r="A72" s="1" t="n"/>
      <c r="B72" s="139" t="inlineStr">
        <is>
          <t>TOTAL</t>
        </is>
      </c>
      <c r="C72" s="140">
        <f>B31-C34-C35-C58-C36-C37-C42-C43-C38-C46-C39-C45-C48-C49-C51-C50-C55-C54-C53-C59-C60-C61-C62-C47-C63-C40-C64-C41-C67-C66-C65-C90-C91-C92-C93-C94-C95-C68-C69-C70</f>
        <v/>
      </c>
      <c r="D72" s="137" t="n"/>
      <c r="E72" s="1" t="n"/>
      <c r="F72" s="134" t="n"/>
      <c r="G72" s="134" t="n"/>
      <c r="H72" s="127" t="n"/>
      <c r="I72" s="1" t="n"/>
      <c r="J72" s="134" t="n"/>
      <c r="K72" s="134" t="n"/>
      <c r="L72" s="127" t="n"/>
      <c r="M72" s="1" t="n"/>
      <c r="N72" s="134" t="n"/>
      <c r="O72" s="134" t="n"/>
      <c r="P72" s="127" t="n"/>
      <c r="Q72" s="1" t="n"/>
      <c r="R72" s="31" t="n"/>
      <c r="S72" s="105" t="n"/>
      <c r="T72" s="90" t="n"/>
      <c r="U72" s="1" t="n"/>
      <c r="V72" s="134" t="n"/>
      <c r="W72" s="127" t="n"/>
      <c r="X72" s="127" t="n"/>
      <c r="Y72" s="1" t="n"/>
      <c r="Z72" s="134" t="n"/>
      <c r="AA72" s="134" t="n"/>
      <c r="AB72" s="127" t="n"/>
      <c r="AC72" s="1" t="n"/>
      <c r="AD72" s="1" t="n"/>
      <c r="AE72" s="134" t="n"/>
      <c r="AF72" s="134" t="n"/>
      <c r="AG72" s="127" t="n"/>
      <c r="AH72" s="1" t="n"/>
      <c r="AI72" s="1" t="n"/>
      <c r="AJ72" s="31" t="inlineStr">
        <is>
          <t>INSTALLMENT</t>
        </is>
      </c>
      <c r="AK72" s="105" t="n"/>
      <c r="AL72" s="90" t="n"/>
      <c r="AM72" s="1" t="n"/>
      <c r="AN72" s="1" t="n"/>
      <c r="AO72" s="134" t="n"/>
      <c r="AP72" s="134" t="n"/>
      <c r="AQ72" s="127" t="n"/>
      <c r="AR72" s="1" t="n"/>
      <c r="AS72" s="1" t="n"/>
      <c r="AT72" s="134" t="n"/>
      <c r="AU72" s="134" t="n"/>
      <c r="AV72" s="127" t="n"/>
      <c r="AW72" s="1" t="n"/>
      <c r="AX72" s="1" t="n"/>
      <c r="AY72" s="134" t="n"/>
      <c r="AZ72" s="134" t="n"/>
      <c r="BA72" s="127" t="n"/>
    </row>
    <row r="73" ht="31.5" customHeight="1" s="220">
      <c r="A73" s="1" t="n"/>
      <c r="B73" s="141" t="inlineStr">
        <is>
          <t xml:space="preserve">FOR INCENTIVE % </t>
        </is>
      </c>
      <c r="C73" s="142">
        <f>B31-C34-C35-C58-C42-C43-C46-C45-C48-C44-C49-C50-C47-C63-C40-C64-C41-C65-C93-C95-C94-C66-C92-C90</f>
        <v/>
      </c>
      <c r="D73" s="143" t="n"/>
      <c r="E73" s="1" t="n"/>
      <c r="F73" s="134" t="n"/>
      <c r="G73" s="134" t="n"/>
      <c r="H73" s="127" t="n"/>
      <c r="I73" s="1" t="n"/>
      <c r="J73" s="134" t="n"/>
      <c r="K73" s="134" t="n"/>
      <c r="L73" s="127" t="n"/>
      <c r="M73" s="1" t="n"/>
      <c r="N73" s="134" t="n"/>
      <c r="O73" s="134" t="n"/>
      <c r="P73" s="127" t="n"/>
      <c r="Q73" s="1" t="n"/>
      <c r="R73" s="144" t="n"/>
      <c r="S73" s="145" t="n"/>
      <c r="T73" s="90" t="n"/>
      <c r="U73" s="1" t="n"/>
      <c r="V73" s="134" t="n"/>
      <c r="W73" s="134" t="n"/>
      <c r="X73" s="127" t="n"/>
      <c r="Y73" s="1" t="n"/>
      <c r="Z73" s="134" t="n"/>
      <c r="AA73" s="134" t="n"/>
      <c r="AB73" s="127" t="n"/>
      <c r="AC73" s="1" t="n"/>
      <c r="AD73" s="1" t="n"/>
      <c r="AE73" s="134" t="n"/>
      <c r="AF73" s="134" t="n"/>
      <c r="AG73" s="127" t="n"/>
      <c r="AH73" s="1" t="n"/>
      <c r="AI73" s="1" t="n"/>
      <c r="AJ73" s="144" t="inlineStr">
        <is>
          <t>DEDUCTIONS</t>
        </is>
      </c>
      <c r="AK73" s="145" t="n"/>
      <c r="AL73" s="102" t="n"/>
      <c r="AM73" s="1" t="n"/>
      <c r="AN73" s="1" t="n"/>
      <c r="AO73" s="134" t="n"/>
      <c r="AP73" s="134" t="n"/>
      <c r="AQ73" s="127" t="n"/>
      <c r="AR73" s="1" t="n"/>
      <c r="AS73" s="1" t="n"/>
      <c r="AT73" s="134" t="n"/>
      <c r="AU73" s="134" t="n"/>
      <c r="AV73" s="127" t="n"/>
      <c r="AW73" s="1" t="n"/>
      <c r="AX73" s="1" t="n"/>
      <c r="AY73" s="134" t="n"/>
      <c r="AZ73" s="134" t="n"/>
      <c r="BA73" s="127" t="n"/>
    </row>
    <row r="74" ht="31.5" customHeight="1" s="220">
      <c r="A74" s="1" t="n"/>
      <c r="B74" s="146" t="inlineStr">
        <is>
          <t xml:space="preserve">PERCENT </t>
        </is>
      </c>
      <c r="C74" s="147">
        <f>VLOOKUP(C73,'% RATES INCENTIVES'!C:D,2,TRUE)</f>
        <v/>
      </c>
      <c r="D74" s="1" t="n"/>
      <c r="E74" s="1" t="n"/>
      <c r="F74" s="134" t="n"/>
      <c r="G74" s="134" t="n"/>
      <c r="H74" s="127" t="n"/>
      <c r="I74" s="1" t="n"/>
      <c r="J74" s="134" t="n"/>
      <c r="K74" s="134" t="n"/>
      <c r="L74" s="127" t="n"/>
      <c r="M74" s="1" t="n"/>
      <c r="N74" s="134" t="n"/>
      <c r="O74" s="134" t="n"/>
      <c r="P74" s="127" t="n"/>
      <c r="Q74" s="1" t="n"/>
      <c r="R74" s="148" t="n"/>
      <c r="S74" s="148" t="n"/>
      <c r="T74" s="1" t="n"/>
      <c r="U74" s="1" t="n"/>
      <c r="V74" s="134" t="n"/>
      <c r="W74" s="134" t="n"/>
      <c r="X74" s="127" t="n"/>
      <c r="Y74" s="1" t="n"/>
      <c r="Z74" s="134" t="n"/>
      <c r="AA74" s="134" t="n"/>
      <c r="AB74" s="127" t="n"/>
      <c r="AC74" s="1" t="n"/>
      <c r="AD74" s="1" t="n"/>
      <c r="AE74" s="134" t="n"/>
      <c r="AF74" s="134" t="n"/>
      <c r="AG74" s="127" t="n"/>
      <c r="AH74" s="1" t="n"/>
      <c r="AI74" s="1" t="n"/>
      <c r="AJ74" s="148" t="n"/>
      <c r="AK74" s="148" t="n"/>
      <c r="AL74" s="1" t="n"/>
      <c r="AM74" s="1" t="n"/>
      <c r="AN74" s="1" t="n"/>
      <c r="AO74" s="134" t="n"/>
      <c r="AP74" s="134" t="n"/>
      <c r="AQ74" s="127" t="n"/>
      <c r="AR74" s="1" t="n"/>
      <c r="AS74" s="1" t="n"/>
      <c r="AT74" s="134" t="n"/>
      <c r="AU74" s="134" t="n"/>
      <c r="AV74" s="127" t="n"/>
      <c r="AW74" s="1" t="n"/>
      <c r="AX74" s="1" t="n"/>
      <c r="AY74" s="134" t="n"/>
      <c r="AZ74" s="134" t="n"/>
      <c r="BA74" s="127" t="n"/>
    </row>
    <row r="75" ht="34.5" customHeight="1" s="220">
      <c r="A75" s="1" t="inlineStr">
        <is>
          <t>INCOME LESS GST</t>
        </is>
      </c>
      <c r="B75" s="149">
        <f>B31-C35</f>
        <v/>
      </c>
      <c r="C75" s="150">
        <f>C72/B75*100</f>
        <v/>
      </c>
      <c r="D75" s="151" t="inlineStr">
        <is>
          <t>%</t>
        </is>
      </c>
      <c r="E75" s="1" t="n"/>
      <c r="F75" s="134" t="n"/>
      <c r="G75" s="134" t="n"/>
      <c r="H75" s="127" t="n"/>
      <c r="I75" s="1" t="n"/>
      <c r="J75" s="134" t="n"/>
      <c r="K75" s="134" t="n"/>
      <c r="L75" s="127" t="n"/>
      <c r="M75" s="1" t="n"/>
      <c r="N75" s="134" t="n"/>
      <c r="O75" s="134" t="n"/>
      <c r="P75" s="127" t="n"/>
      <c r="Q75" s="1" t="n"/>
      <c r="R75" s="61" t="inlineStr">
        <is>
          <t>TOTAL</t>
        </is>
      </c>
      <c r="S75" s="109">
        <f>#REF!-S34-S35-S59-S58-S60-S61-S62-S63-S64-S65-S66+S67-S68-S69-S70-S71-S72-S73</f>
        <v/>
      </c>
      <c r="T75" s="90" t="n"/>
      <c r="U75" s="1" t="n"/>
      <c r="V75" s="134" t="n"/>
      <c r="W75" s="134" t="n"/>
      <c r="X75" s="127" t="n"/>
      <c r="Y75" s="1" t="n"/>
      <c r="Z75" s="134" t="n"/>
      <c r="AA75" s="134" t="n"/>
      <c r="AB75" s="127" t="n"/>
      <c r="AC75" s="1" t="n"/>
      <c r="AD75" s="1" t="n"/>
      <c r="AE75" s="134" t="n"/>
      <c r="AF75" s="134" t="n"/>
      <c r="AG75" s="127" t="n"/>
      <c r="AH75" s="1" t="n"/>
      <c r="AI75" s="1" t="n"/>
      <c r="AJ75" s="61" t="inlineStr">
        <is>
          <t>TOTAL</t>
        </is>
      </c>
      <c r="AK75" s="109">
        <f>#REF!-AK34-AK35-AK58-AK59-AK60-AK61-AK62-AK63-AK64-AK65-AK66+AK67-AK68-AK69-AK70-AK71-AK72-AK73</f>
        <v/>
      </c>
      <c r="AL75" s="90" t="n"/>
      <c r="AM75" s="1" t="n"/>
      <c r="AN75" s="1" t="n"/>
      <c r="AO75" s="134" t="n"/>
      <c r="AP75" s="134" t="n"/>
      <c r="AQ75" s="127" t="n"/>
      <c r="AR75" s="1" t="n"/>
      <c r="AS75" s="1" t="n"/>
      <c r="AT75" s="134" t="n"/>
      <c r="AU75" s="134" t="n"/>
      <c r="AV75" s="127" t="n"/>
      <c r="AW75" s="1" t="n"/>
      <c r="AX75" s="1" t="n"/>
      <c r="AY75" s="134" t="n"/>
      <c r="AZ75" s="134" t="n"/>
      <c r="BA75" s="127" t="n"/>
    </row>
    <row r="76" ht="33.75" customHeight="1" s="220">
      <c r="A76" s="1" t="n"/>
      <c r="B76" s="152" t="inlineStr">
        <is>
          <t> </t>
        </is>
      </c>
      <c r="C76" s="153" t="n"/>
      <c r="D76" s="1" t="n"/>
      <c r="E76" s="1" t="n"/>
      <c r="F76" s="154" t="n"/>
      <c r="G76" s="154" t="n"/>
      <c r="H76" s="155" t="n"/>
      <c r="I76" s="1" t="n"/>
      <c r="J76" s="154" t="n"/>
      <c r="K76" s="154" t="n"/>
      <c r="L76" s="155" t="n"/>
      <c r="M76" s="1" t="n"/>
      <c r="N76" s="154" t="n"/>
      <c r="O76" s="154" t="n"/>
      <c r="P76" s="155" t="n"/>
      <c r="Q76" s="1" t="n"/>
      <c r="R76" s="112" t="inlineStr">
        <is>
          <t>DOCTORS PAY</t>
        </is>
      </c>
      <c r="S76" s="111">
        <f>(S75*50%)+S77</f>
        <v/>
      </c>
      <c r="T76" s="90" t="n"/>
      <c r="U76" s="1" t="n"/>
      <c r="V76" s="154" t="n"/>
      <c r="W76" s="154" t="n"/>
      <c r="X76" s="155" t="n"/>
      <c r="Y76" s="1" t="n"/>
      <c r="Z76" s="154" t="n"/>
      <c r="AA76" s="154" t="n"/>
      <c r="AB76" s="155" t="n"/>
      <c r="AC76" s="1" t="n"/>
      <c r="AD76" s="1" t="n"/>
      <c r="AE76" s="154" t="n"/>
      <c r="AF76" s="154" t="n"/>
      <c r="AG76" s="155" t="n"/>
      <c r="AH76" s="1" t="n"/>
      <c r="AI76" s="1" t="n"/>
      <c r="AJ76" s="112" t="inlineStr">
        <is>
          <t>DOCTORS PAY</t>
        </is>
      </c>
      <c r="AK76" s="111">
        <f>(AK75*50%)+AK77</f>
        <v/>
      </c>
      <c r="AL76" s="90" t="n"/>
      <c r="AM76" s="1" t="n"/>
      <c r="AN76" s="1" t="n"/>
      <c r="AO76" s="154" t="n"/>
      <c r="AP76" s="154" t="n"/>
      <c r="AQ76" s="155" t="n"/>
      <c r="AR76" s="1" t="n"/>
      <c r="AS76" s="1" t="n"/>
      <c r="AT76" s="154" t="n"/>
      <c r="AU76" s="154" t="n"/>
      <c r="AV76" s="155" t="n"/>
      <c r="AW76" s="1" t="n"/>
      <c r="AX76" s="1" t="n"/>
      <c r="AY76" s="154" t="n"/>
      <c r="AZ76" s="154" t="n"/>
      <c r="BA76" s="155" t="n"/>
    </row>
    <row r="77" ht="36.75" customHeight="1" s="220">
      <c r="A77" s="1" t="n"/>
      <c r="B77" s="156" t="inlineStr">
        <is>
          <t>MEDISAVE ADMIN</t>
        </is>
      </c>
      <c r="C77" s="157">
        <f>G61+K61+O61+S83+W61+AA61+AF61+AK83</f>
        <v/>
      </c>
      <c r="D77" s="158">
        <f>C77/20</f>
        <v/>
      </c>
      <c r="E77" s="1" t="n"/>
      <c r="F77" s="159" t="inlineStr">
        <is>
          <t>TOTAL PAYMENT</t>
        </is>
      </c>
      <c r="G77" s="160">
        <f>G57-G70-G74-G75-G71-G72-G73</f>
        <v/>
      </c>
      <c r="H77" s="1" t="n"/>
      <c r="I77" s="1" t="n"/>
      <c r="J77" s="159" t="inlineStr">
        <is>
          <t>TOTAL PAYMENT</t>
        </is>
      </c>
      <c r="K77" s="160">
        <f>K57-K70-K74-K75-K71-K72-K73</f>
        <v/>
      </c>
      <c r="L77" s="1" t="n"/>
      <c r="M77" s="1" t="n"/>
      <c r="N77" s="159" t="inlineStr">
        <is>
          <t>TOTAL PAYMENT</t>
        </is>
      </c>
      <c r="O77" s="160">
        <f>O57-O70-O74-O75-O71-O72-O73</f>
        <v/>
      </c>
      <c r="P77" s="1" t="inlineStr">
        <is>
          <t>  </t>
        </is>
      </c>
      <c r="Q77" s="1" t="n"/>
      <c r="R77" s="50" t="inlineStr">
        <is>
          <t>ADJUSTMENTS (+)</t>
        </is>
      </c>
      <c r="S77" s="36" t="n"/>
      <c r="T77" s="90" t="n"/>
      <c r="U77" s="1" t="n"/>
      <c r="V77" s="159" t="inlineStr">
        <is>
          <t>TOTAL PAYMENT</t>
        </is>
      </c>
      <c r="W77" s="160">
        <f>W57-W70-W74-W75-W71-W72-W73</f>
        <v/>
      </c>
      <c r="X77" s="1" t="n"/>
      <c r="Y77" s="1" t="n"/>
      <c r="Z77" s="159" t="inlineStr">
        <is>
          <t>TOTAL PAYMENT</t>
        </is>
      </c>
      <c r="AA77" s="160">
        <f>AA57-AA70-AA74-AA75-AA71-AA72-AA73</f>
        <v/>
      </c>
      <c r="AB77" s="1" t="n"/>
      <c r="AC77" s="1" t="n"/>
      <c r="AD77" s="1" t="n"/>
      <c r="AE77" s="159" t="inlineStr">
        <is>
          <t>TOTAL PAYMENT</t>
        </is>
      </c>
      <c r="AF77" s="160">
        <f>AF57-AF70-AF74-AF75-AF71-AF72-AF73</f>
        <v/>
      </c>
      <c r="AG77" s="1" t="n"/>
      <c r="AH77" s="1" t="n"/>
      <c r="AI77" s="1" t="n"/>
      <c r="AJ77" s="50" t="inlineStr">
        <is>
          <t>ADJUSTMENTS (+)</t>
        </is>
      </c>
      <c r="AK77" s="36" t="n"/>
      <c r="AL77" s="98" t="n"/>
      <c r="AM77" s="1" t="n"/>
      <c r="AN77" s="1" t="n"/>
      <c r="AO77" s="159" t="inlineStr">
        <is>
          <t>TOTAL PAYMENT</t>
        </is>
      </c>
      <c r="AP77" s="160">
        <f>AP57-AP70-AP74-AP75-AP71-AP72-AP73</f>
        <v/>
      </c>
      <c r="AQ77" s="1" t="n"/>
      <c r="AR77" s="1" t="n"/>
      <c r="AS77" s="1" t="n"/>
      <c r="AT77" s="159" t="inlineStr">
        <is>
          <t>TOTAL PAYMENT</t>
        </is>
      </c>
      <c r="AU77" s="160">
        <f>AU57-AU70-AU74-AU75-AU71-AU72-AU73</f>
        <v/>
      </c>
      <c r="AV77" s="1" t="n"/>
      <c r="AW77" s="1" t="n"/>
      <c r="AX77" s="1" t="n"/>
      <c r="AY77" s="159" t="inlineStr">
        <is>
          <t>TOTAL PAYMENT</t>
        </is>
      </c>
      <c r="AZ77" s="160">
        <f>AZ57-AZ70-AZ74-AZ75-AZ71-AZ72-AZ73</f>
        <v/>
      </c>
      <c r="BA77" s="1" t="n"/>
    </row>
    <row r="78" ht="39" customHeight="1" s="220">
      <c r="A78" s="1" t="n"/>
      <c r="B78" s="156" t="inlineStr">
        <is>
          <t>ADDITIONAL MARKETING</t>
        </is>
      </c>
      <c r="C78" s="157">
        <f>G65+K65+O65+S87+W65+AA65+AF65+AP65+AU65+AZ65</f>
        <v/>
      </c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50" t="inlineStr">
        <is>
          <t>ADJUSTMENTS (-)</t>
        </is>
      </c>
      <c r="S78" s="115">
        <f>S83+S87</f>
        <v/>
      </c>
      <c r="T78" s="98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50" t="inlineStr">
        <is>
          <t>ADJUSTMENTS (-)</t>
        </is>
      </c>
      <c r="AK78" s="116">
        <f>AK83+AK87</f>
        <v/>
      </c>
      <c r="AL78" s="102" t="inlineStr">
        <is>
          <t>MARKETING FEE &amp; MEDISAVE ADMIN</t>
        </is>
      </c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</row>
    <row r="79" ht="27.75" customHeight="1" s="220">
      <c r="A79" s="1" t="n"/>
      <c r="B79" s="161" t="inlineStr">
        <is>
          <t>DOCTORS PERSONAL DEDUCTION</t>
        </is>
      </c>
      <c r="C79" s="157">
        <f>G70+G74+G75+K70+K74+K75+O70+O74+O75+S92+S96+S97+W70+W74+W75+AA70+AA74+AA75+AF70+AF74+AF75+G71+G72+G73+K71+K72+K73+O71+O72+O73+S93+S94+S95+W71+W72+W73+AA71+AA72+AA73+AF71+AF72+AF73+AP70+AP71+AP72+AP73+AP74+AP75+AU70+AU71+AU72+AU73+AU74+AU75+AZ70+AZ71+AZ72+AZ73+AZ74+AZ75</f>
        <v/>
      </c>
      <c r="D79" s="137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50" t="inlineStr">
        <is>
          <t>NET PAY</t>
        </is>
      </c>
      <c r="S79" s="111">
        <f>S76-S78</f>
        <v/>
      </c>
      <c r="T79" s="90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50" t="inlineStr">
        <is>
          <t>NET PAY</t>
        </is>
      </c>
      <c r="AK79" s="111">
        <f>AK76-AK78</f>
        <v/>
      </c>
      <c r="AL79" s="90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</row>
    <row r="80" ht="28.5" customHeight="1" s="220">
      <c r="A80" s="1" t="n"/>
      <c r="B80" s="156" t="inlineStr">
        <is>
          <t>TOTAL</t>
        </is>
      </c>
      <c r="C80" s="162">
        <f>SUM(C77:C79)</f>
        <v/>
      </c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63" t="n"/>
      <c r="Z80" s="1" t="n"/>
      <c r="AA80" s="1" t="n"/>
      <c r="AB80" s="1" t="n"/>
      <c r="AC80" s="1" t="n"/>
      <c r="AD80" s="163" t="n"/>
      <c r="AE80" s="1" t="n"/>
      <c r="AF80" s="1" t="n"/>
      <c r="AG80" s="1" t="n"/>
      <c r="AH80" s="1" t="n"/>
      <c r="AI80" s="163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</row>
    <row r="81" ht="28.5" customHeight="1" s="220">
      <c r="A81" s="1" t="n"/>
      <c r="B81" s="164" t="inlineStr">
        <is>
          <t>TOTAL ICC-5</t>
        </is>
      </c>
      <c r="C81" s="164">
        <f>G36+K36+O36+S58+AA36+W36+AF36+AP36+AU36+AZ36</f>
        <v/>
      </c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17" t="inlineStr">
        <is>
          <t>MEDISAVE ADMIN FEE CALCULATION:</t>
        </is>
      </c>
      <c r="S81" s="1" t="n"/>
      <c r="T81" s="1" t="n"/>
      <c r="U81" s="1" t="n"/>
      <c r="V81" s="1" t="n"/>
      <c r="W81" s="1" t="n"/>
      <c r="X81" s="1" t="n"/>
      <c r="Y81" s="163" t="n"/>
      <c r="Z81" s="1" t="n"/>
      <c r="AA81" s="1" t="n"/>
      <c r="AB81" s="1" t="n"/>
      <c r="AC81" s="1" t="n"/>
      <c r="AD81" s="163" t="n"/>
      <c r="AE81" s="1" t="n"/>
      <c r="AF81" s="1" t="n"/>
      <c r="AG81" s="1" t="n"/>
      <c r="AH81" s="1" t="n"/>
      <c r="AI81" s="163" t="n"/>
      <c r="AJ81" s="117" t="inlineStr">
        <is>
          <t>MEDISAVE ADMIN FEE CALCULATION:</t>
        </is>
      </c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</row>
    <row r="82" ht="49.5" customHeight="1" s="22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63" t="n"/>
      <c r="N82" s="1" t="n"/>
      <c r="O82" s="1" t="n"/>
      <c r="P82" s="1" t="n"/>
      <c r="Q82" s="1" t="n"/>
      <c r="R82" s="118" t="inlineStr">
        <is>
          <t>Medisave Claim</t>
        </is>
      </c>
      <c r="S82" s="119" t="inlineStr">
        <is>
          <t>Admin Fee</t>
        </is>
      </c>
      <c r="T82" s="119" t="inlineStr">
        <is>
          <t>REMARKS</t>
        </is>
      </c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18" t="inlineStr">
        <is>
          <t>Medisave Claim</t>
        </is>
      </c>
      <c r="AK82" s="119" t="inlineStr">
        <is>
          <t>Admin Fee</t>
        </is>
      </c>
      <c r="AL82" s="119" t="inlineStr">
        <is>
          <t>REMARKS</t>
        </is>
      </c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</row>
    <row r="83" ht="26.25" customHeight="1" s="220">
      <c r="A83" s="1" t="n"/>
      <c r="B83" s="165" t="inlineStr">
        <is>
          <t>NURSES FEE-REVENUE</t>
        </is>
      </c>
      <c r="C83" s="166">
        <f>(C60+C61+C62)/B31</f>
        <v/>
      </c>
      <c r="D83" s="137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20" t="n"/>
      <c r="S83" s="121">
        <f>R83*20</f>
        <v/>
      </c>
      <c r="T83" s="12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20" t="n"/>
      <c r="AK83" s="121">
        <f>AJ83*20</f>
        <v/>
      </c>
      <c r="AL83" s="12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</row>
    <row r="84" ht="21" customHeight="1" s="220">
      <c r="A84" s="1" t="n"/>
      <c r="B84" s="165" t="inlineStr">
        <is>
          <t>CONSUMABLE EXCL OFFICE RENT - REVENUE</t>
        </is>
      </c>
      <c r="C84" s="166">
        <f>(C49+C46+C48)/B31</f>
        <v/>
      </c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</row>
    <row r="85" ht="21" customHeight="1" s="220">
      <c r="A85" s="1" t="n"/>
      <c r="B85" s="165" t="inlineStr">
        <is>
          <t>OFFICE RENT &amp; ADMIN STAFF - REVENUE</t>
        </is>
      </c>
      <c r="C85" s="166">
        <f>(C45/B31)</f>
        <v/>
      </c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22" t="inlineStr">
        <is>
          <t>ADDITIONAL MARKETING:</t>
        </is>
      </c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22" t="inlineStr">
        <is>
          <t>ADDITIONAL MARKETING:</t>
        </is>
      </c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</row>
    <row r="86" ht="21" customHeight="1" s="220">
      <c r="A86" s="1" t="n"/>
      <c r="B86" s="167" t="inlineStr">
        <is>
          <t>MARKETING - REVENUE</t>
        </is>
      </c>
      <c r="C86" s="166">
        <f>C50/B31</f>
        <v/>
      </c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23" t="inlineStr">
        <is>
          <t xml:space="preserve">MONTH </t>
        </is>
      </c>
      <c r="S86" s="124" t="inlineStr">
        <is>
          <t>AMOUNT</t>
        </is>
      </c>
      <c r="T86" s="124" t="inlineStr">
        <is>
          <t>REMARKS</t>
        </is>
      </c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23" t="inlineStr">
        <is>
          <t xml:space="preserve">MONTH </t>
        </is>
      </c>
      <c r="AK86" s="124" t="inlineStr">
        <is>
          <t>AMOUNT</t>
        </is>
      </c>
      <c r="AL86" s="124" t="inlineStr">
        <is>
          <t>REMARKS</t>
        </is>
      </c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</row>
    <row r="87" ht="18.75" customHeight="1" s="220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25">
        <f>R3</f>
        <v/>
      </c>
      <c r="S87" s="128" t="n"/>
      <c r="T87" s="127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25">
        <f>AJ3</f>
        <v/>
      </c>
      <c r="AK87" s="128" t="n"/>
      <c r="AL87" s="127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</row>
    <row r="88" ht="30.75" customHeight="1" s="220">
      <c r="A88" s="1" t="n"/>
      <c r="B88" s="183" t="inlineStr">
        <is>
          <t>PERCENT FHATEEN</t>
        </is>
      </c>
      <c r="C88" s="184">
        <f>VLOOKUP(C73,'[1]% RATES INCENTIVES WDLS'!C:D,2,TRUE)</f>
        <v/>
      </c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</row>
    <row r="89" ht="16.5" customHeight="1" s="220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22" t="inlineStr">
        <is>
          <t>OTHERS: (CPF,PERSONAL REFUND, COURSEFEE)</t>
        </is>
      </c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22" t="inlineStr">
        <is>
          <t>OTHERS: (CPF,PERSONAL REFUND, COURSEFEE)</t>
        </is>
      </c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</row>
    <row r="90" ht="30.75" customHeight="1" s="220">
      <c r="A90" s="1" t="n"/>
      <c r="B90" s="168" t="n"/>
      <c r="C90" s="169" t="n"/>
      <c r="D90" s="1" t="inlineStr">
        <is>
          <t> </t>
        </is>
      </c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22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22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</row>
    <row r="91" ht="30.75" customHeight="1" s="220">
      <c r="A91" s="1" t="n"/>
      <c r="B91" s="168" t="n"/>
      <c r="C91" s="169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34" t="inlineStr">
        <is>
          <t>DETAILS</t>
        </is>
      </c>
      <c r="S91" s="134" t="inlineStr">
        <is>
          <t>AMOUNT</t>
        </is>
      </c>
      <c r="T91" s="127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34" t="inlineStr">
        <is>
          <t>DETAILS</t>
        </is>
      </c>
      <c r="AK91" s="134" t="inlineStr">
        <is>
          <t>AMOUNT</t>
        </is>
      </c>
      <c r="AL91" s="127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</row>
    <row r="92" ht="30.75" customHeight="1" s="220">
      <c r="A92" s="1" t="n"/>
      <c r="B92" s="168" t="n"/>
      <c r="C92" s="169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34" t="n"/>
      <c r="S92" s="134" t="n"/>
      <c r="T92" s="127" t="n"/>
      <c r="U92" s="1" t="n"/>
      <c r="V92" s="1" t="n"/>
      <c r="W92" s="1" t="n"/>
      <c r="X92" s="1" t="n"/>
      <c r="Y92" s="136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inlineStr">
        <is>
          <t>feb 2191</t>
        </is>
      </c>
      <c r="AI92" s="1" t="n"/>
      <c r="AJ92" s="134" t="n"/>
      <c r="AK92" s="134" t="n"/>
      <c r="AL92" s="127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</row>
    <row r="93" ht="30.75" customHeight="1" s="220">
      <c r="A93" s="1" t="n"/>
      <c r="B93" s="168" t="n"/>
      <c r="C93" s="169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34" t="n"/>
      <c r="S93" s="134" t="n"/>
      <c r="T93" s="127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34" t="n"/>
      <c r="AK93" s="134" t="n"/>
      <c r="AL93" s="127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</row>
    <row r="94" ht="30.75" customHeight="1" s="220">
      <c r="A94" s="1" t="n"/>
      <c r="B94" s="117" t="n"/>
      <c r="C94" s="169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34" t="n"/>
      <c r="S94" s="134" t="n"/>
      <c r="T94" s="127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34" t="n"/>
      <c r="AK94" s="134" t="n"/>
      <c r="AL94" s="127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</row>
    <row r="95" ht="30.75" customHeight="1" s="220">
      <c r="A95" s="1" t="n"/>
      <c r="B95" s="117" t="n"/>
      <c r="C95" s="169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34" t="n"/>
      <c r="S95" s="134" t="n"/>
      <c r="T95" s="127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34" t="n"/>
      <c r="AK95" s="134" t="n"/>
      <c r="AL95" s="127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</row>
    <row r="96" ht="18.75" customHeight="1" s="220">
      <c r="A96" s="137" t="n"/>
      <c r="B96" s="137" t="n"/>
      <c r="C96" s="137" t="n"/>
      <c r="D96" s="137" t="n"/>
      <c r="E96" s="137" t="n"/>
      <c r="F96" s="137" t="n"/>
      <c r="G96" s="137" t="n"/>
      <c r="H96" s="137" t="n"/>
      <c r="I96" s="137" t="n"/>
      <c r="J96" s="137" t="n"/>
      <c r="K96" s="137" t="n"/>
      <c r="L96" s="137" t="n"/>
      <c r="M96" s="1" t="n"/>
      <c r="N96" s="137" t="n"/>
      <c r="O96" s="137" t="n"/>
      <c r="P96" s="137" t="n"/>
      <c r="Q96" s="137" t="n"/>
      <c r="R96" s="134" t="n"/>
      <c r="S96" s="134" t="n"/>
      <c r="T96" s="127" t="n"/>
      <c r="U96" s="137" t="n"/>
      <c r="V96" s="137" t="n"/>
      <c r="W96" s="137" t="n"/>
      <c r="X96" s="137" t="n"/>
      <c r="Y96" s="137" t="n"/>
      <c r="Z96" s="137" t="n"/>
      <c r="AA96" s="137" t="n"/>
      <c r="AB96" s="137" t="n"/>
      <c r="AC96" s="137" t="n"/>
      <c r="AD96" s="137" t="n"/>
      <c r="AE96" s="137" t="n"/>
      <c r="AF96" s="137" t="n"/>
      <c r="AG96" s="137" t="n"/>
      <c r="AH96" s="137" t="n"/>
      <c r="AI96" s="137" t="n"/>
      <c r="AJ96" s="134" t="n"/>
      <c r="AK96" s="134" t="n"/>
      <c r="AL96" s="127" t="n"/>
      <c r="AM96" s="137" t="n"/>
      <c r="AN96" s="137" t="n"/>
      <c r="AO96" s="137" t="n"/>
      <c r="AP96" s="137" t="n"/>
      <c r="AQ96" s="137" t="n"/>
      <c r="AR96" s="137" t="n"/>
      <c r="AS96" s="137" t="n"/>
      <c r="AT96" s="137" t="n"/>
      <c r="AU96" s="137" t="n"/>
      <c r="AV96" s="137" t="n"/>
      <c r="AW96" s="137" t="n"/>
      <c r="AX96" s="137" t="n"/>
      <c r="AY96" s="137" t="n"/>
      <c r="AZ96" s="137" t="n"/>
      <c r="BA96" s="137" t="n"/>
    </row>
    <row r="97" ht="41.25" customHeight="1" s="220">
      <c r="A97" s="1" t="n"/>
      <c r="B97" s="1" t="n"/>
      <c r="C97" s="2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37" t="n"/>
      <c r="N97" s="1" t="n"/>
      <c r="O97" s="1" t="n"/>
      <c r="P97" s="1" t="n"/>
      <c r="Q97" s="1" t="n"/>
      <c r="R97" s="134" t="n"/>
      <c r="S97" s="134" t="n"/>
      <c r="T97" s="127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34" t="n"/>
      <c r="AK97" s="134" t="n"/>
      <c r="AL97" s="127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</row>
    <row r="98" ht="18.75" customHeight="1" s="220">
      <c r="A98" s="1" t="n"/>
      <c r="B98" s="1" t="n"/>
      <c r="C98" s="2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54" t="n"/>
      <c r="S98" s="154" t="n"/>
      <c r="T98" s="155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54" t="n"/>
      <c r="AK98" s="154" t="n"/>
      <c r="AL98" s="155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</row>
    <row r="99" ht="30.75" customHeight="1" s="220">
      <c r="A99" s="1" t="n"/>
      <c r="B99" s="1" t="n"/>
      <c r="C99" s="2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59" t="inlineStr">
        <is>
          <t>TOTAL CHEQUE AMOUNT</t>
        </is>
      </c>
      <c r="S99" s="160">
        <f>S79-S92-S96-S97-S93-S94-S95</f>
        <v/>
      </c>
      <c r="T99" s="2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59" t="inlineStr">
        <is>
          <t>TOTAL CHEQUE AMOUNT</t>
        </is>
      </c>
      <c r="AK99" s="160">
        <f>AK79-AK92-AK96-AK97-AK93-AK94-AK95</f>
        <v/>
      </c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</row>
    <row r="100" ht="16.5" customHeight="1" s="220">
      <c r="A100" s="1" t="n"/>
      <c r="B100" s="1" t="n"/>
      <c r="C100" s="2" t="n"/>
      <c r="D100" s="1" t="n"/>
      <c r="E100" s="1" t="n"/>
      <c r="F100" s="137" t="n"/>
      <c r="G100" s="137" t="n"/>
      <c r="H100" s="137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</row>
    <row r="101" ht="16.5" customHeight="1" s="220">
      <c r="A101" s="1" t="n"/>
      <c r="B101" s="1" t="n"/>
      <c r="C101" s="2" t="n"/>
      <c r="D101" s="1" t="n"/>
      <c r="E101" s="2" t="n"/>
      <c r="F101" s="1" t="n"/>
      <c r="G101" s="1" t="n"/>
      <c r="H101" s="137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</row>
    <row r="102" ht="16.5" customHeight="1" s="220">
      <c r="A102" s="1" t="n"/>
      <c r="B102" s="1" t="n"/>
      <c r="C102" s="2" t="n"/>
      <c r="D102" s="1" t="n"/>
      <c r="E102" s="1" t="n"/>
      <c r="F102" s="1" t="n"/>
      <c r="G102" s="1" t="n"/>
      <c r="H102" s="137" t="n"/>
      <c r="I102" s="1" t="n"/>
      <c r="J102" s="1" t="n"/>
      <c r="K102" s="1" t="n"/>
      <c r="L102" s="137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</row>
    <row r="103" ht="16.5" customHeight="1" s="220">
      <c r="A103" s="137" t="n"/>
      <c r="B103" s="1" t="n"/>
      <c r="C103" s="2" t="n"/>
      <c r="D103" s="1" t="n"/>
      <c r="E103" s="137" t="n"/>
      <c r="F103" s="1" t="n"/>
      <c r="G103" s="1" t="n"/>
      <c r="H103" s="137" t="n"/>
      <c r="I103" s="1" t="n"/>
      <c r="J103" s="137" t="n"/>
      <c r="K103" s="137" t="n"/>
      <c r="L103" s="137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</row>
    <row r="104" ht="16.5" customHeight="1" s="220">
      <c r="A104" s="1" t="n"/>
      <c r="B104" s="1" t="n"/>
      <c r="C104" s="2" t="n"/>
      <c r="D104" s="1" t="n"/>
      <c r="E104" s="1" t="n"/>
      <c r="F104" s="1" t="n"/>
      <c r="G104" s="1" t="n"/>
      <c r="H104" s="137" t="n"/>
      <c r="I104" s="1" t="n"/>
      <c r="J104" s="1" t="n"/>
      <c r="K104" s="1" t="n"/>
      <c r="L104" s="137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</row>
    <row r="105" ht="16.5" customHeight="1" s="220">
      <c r="A105" s="1" t="n"/>
      <c r="B105" s="1" t="n"/>
      <c r="C105" s="2" t="n"/>
      <c r="D105" s="1" t="n"/>
      <c r="E105" s="1" t="n"/>
      <c r="F105" s="137" t="n"/>
      <c r="G105" s="137" t="n"/>
      <c r="H105" s="137" t="n"/>
      <c r="I105" s="1" t="n"/>
      <c r="J105" s="1" t="n"/>
      <c r="K105" s="1" t="n"/>
      <c r="L105" s="137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</row>
    <row r="106" ht="16.5" customHeight="1" s="220">
      <c r="A106" s="1" t="n"/>
      <c r="B106" s="1" t="n"/>
      <c r="C106" s="2" t="n"/>
      <c r="D106" s="1" t="n"/>
      <c r="E106" s="1" t="n"/>
      <c r="F106" s="1" t="n"/>
      <c r="G106" s="1" t="n"/>
      <c r="H106" s="137" t="n"/>
      <c r="I106" s="1" t="n"/>
      <c r="J106" s="1" t="n"/>
      <c r="K106" s="1" t="n"/>
      <c r="L106" s="137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</row>
    <row r="107" ht="16.5" customHeight="1" s="220">
      <c r="A107" s="137" t="n"/>
      <c r="B107" s="1" t="n"/>
      <c r="C107" s="2" t="n"/>
      <c r="D107" s="1" t="n"/>
      <c r="E107" s="137" t="n"/>
      <c r="F107" s="1" t="n"/>
      <c r="G107" s="1" t="n"/>
      <c r="H107" s="137" t="n"/>
      <c r="I107" s="1" t="n"/>
      <c r="J107" s="137" t="n"/>
      <c r="K107" s="137" t="n"/>
      <c r="L107" s="137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</row>
    <row r="108" ht="16.5" customHeight="1" s="220">
      <c r="A108" s="1" t="n"/>
      <c r="B108" s="1" t="n"/>
      <c r="C108" s="2" t="n"/>
      <c r="D108" s="1" t="n"/>
      <c r="E108" s="1" t="n"/>
      <c r="F108" s="137" t="n"/>
      <c r="G108" s="137" t="n"/>
      <c r="H108" s="137" t="n"/>
      <c r="I108" s="1" t="n"/>
      <c r="J108" s="1" t="n"/>
      <c r="K108" s="1" t="n"/>
      <c r="L108" s="137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</row>
    <row r="109" ht="16.5" customHeight="1" s="220">
      <c r="A109" s="1" t="n"/>
      <c r="B109" s="1" t="n"/>
      <c r="C109" s="2" t="n"/>
      <c r="D109" s="1" t="n"/>
      <c r="E109" s="137" t="n"/>
      <c r="F109" s="1" t="n"/>
      <c r="G109" s="1" t="n"/>
      <c r="H109" s="137" t="n"/>
      <c r="I109" s="1" t="n"/>
      <c r="J109" s="1" t="n"/>
      <c r="K109" s="1" t="n"/>
      <c r="L109" s="137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</row>
    <row r="110" ht="16.5" customHeight="1" s="220">
      <c r="A110" s="1" t="n"/>
      <c r="B110" s="1" t="n"/>
      <c r="C110" s="2" t="n"/>
      <c r="D110" s="1" t="n"/>
      <c r="E110" s="1" t="n"/>
      <c r="F110" s="1" t="n"/>
      <c r="G110" s="1" t="n"/>
      <c r="H110" s="137" t="n"/>
      <c r="I110" s="1" t="n"/>
      <c r="J110" s="1" t="n"/>
      <c r="K110" s="1" t="n"/>
      <c r="L110" s="137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</row>
    <row r="111" ht="16.5" customHeight="1" s="220">
      <c r="A111" s="137" t="n"/>
      <c r="B111" s="1" t="n"/>
      <c r="C111" s="2" t="n"/>
      <c r="D111" s="1" t="n"/>
      <c r="E111" s="1" t="n"/>
      <c r="F111" s="1" t="n"/>
      <c r="G111" s="1" t="n"/>
      <c r="H111" s="137" t="n"/>
      <c r="I111" s="1" t="n"/>
      <c r="J111" s="1" t="n"/>
      <c r="K111" s="1" t="n"/>
      <c r="L111" s="137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</row>
    <row r="112" ht="16.5" customHeight="1" s="220">
      <c r="A112" s="1" t="n"/>
      <c r="B112" s="1" t="n"/>
      <c r="C112" s="1" t="n"/>
      <c r="D112" s="1" t="n"/>
      <c r="E112" s="1" t="n"/>
      <c r="F112" s="137" t="n"/>
      <c r="G112" s="137" t="n"/>
      <c r="H112" s="137" t="n"/>
      <c r="I112" s="1" t="n"/>
      <c r="J112" s="137" t="n"/>
      <c r="K112" s="137" t="n"/>
      <c r="L112" s="137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</row>
    <row r="113" ht="16.5" customHeight="1" s="220">
      <c r="A113" s="1" t="n"/>
      <c r="B113" s="1" t="n"/>
      <c r="C113" s="137" t="n"/>
      <c r="D113" s="137" t="n"/>
      <c r="E113" s="137" t="n"/>
      <c r="F113" s="1" t="n"/>
      <c r="G113" s="1" t="n"/>
      <c r="H113" s="137" t="n"/>
      <c r="I113" s="1" t="n"/>
      <c r="J113" s="1" t="n"/>
      <c r="K113" s="1" t="n"/>
      <c r="L113" s="137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</row>
    <row r="114" ht="16.5" customHeight="1" s="220">
      <c r="A114" s="1" t="n"/>
      <c r="B114" s="1" t="n"/>
      <c r="C114" s="1" t="n"/>
      <c r="D114" s="1" t="n"/>
      <c r="E114" s="1" t="n"/>
      <c r="F114" s="1" t="n"/>
      <c r="G114" s="1" t="n"/>
      <c r="H114" s="137" t="n"/>
      <c r="I114" s="1" t="n"/>
      <c r="J114" s="1" t="n"/>
      <c r="K114" s="1" t="n"/>
      <c r="L114" s="137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</row>
    <row r="115" ht="16.5" customHeight="1" s="220">
      <c r="A115" s="137" t="n"/>
      <c r="B115" s="137" t="n"/>
      <c r="C115" s="137" t="n"/>
      <c r="D115" s="1" t="n"/>
      <c r="E115" s="1" t="n"/>
      <c r="F115" s="1" t="n"/>
      <c r="G115" s="1" t="n"/>
      <c r="H115" s="137" t="n"/>
      <c r="I115" s="1" t="n"/>
      <c r="J115" s="1" t="n"/>
      <c r="K115" s="1" t="n"/>
      <c r="L115" s="137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</row>
    <row r="116" ht="16.5" customHeight="1" s="220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</row>
    <row r="117" ht="16.5" customHeight="1" s="220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</row>
    <row r="118" ht="16.5" customHeight="1" s="220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</row>
    <row r="119" ht="16.5" customHeight="1" s="220">
      <c r="A119" s="137" t="n"/>
      <c r="B119" s="137" t="n"/>
      <c r="C119" s="137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</row>
    <row r="120" ht="16.5" customHeight="1" s="2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</row>
    <row r="121" ht="16.5" customHeight="1" s="220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</row>
    <row r="122" ht="16.5" customHeight="1" s="220">
      <c r="A122" s="137" t="n"/>
      <c r="B122" s="137" t="n"/>
      <c r="C122" s="137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</row>
    <row r="123" ht="16.5" customHeight="1" s="220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</row>
    <row r="124" ht="16.5" customHeight="1" s="220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</row>
    <row r="125" ht="16.5" customHeight="1" s="220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</row>
    <row r="126" ht="16.5" customHeight="1" s="220">
      <c r="A126" s="137" t="n"/>
      <c r="B126" s="137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</row>
    <row r="127" ht="16.5" customHeight="1" s="220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</row>
    <row r="128" ht="16.5" customHeight="1" s="220">
      <c r="A128" s="1" t="n"/>
      <c r="B128" s="1" t="n"/>
      <c r="C128" s="137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</row>
    <row r="129" ht="16.5" customHeight="1" s="220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</row>
    <row r="130" ht="16.5" customHeight="1" s="220">
      <c r="A130" s="137" t="n"/>
      <c r="B130" s="137" t="n"/>
      <c r="C130" s="137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</row>
    <row r="131" ht="16.5" customHeight="1" s="220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</row>
    <row r="132" ht="16.5" customHeight="1" s="220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</row>
    <row r="133" ht="16.5" customHeight="1" s="220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</row>
    <row r="134" ht="16.5" customHeight="1" s="220">
      <c r="A134" s="1" t="n"/>
      <c r="B134" s="1" t="n"/>
      <c r="C134" s="2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</row>
    <row r="135" ht="16.5" customHeight="1" s="220">
      <c r="A135" s="1" t="n"/>
      <c r="B135" s="1" t="n"/>
      <c r="C135" s="2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</row>
    <row r="136" ht="16.5" customHeight="1" s="220">
      <c r="A136" s="1" t="n"/>
      <c r="B136" s="1" t="n"/>
      <c r="C136" s="2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</row>
    <row r="137" ht="16.5" customHeight="1" s="220">
      <c r="A137" s="1" t="n"/>
      <c r="B137" s="1" t="n"/>
      <c r="C137" s="2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</row>
    <row r="138" ht="16.5" customHeight="1" s="220">
      <c r="A138" s="1" t="n"/>
      <c r="B138" s="1" t="n"/>
      <c r="C138" s="2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</row>
    <row r="139" ht="16.5" customHeight="1" s="220">
      <c r="A139" s="1" t="n"/>
      <c r="B139" s="1" t="n"/>
      <c r="C139" s="2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</row>
    <row r="140" ht="16.5" customHeight="1" s="220">
      <c r="A140" s="1" t="n"/>
      <c r="B140" s="1" t="n"/>
      <c r="C140" s="2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</row>
    <row r="141" ht="16.5" customHeight="1" s="220">
      <c r="A141" s="1" t="n"/>
      <c r="B141" s="1" t="n"/>
      <c r="C141" s="2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</row>
    <row r="142" ht="16.5" customHeight="1" s="220">
      <c r="A142" s="1" t="n"/>
      <c r="B142" s="1" t="n"/>
      <c r="C142" s="2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</row>
    <row r="143" ht="16.5" customHeight="1" s="220">
      <c r="A143" s="1" t="n"/>
      <c r="B143" s="1" t="n"/>
      <c r="C143" s="2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</row>
    <row r="144" ht="16.5" customHeight="1" s="220">
      <c r="A144" s="1" t="n"/>
      <c r="B144" s="1" t="n"/>
      <c r="C144" s="2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</row>
    <row r="145" ht="16.5" customHeight="1" s="220">
      <c r="A145" s="1" t="n"/>
      <c r="B145" s="1" t="n"/>
      <c r="C145" s="2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</row>
    <row r="146" ht="16.5" customHeight="1" s="220">
      <c r="A146" s="1" t="n"/>
      <c r="B146" s="1" t="n"/>
      <c r="C146" s="2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</row>
    <row r="147" ht="16.5" customHeight="1" s="220">
      <c r="A147" s="1" t="n"/>
      <c r="B147" s="1" t="n"/>
      <c r="C147" s="2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</row>
    <row r="148" ht="16.5" customHeight="1" s="220">
      <c r="A148" s="1" t="n"/>
      <c r="B148" s="1" t="n"/>
      <c r="C148" s="2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</row>
    <row r="149" ht="16.5" customHeight="1" s="220">
      <c r="A149" s="1" t="n"/>
      <c r="B149" s="1" t="n"/>
      <c r="C149" s="2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</row>
    <row r="150" ht="16.5" customHeight="1" s="220">
      <c r="A150" s="1" t="n"/>
      <c r="B150" s="1" t="n"/>
      <c r="C150" s="2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</row>
    <row r="151" ht="16.5" customHeight="1" s="220">
      <c r="A151" s="1" t="n"/>
      <c r="B151" s="1" t="n"/>
      <c r="C151" s="2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</row>
    <row r="152" ht="16.5" customHeight="1" s="220">
      <c r="A152" s="1" t="n"/>
      <c r="B152" s="1" t="n"/>
      <c r="C152" s="2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</row>
    <row r="153" ht="16.5" customHeight="1" s="220">
      <c r="A153" s="1" t="n"/>
      <c r="B153" s="1" t="n"/>
      <c r="C153" s="2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</row>
    <row r="154" ht="16.5" customHeight="1" s="220">
      <c r="A154" s="1" t="n"/>
      <c r="B154" s="1" t="n"/>
      <c r="C154" s="2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</row>
    <row r="155" ht="16.5" customHeight="1" s="220">
      <c r="A155" s="1" t="n"/>
      <c r="B155" s="1" t="n"/>
      <c r="C155" s="2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</row>
    <row r="156" ht="16.5" customHeight="1" s="220">
      <c r="A156" s="1" t="n"/>
      <c r="B156" s="1" t="n"/>
      <c r="C156" s="2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</row>
    <row r="157" ht="16.5" customHeight="1" s="220">
      <c r="A157" s="1" t="n"/>
      <c r="B157" s="1" t="n"/>
      <c r="C157" s="2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</row>
    <row r="158" ht="16.5" customHeight="1" s="220">
      <c r="A158" s="1" t="n"/>
      <c r="B158" s="1" t="n"/>
      <c r="C158" s="2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  <c r="BA158" s="1" t="n"/>
    </row>
    <row r="159" ht="16.5" customHeight="1" s="220">
      <c r="A159" s="1" t="n"/>
      <c r="B159" s="1" t="n"/>
      <c r="C159" s="2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</row>
    <row r="160" ht="16.5" customHeight="1" s="220">
      <c r="A160" s="1" t="n"/>
      <c r="B160" s="1" t="n"/>
      <c r="C160" s="2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</row>
    <row r="161" ht="16.5" customHeight="1" s="220">
      <c r="A161" s="1" t="n"/>
      <c r="B161" s="1" t="n"/>
      <c r="C161" s="2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</row>
    <row r="162" ht="16.5" customHeight="1" s="220">
      <c r="A162" s="1" t="n"/>
      <c r="B162" s="1" t="n"/>
      <c r="C162" s="2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</row>
    <row r="163" ht="16.5" customHeight="1" s="220">
      <c r="A163" s="1" t="n"/>
      <c r="B163" s="1" t="n"/>
      <c r="C163" s="2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</row>
    <row r="164" ht="16.5" customHeight="1" s="220">
      <c r="A164" s="1" t="n"/>
      <c r="B164" s="1" t="n"/>
      <c r="C164" s="2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</row>
    <row r="165" ht="16.5" customHeight="1" s="220">
      <c r="A165" s="1" t="n"/>
      <c r="B165" s="1" t="n"/>
      <c r="C165" s="2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</row>
    <row r="166" ht="16.5" customHeight="1" s="220">
      <c r="A166" s="1" t="n"/>
      <c r="B166" s="1" t="n"/>
      <c r="C166" s="2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</row>
    <row r="167" ht="16.5" customHeight="1" s="220">
      <c r="A167" s="1" t="n"/>
      <c r="B167" s="1" t="n"/>
      <c r="C167" s="2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</row>
    <row r="168" ht="16.5" customHeight="1" s="220">
      <c r="A168" s="1" t="n"/>
      <c r="B168" s="1" t="n"/>
      <c r="C168" s="2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1" t="n"/>
    </row>
    <row r="169" ht="16.5" customHeight="1" s="220">
      <c r="A169" s="1" t="n"/>
      <c r="B169" s="1" t="n"/>
      <c r="C169" s="2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</row>
    <row r="170" ht="16.5" customHeight="1" s="220">
      <c r="A170" s="1" t="n"/>
      <c r="B170" s="1" t="n"/>
      <c r="C170" s="2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</row>
    <row r="171" ht="16.5" customHeight="1" s="220">
      <c r="A171" s="1" t="n"/>
      <c r="B171" s="1" t="n"/>
      <c r="C171" s="2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1" t="n"/>
    </row>
    <row r="172" ht="16.5" customHeight="1" s="220">
      <c r="A172" s="1" t="n"/>
      <c r="B172" s="1" t="n"/>
      <c r="C172" s="2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</row>
    <row r="173" ht="16.5" customHeight="1" s="220">
      <c r="A173" s="1" t="n"/>
      <c r="B173" s="1" t="n"/>
      <c r="C173" s="2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</row>
    <row r="174" ht="16.5" customHeight="1" s="220">
      <c r="A174" s="1" t="n"/>
      <c r="B174" s="1" t="n"/>
      <c r="C174" s="2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</row>
    <row r="175" ht="16.5" customHeight="1" s="220">
      <c r="A175" s="1" t="n"/>
      <c r="B175" s="1" t="n"/>
      <c r="C175" s="2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</row>
    <row r="176" ht="16.5" customHeight="1" s="220">
      <c r="A176" s="1" t="n"/>
      <c r="B176" s="1" t="n"/>
      <c r="C176" s="2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</row>
    <row r="177" ht="16.5" customHeight="1" s="220">
      <c r="A177" s="1" t="n"/>
      <c r="B177" s="1" t="n"/>
      <c r="C177" s="2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</row>
    <row r="178" ht="16.5" customHeight="1" s="220">
      <c r="A178" s="1" t="n"/>
      <c r="B178" s="1" t="n"/>
      <c r="C178" s="2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</row>
    <row r="179" ht="16.5" customHeight="1" s="220">
      <c r="A179" s="1" t="n"/>
      <c r="B179" s="1" t="n"/>
      <c r="C179" s="2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</row>
    <row r="180" ht="16.5" customHeight="1" s="220">
      <c r="A180" s="1" t="n"/>
      <c r="B180" s="1" t="n"/>
      <c r="C180" s="2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</row>
    <row r="181" ht="16.5" customHeight="1" s="220">
      <c r="A181" s="1" t="n"/>
      <c r="B181" s="1" t="n"/>
      <c r="C181" s="2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</row>
    <row r="182" ht="16.5" customHeight="1" s="220">
      <c r="A182" s="1" t="n"/>
      <c r="B182" s="1" t="n"/>
      <c r="C182" s="2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</row>
    <row r="183" ht="16.5" customHeight="1" s="220">
      <c r="A183" s="1" t="n"/>
      <c r="B183" s="1" t="n"/>
      <c r="C183" s="2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</row>
    <row r="184" ht="16.5" customHeight="1" s="220">
      <c r="A184" s="1" t="n"/>
      <c r="B184" s="1" t="n"/>
      <c r="C184" s="2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</row>
    <row r="185" ht="16.5" customHeight="1" s="220">
      <c r="A185" s="1" t="n"/>
      <c r="B185" s="1" t="n"/>
      <c r="C185" s="2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</row>
    <row r="186" ht="16.5" customHeight="1" s="220">
      <c r="A186" s="1" t="n"/>
      <c r="B186" s="1" t="n"/>
      <c r="C186" s="2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</row>
    <row r="187" ht="16.5" customHeight="1" s="220">
      <c r="A187" s="1" t="n"/>
      <c r="B187" s="1" t="n"/>
      <c r="C187" s="2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</row>
    <row r="188" ht="16.5" customHeight="1" s="220">
      <c r="A188" s="1" t="n"/>
      <c r="B188" s="1" t="n"/>
      <c r="C188" s="2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</row>
    <row r="189" ht="16.5" customHeight="1" s="220">
      <c r="A189" s="1" t="n"/>
      <c r="B189" s="1" t="n"/>
      <c r="C189" s="2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</row>
    <row r="190" ht="16.5" customHeight="1" s="220">
      <c r="A190" s="1" t="n"/>
      <c r="B190" s="1" t="n"/>
      <c r="C190" s="2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</row>
    <row r="191" ht="16.5" customHeight="1" s="220">
      <c r="A191" s="1" t="n"/>
      <c r="B191" s="1" t="n"/>
      <c r="C191" s="2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</row>
    <row r="192" ht="16.5" customHeight="1" s="220">
      <c r="A192" s="1" t="n"/>
      <c r="B192" s="1" t="n"/>
      <c r="C192" s="2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</row>
    <row r="193" ht="16.5" customHeight="1" s="220">
      <c r="A193" s="1" t="n"/>
      <c r="B193" s="1" t="n"/>
      <c r="C193" s="2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</row>
    <row r="194" ht="16.5" customHeight="1" s="220">
      <c r="A194" s="1" t="n"/>
      <c r="B194" s="1" t="n"/>
      <c r="C194" s="2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1" t="n"/>
    </row>
    <row r="195" ht="16.5" customHeight="1" s="220">
      <c r="A195" s="1" t="n"/>
      <c r="B195" s="1" t="n"/>
      <c r="C195" s="2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</row>
    <row r="196" ht="16.5" customHeight="1" s="220">
      <c r="A196" s="1" t="n"/>
      <c r="B196" s="1" t="n"/>
      <c r="C196" s="2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</row>
    <row r="197" ht="16.5" customHeight="1" s="220">
      <c r="A197" s="1" t="n"/>
      <c r="B197" s="1" t="n"/>
      <c r="C197" s="2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</row>
    <row r="198" ht="16.5" customHeight="1" s="220">
      <c r="A198" s="1" t="n"/>
      <c r="B198" s="1" t="n"/>
      <c r="C198" s="2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</row>
    <row r="199" ht="16.5" customHeight="1" s="220">
      <c r="A199" s="1" t="n"/>
      <c r="B199" s="1" t="n"/>
      <c r="C199" s="2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</row>
    <row r="200" ht="16.5" customHeight="1" s="220">
      <c r="A200" s="1" t="n"/>
      <c r="B200" s="1" t="n"/>
      <c r="C200" s="2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</row>
    <row r="201" ht="16.5" customHeight="1" s="220">
      <c r="A201" s="1" t="n"/>
      <c r="B201" s="1" t="n"/>
      <c r="C201" s="2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  <c r="BA201" s="1" t="n"/>
    </row>
    <row r="202" ht="16.5" customHeight="1" s="220">
      <c r="A202" s="1" t="n"/>
      <c r="B202" s="1" t="n"/>
      <c r="C202" s="2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  <c r="BA202" s="1" t="n"/>
    </row>
    <row r="203" ht="16.5" customHeight="1" s="220">
      <c r="A203" s="1" t="n"/>
      <c r="B203" s="1" t="n"/>
      <c r="C203" s="2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  <c r="BA203" s="1" t="n"/>
    </row>
    <row r="204" ht="16.5" customHeight="1" s="220">
      <c r="A204" s="1" t="n"/>
      <c r="B204" s="1" t="n"/>
      <c r="C204" s="2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  <c r="BA204" s="1" t="n"/>
    </row>
    <row r="205" ht="16.5" customHeight="1" s="220">
      <c r="A205" s="1" t="n"/>
      <c r="B205" s="1" t="n"/>
      <c r="C205" s="2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  <c r="BA205" s="1" t="n"/>
    </row>
    <row r="206" ht="16.5" customHeight="1" s="220">
      <c r="A206" s="1" t="n"/>
      <c r="B206" s="1" t="n"/>
      <c r="C206" s="2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  <c r="BA206" s="1" t="n"/>
    </row>
    <row r="207" ht="16.5" customHeight="1" s="220">
      <c r="A207" s="1" t="n"/>
      <c r="B207" s="1" t="n"/>
      <c r="C207" s="2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  <c r="BA207" s="1" t="n"/>
    </row>
    <row r="208" ht="16.5" customHeight="1" s="220">
      <c r="A208" s="1" t="n"/>
      <c r="B208" s="1" t="n"/>
      <c r="C208" s="2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  <c r="BA208" s="1" t="n"/>
    </row>
    <row r="209" ht="16.5" customHeight="1" s="220">
      <c r="A209" s="1" t="n"/>
      <c r="B209" s="1" t="n"/>
      <c r="C209" s="2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  <c r="BA209" s="1" t="n"/>
    </row>
    <row r="210" ht="16.5" customHeight="1" s="220">
      <c r="A210" s="1" t="n"/>
      <c r="B210" s="1" t="n"/>
      <c r="C210" s="2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  <c r="BA210" s="1" t="n"/>
    </row>
    <row r="211" ht="16.5" customHeight="1" s="220">
      <c r="A211" s="1" t="n"/>
      <c r="B211" s="1" t="n"/>
      <c r="C211" s="2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  <c r="BA211" s="1" t="n"/>
    </row>
    <row r="212" ht="16.5" customHeight="1" s="220">
      <c r="A212" s="1" t="n"/>
      <c r="B212" s="1" t="n"/>
      <c r="C212" s="2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  <c r="BA212" s="1" t="n"/>
    </row>
    <row r="213" ht="16.5" customHeight="1" s="220">
      <c r="A213" s="1" t="n"/>
      <c r="B213" s="1" t="n"/>
      <c r="C213" s="2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  <c r="BA213" s="1" t="n"/>
    </row>
    <row r="214" ht="16.5" customHeight="1" s="220">
      <c r="A214" s="1" t="n"/>
      <c r="B214" s="1" t="n"/>
      <c r="C214" s="2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  <c r="BA214" s="1" t="n"/>
    </row>
    <row r="215" ht="16.5" customHeight="1" s="220">
      <c r="A215" s="1" t="n"/>
      <c r="B215" s="1" t="n"/>
      <c r="C215" s="2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  <c r="BA215" s="1" t="n"/>
    </row>
    <row r="216" ht="16.5" customHeight="1" s="220">
      <c r="A216" s="1" t="n"/>
      <c r="B216" s="1" t="n"/>
      <c r="C216" s="2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  <c r="BA216" s="1" t="n"/>
    </row>
    <row r="217" ht="16.5" customHeight="1" s="220">
      <c r="A217" s="1" t="n"/>
      <c r="B217" s="1" t="n"/>
      <c r="C217" s="2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  <c r="BA217" s="1" t="n"/>
    </row>
    <row r="218" ht="16.5" customHeight="1" s="220">
      <c r="A218" s="1" t="n"/>
      <c r="B218" s="1" t="n"/>
      <c r="C218" s="2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  <c r="BA218" s="1" t="n"/>
    </row>
    <row r="219" ht="16.5" customHeight="1" s="220">
      <c r="A219" s="1" t="n"/>
      <c r="B219" s="1" t="n"/>
      <c r="C219" s="2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  <c r="BA219" s="1" t="n"/>
    </row>
    <row r="220" ht="16.5" customHeight="1" s="220">
      <c r="A220" s="1" t="n"/>
      <c r="B220" s="1" t="n"/>
      <c r="C220" s="2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  <c r="BA220" s="1" t="n"/>
    </row>
    <row r="221" ht="16.5" customHeight="1" s="220">
      <c r="A221" s="1" t="n"/>
      <c r="B221" s="1" t="n"/>
      <c r="C221" s="2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  <c r="BA221" s="1" t="n"/>
    </row>
    <row r="222" ht="16.5" customHeight="1" s="220">
      <c r="A222" s="1" t="n"/>
      <c r="B222" s="1" t="n"/>
      <c r="C222" s="2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  <c r="BA222" s="1" t="n"/>
    </row>
    <row r="223" ht="16.5" customHeight="1" s="220">
      <c r="A223" s="1" t="n"/>
      <c r="B223" s="1" t="n"/>
      <c r="C223" s="2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  <c r="BA223" s="1" t="n"/>
    </row>
    <row r="224" ht="16.5" customHeight="1" s="220">
      <c r="A224" s="1" t="n"/>
      <c r="B224" s="1" t="n"/>
      <c r="C224" s="2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  <c r="BA224" s="1" t="n"/>
    </row>
    <row r="225" ht="16.5" customHeight="1" s="220">
      <c r="A225" s="1" t="n"/>
      <c r="B225" s="1" t="n"/>
      <c r="C225" s="2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  <c r="BA225" s="1" t="n"/>
    </row>
    <row r="226" ht="16.5" customHeight="1" s="220">
      <c r="A226" s="1" t="n"/>
      <c r="B226" s="1" t="n"/>
      <c r="C226" s="2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  <c r="AZ226" s="1" t="n"/>
      <c r="BA226" s="1" t="n"/>
    </row>
    <row r="227" ht="16.5" customHeight="1" s="220">
      <c r="A227" s="1" t="n"/>
      <c r="B227" s="1" t="n"/>
      <c r="C227" s="2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  <c r="BA227" s="1" t="n"/>
    </row>
    <row r="228" ht="16.5" customHeight="1" s="220">
      <c r="A228" s="1" t="n"/>
      <c r="B228" s="1" t="n"/>
      <c r="C228" s="2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  <c r="AZ228" s="1" t="n"/>
      <c r="BA228" s="1" t="n"/>
    </row>
    <row r="229" ht="16.5" customHeight="1" s="220">
      <c r="A229" s="1" t="n"/>
      <c r="B229" s="1" t="n"/>
      <c r="C229" s="2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  <c r="BA229" s="1" t="n"/>
    </row>
    <row r="230" ht="16.5" customHeight="1" s="220">
      <c r="A230" s="1" t="n"/>
      <c r="B230" s="1" t="n"/>
      <c r="C230" s="2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  <c r="AZ230" s="1" t="n"/>
      <c r="BA230" s="1" t="n"/>
    </row>
    <row r="231" ht="16.5" customHeight="1" s="220">
      <c r="A231" s="1" t="n"/>
      <c r="B231" s="1" t="n"/>
      <c r="C231" s="2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  <c r="BA231" s="1" t="n"/>
    </row>
    <row r="232" ht="16.5" customHeight="1" s="220">
      <c r="A232" s="1" t="n"/>
      <c r="B232" s="1" t="n"/>
      <c r="C232" s="2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  <c r="AZ232" s="1" t="n"/>
      <c r="BA232" s="1" t="n"/>
    </row>
    <row r="233" ht="16.5" customHeight="1" s="220">
      <c r="A233" s="1" t="n"/>
      <c r="B233" s="1" t="n"/>
      <c r="C233" s="2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  <c r="BA233" s="1" t="n"/>
    </row>
    <row r="234" ht="16.5" customHeight="1" s="220">
      <c r="A234" s="1" t="n"/>
      <c r="B234" s="1" t="n"/>
      <c r="C234" s="2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  <c r="AY234" s="1" t="n"/>
      <c r="AZ234" s="1" t="n"/>
      <c r="BA234" s="1" t="n"/>
    </row>
    <row r="235" ht="16.5" customHeight="1" s="220">
      <c r="A235" s="1" t="n"/>
      <c r="B235" s="1" t="n"/>
      <c r="C235" s="2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  <c r="AZ235" s="1" t="n"/>
      <c r="BA235" s="1" t="n"/>
    </row>
    <row r="236" ht="16.5" customHeight="1" s="220">
      <c r="A236" s="1" t="n"/>
      <c r="B236" s="1" t="n"/>
      <c r="C236" s="2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  <c r="AY236" s="1" t="n"/>
      <c r="AZ236" s="1" t="n"/>
      <c r="BA236" s="1" t="n"/>
    </row>
    <row r="237" ht="16.5" customHeight="1" s="220">
      <c r="A237" s="1" t="n"/>
      <c r="B237" s="1" t="n"/>
      <c r="C237" s="2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  <c r="BA237" s="1" t="n"/>
    </row>
    <row r="238" ht="16.5" customHeight="1" s="220">
      <c r="A238" s="1" t="n"/>
      <c r="B238" s="1" t="n"/>
      <c r="C238" s="2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  <c r="AZ238" s="1" t="n"/>
      <c r="BA238" s="1" t="n"/>
    </row>
    <row r="239" ht="16.5" customHeight="1" s="220">
      <c r="A239" s="1" t="n"/>
      <c r="B239" s="1" t="n"/>
      <c r="C239" s="2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  <c r="AZ239" s="1" t="n"/>
      <c r="BA239" s="1" t="n"/>
    </row>
    <row r="240" ht="16.5" customHeight="1" s="220">
      <c r="A240" s="1" t="n"/>
      <c r="B240" s="1" t="n"/>
      <c r="C240" s="2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</row>
    <row r="241" ht="16.5" customHeight="1" s="220">
      <c r="A241" s="1" t="n"/>
      <c r="B241" s="1" t="n"/>
      <c r="C241" s="2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  <c r="AZ241" s="1" t="n"/>
      <c r="BA241" s="1" t="n"/>
    </row>
    <row r="242" ht="16.5" customHeight="1" s="220">
      <c r="A242" s="1" t="n"/>
      <c r="B242" s="1" t="n"/>
      <c r="C242" s="2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  <c r="BA242" s="1" t="n"/>
    </row>
    <row r="243" ht="16.5" customHeight="1" s="220">
      <c r="A243" s="1" t="n"/>
      <c r="B243" s="1" t="n"/>
      <c r="C243" s="2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  <c r="AZ243" s="1" t="n"/>
      <c r="BA243" s="1" t="n"/>
    </row>
    <row r="244" ht="16.5" customHeight="1" s="220">
      <c r="A244" s="1" t="n"/>
      <c r="B244" s="1" t="n"/>
      <c r="C244" s="2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  <c r="AY244" s="1" t="n"/>
      <c r="AZ244" s="1" t="n"/>
      <c r="BA244" s="1" t="n"/>
    </row>
    <row r="245" ht="16.5" customHeight="1" s="220">
      <c r="A245" s="1" t="n"/>
      <c r="B245" s="1" t="n"/>
      <c r="C245" s="2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  <c r="AZ245" s="1" t="n"/>
      <c r="BA245" s="1" t="n"/>
    </row>
    <row r="246" ht="16.5" customHeight="1" s="220">
      <c r="A246" s="1" t="n"/>
      <c r="B246" s="1" t="n"/>
      <c r="C246" s="2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  <c r="AX246" s="1" t="n"/>
      <c r="AY246" s="1" t="n"/>
      <c r="AZ246" s="1" t="n"/>
      <c r="BA246" s="1" t="n"/>
    </row>
    <row r="247" ht="16.5" customHeight="1" s="220">
      <c r="A247" s="1" t="n"/>
      <c r="B247" s="1" t="n"/>
      <c r="C247" s="2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  <c r="AY247" s="1" t="n"/>
      <c r="AZ247" s="1" t="n"/>
      <c r="BA247" s="1" t="n"/>
    </row>
    <row r="248" ht="16.5" customHeight="1" s="220">
      <c r="A248" s="1" t="n"/>
      <c r="B248" s="1" t="n"/>
      <c r="C248" s="2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  <c r="AX248" s="1" t="n"/>
      <c r="AY248" s="1" t="n"/>
      <c r="AZ248" s="1" t="n"/>
      <c r="BA248" s="1" t="n"/>
    </row>
    <row r="249" ht="16.5" customHeight="1" s="220">
      <c r="A249" s="1" t="n"/>
      <c r="B249" s="1" t="n"/>
      <c r="C249" s="2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  <c r="AY249" s="1" t="n"/>
      <c r="AZ249" s="1" t="n"/>
      <c r="BA249" s="1" t="n"/>
    </row>
    <row r="250" ht="16.5" customHeight="1" s="220">
      <c r="A250" s="1" t="n"/>
      <c r="B250" s="1" t="n"/>
      <c r="C250" s="2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  <c r="AY250" s="1" t="n"/>
      <c r="AZ250" s="1" t="n"/>
      <c r="BA250" s="1" t="n"/>
    </row>
    <row r="251" ht="16.5" customHeight="1" s="220">
      <c r="A251" s="1" t="n"/>
      <c r="B251" s="1" t="n"/>
      <c r="C251" s="2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  <c r="AZ251" s="1" t="n"/>
      <c r="BA251" s="1" t="n"/>
    </row>
    <row r="252" ht="16.5" customHeight="1" s="220">
      <c r="A252" s="1" t="n"/>
      <c r="B252" s="1" t="n"/>
      <c r="C252" s="2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  <c r="AY252" s="1" t="n"/>
      <c r="AZ252" s="1" t="n"/>
      <c r="BA252" s="1" t="n"/>
    </row>
    <row r="253" ht="16.5" customHeight="1" s="220">
      <c r="A253" s="1" t="n"/>
      <c r="B253" s="1" t="n"/>
      <c r="C253" s="2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  <c r="AZ253" s="1" t="n"/>
      <c r="BA253" s="1" t="n"/>
    </row>
    <row r="254" ht="16.5" customHeight="1" s="220">
      <c r="A254" s="1" t="n"/>
      <c r="B254" s="1" t="n"/>
      <c r="C254" s="2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  <c r="AX254" s="1" t="n"/>
      <c r="AY254" s="1" t="n"/>
      <c r="AZ254" s="1" t="n"/>
      <c r="BA254" s="1" t="n"/>
    </row>
    <row r="255" ht="16.5" customHeight="1" s="220">
      <c r="A255" s="1" t="n"/>
      <c r="B255" s="1" t="n"/>
      <c r="C255" s="2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  <c r="AZ255" s="1" t="n"/>
      <c r="BA255" s="1" t="n"/>
    </row>
    <row r="256" ht="16.5" customHeight="1" s="220">
      <c r="A256" s="1" t="n"/>
      <c r="B256" s="1" t="n"/>
      <c r="C256" s="2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  <c r="AY256" s="1" t="n"/>
      <c r="AZ256" s="1" t="n"/>
      <c r="BA256" s="1" t="n"/>
    </row>
    <row r="257" ht="16.5" customHeight="1" s="220">
      <c r="A257" s="1" t="n"/>
      <c r="B257" s="1" t="n"/>
      <c r="C257" s="2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  <c r="BA257" s="1" t="n"/>
    </row>
    <row r="258" ht="16.5" customHeight="1" s="220">
      <c r="A258" s="1" t="n"/>
      <c r="B258" s="1" t="n"/>
      <c r="C258" s="2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  <c r="AY258" s="1" t="n"/>
      <c r="AZ258" s="1" t="n"/>
      <c r="BA258" s="1" t="n"/>
    </row>
    <row r="259" ht="16.5" customHeight="1" s="220">
      <c r="A259" s="1" t="n"/>
      <c r="B259" s="1" t="n"/>
      <c r="C259" s="2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  <c r="BA259" s="1" t="n"/>
    </row>
    <row r="260" ht="16.5" customHeight="1" s="220">
      <c r="A260" s="1" t="n"/>
      <c r="B260" s="1" t="n"/>
      <c r="C260" s="2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  <c r="AX260" s="1" t="n"/>
      <c r="AY260" s="1" t="n"/>
      <c r="AZ260" s="1" t="n"/>
      <c r="BA260" s="1" t="n"/>
    </row>
    <row r="261" ht="16.5" customHeight="1" s="220">
      <c r="A261" s="1" t="n"/>
      <c r="B261" s="1" t="n"/>
      <c r="C261" s="2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  <c r="AZ261" s="1" t="n"/>
      <c r="BA261" s="1" t="n"/>
    </row>
    <row r="262" ht="16.5" customHeight="1" s="220">
      <c r="A262" s="1" t="n"/>
      <c r="B262" s="1" t="n"/>
      <c r="C262" s="2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  <c r="AX262" s="1" t="n"/>
      <c r="AY262" s="1" t="n"/>
      <c r="AZ262" s="1" t="n"/>
      <c r="BA262" s="1" t="n"/>
    </row>
    <row r="263" ht="16.5" customHeight="1" s="220">
      <c r="A263" s="1" t="n"/>
      <c r="B263" s="1" t="n"/>
      <c r="C263" s="2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  <c r="AZ263" s="1" t="n"/>
      <c r="BA263" s="1" t="n"/>
    </row>
    <row r="264" ht="16.5" customHeight="1" s="220">
      <c r="A264" s="1" t="n"/>
      <c r="B264" s="1" t="n"/>
      <c r="C264" s="2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  <c r="AX264" s="1" t="n"/>
      <c r="AY264" s="1" t="n"/>
      <c r="AZ264" s="1" t="n"/>
      <c r="BA264" s="1" t="n"/>
    </row>
    <row r="265" ht="16.5" customHeight="1" s="220">
      <c r="A265" s="1" t="n"/>
      <c r="B265" s="1" t="n"/>
      <c r="C265" s="2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  <c r="BA265" s="1" t="n"/>
    </row>
    <row r="266" ht="16.5" customHeight="1" s="220">
      <c r="A266" s="1" t="n"/>
      <c r="B266" s="1" t="n"/>
      <c r="C266" s="2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  <c r="AX266" s="1" t="n"/>
      <c r="AY266" s="1" t="n"/>
      <c r="AZ266" s="1" t="n"/>
      <c r="BA266" s="1" t="n"/>
    </row>
    <row r="267" ht="16.5" customHeight="1" s="220">
      <c r="A267" s="1" t="n"/>
      <c r="B267" s="1" t="n"/>
      <c r="C267" s="2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  <c r="BA267" s="1" t="n"/>
    </row>
    <row r="268" ht="16.5" customHeight="1" s="220">
      <c r="A268" s="1" t="n"/>
      <c r="B268" s="1" t="n"/>
      <c r="C268" s="2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  <c r="AZ268" s="1" t="n"/>
      <c r="BA268" s="1" t="n"/>
    </row>
    <row r="269" ht="16.5" customHeight="1" s="220">
      <c r="A269" s="1" t="n"/>
      <c r="B269" s="1" t="n"/>
      <c r="C269" s="2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  <c r="AZ269" s="1" t="n"/>
      <c r="BA269" s="1" t="n"/>
    </row>
    <row r="270" ht="16.5" customHeight="1" s="220">
      <c r="A270" s="1" t="n"/>
      <c r="B270" s="1" t="n"/>
      <c r="C270" s="2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  <c r="BA270" s="1" t="n"/>
    </row>
    <row r="271" ht="16.5" customHeight="1" s="220">
      <c r="A271" s="1" t="n"/>
      <c r="B271" s="1" t="n"/>
      <c r="C271" s="2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  <c r="AZ271" s="1" t="n"/>
      <c r="BA271" s="1" t="n"/>
    </row>
    <row r="272" ht="16.5" customHeight="1" s="220">
      <c r="A272" s="1" t="n"/>
      <c r="B272" s="1" t="n"/>
      <c r="C272" s="2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  <c r="AY272" s="1" t="n"/>
      <c r="AZ272" s="1" t="n"/>
      <c r="BA272" s="1" t="n"/>
    </row>
    <row r="273" ht="16.5" customHeight="1" s="220">
      <c r="A273" s="1" t="n"/>
      <c r="B273" s="1" t="n"/>
      <c r="C273" s="2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  <c r="AZ273" s="1" t="n"/>
      <c r="BA273" s="1" t="n"/>
    </row>
    <row r="274" ht="16.5" customHeight="1" s="220">
      <c r="A274" s="1" t="n"/>
      <c r="B274" s="1" t="n"/>
      <c r="C274" s="2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  <c r="AX274" s="1" t="n"/>
      <c r="AY274" s="1" t="n"/>
      <c r="AZ274" s="1" t="n"/>
      <c r="BA274" s="1" t="n"/>
    </row>
    <row r="275" ht="16.5" customHeight="1" s="220">
      <c r="A275" s="1" t="n"/>
      <c r="B275" s="1" t="n"/>
      <c r="C275" s="2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  <c r="AY275" s="1" t="n"/>
      <c r="AZ275" s="1" t="n"/>
      <c r="BA275" s="1" t="n"/>
    </row>
    <row r="276" ht="16.5" customHeight="1" s="220">
      <c r="A276" s="1" t="n"/>
      <c r="B276" s="1" t="n"/>
      <c r="C276" s="2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  <c r="BA276" s="1" t="n"/>
    </row>
    <row r="277" ht="16.5" customHeight="1" s="220">
      <c r="A277" s="1" t="n"/>
      <c r="B277" s="1" t="n"/>
      <c r="C277" s="2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  <c r="AX277" s="1" t="n"/>
      <c r="AY277" s="1" t="n"/>
      <c r="AZ277" s="1" t="n"/>
      <c r="BA277" s="1" t="n"/>
    </row>
    <row r="278" ht="16.5" customHeight="1" s="220">
      <c r="A278" s="1" t="n"/>
      <c r="B278" s="1" t="n"/>
      <c r="C278" s="2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  <c r="AZ278" s="1" t="n"/>
      <c r="BA278" s="1" t="n"/>
    </row>
    <row r="279" ht="16.5" customHeight="1" s="220">
      <c r="A279" s="1" t="n"/>
      <c r="B279" s="1" t="n"/>
      <c r="C279" s="2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  <c r="AX279" s="1" t="n"/>
      <c r="AY279" s="1" t="n"/>
      <c r="AZ279" s="1" t="n"/>
      <c r="BA279" s="1" t="n"/>
    </row>
    <row r="280" ht="16.5" customHeight="1" s="220">
      <c r="A280" s="1" t="n"/>
      <c r="B280" s="1" t="n"/>
      <c r="C280" s="2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  <c r="AX280" s="1" t="n"/>
      <c r="AY280" s="1" t="n"/>
      <c r="AZ280" s="1" t="n"/>
      <c r="BA280" s="1" t="n"/>
    </row>
    <row r="281" ht="16.5" customHeight="1" s="220">
      <c r="A281" s="1" t="n"/>
      <c r="B281" s="1" t="n"/>
      <c r="C281" s="2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  <c r="AX281" s="1" t="n"/>
      <c r="AY281" s="1" t="n"/>
      <c r="AZ281" s="1" t="n"/>
      <c r="BA281" s="1" t="n"/>
    </row>
    <row r="282" ht="16.5" customHeight="1" s="220">
      <c r="A282" s="1" t="n"/>
      <c r="B282" s="1" t="n"/>
      <c r="C282" s="2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  <c r="AX282" s="1" t="n"/>
      <c r="AY282" s="1" t="n"/>
      <c r="AZ282" s="1" t="n"/>
      <c r="BA282" s="1" t="n"/>
    </row>
    <row r="283" ht="16.5" customHeight="1" s="220">
      <c r="A283" s="1" t="n"/>
      <c r="B283" s="1" t="n"/>
      <c r="C283" s="2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  <c r="AX283" s="1" t="n"/>
      <c r="AY283" s="1" t="n"/>
      <c r="AZ283" s="1" t="n"/>
      <c r="BA283" s="1" t="n"/>
    </row>
    <row r="284" ht="16.5" customHeight="1" s="220">
      <c r="A284" s="1" t="n"/>
      <c r="B284" s="1" t="n"/>
      <c r="C284" s="2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  <c r="AX284" s="1" t="n"/>
      <c r="AY284" s="1" t="n"/>
      <c r="AZ284" s="1" t="n"/>
      <c r="BA284" s="1" t="n"/>
    </row>
    <row r="285" ht="16.5" customHeight="1" s="220">
      <c r="A285" s="1" t="n"/>
      <c r="B285" s="1" t="n"/>
      <c r="C285" s="2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  <c r="AX285" s="1" t="n"/>
      <c r="AY285" s="1" t="n"/>
      <c r="AZ285" s="1" t="n"/>
      <c r="BA285" s="1" t="n"/>
    </row>
    <row r="286" ht="16.5" customHeight="1" s="220">
      <c r="A286" s="1" t="n"/>
      <c r="B286" s="1" t="n"/>
      <c r="C286" s="2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  <c r="AX286" s="1" t="n"/>
      <c r="AY286" s="1" t="n"/>
      <c r="AZ286" s="1" t="n"/>
      <c r="BA286" s="1" t="n"/>
    </row>
    <row r="287" ht="16.5" customHeight="1" s="220">
      <c r="A287" s="1" t="n"/>
      <c r="B287" s="1" t="n"/>
      <c r="C287" s="2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  <c r="AX287" s="1" t="n"/>
      <c r="AY287" s="1" t="n"/>
      <c r="AZ287" s="1" t="n"/>
      <c r="BA287" s="1" t="n"/>
    </row>
    <row r="288" ht="16.5" customHeight="1" s="220">
      <c r="A288" s="1" t="n"/>
      <c r="B288" s="1" t="n"/>
      <c r="C288" s="2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  <c r="AX288" s="1" t="n"/>
      <c r="AY288" s="1" t="n"/>
      <c r="AZ288" s="1" t="n"/>
      <c r="BA288" s="1" t="n"/>
    </row>
    <row r="289" ht="16.5" customHeight="1" s="220">
      <c r="A289" s="1" t="n"/>
      <c r="B289" s="1" t="n"/>
      <c r="C289" s="2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  <c r="AX289" s="1" t="n"/>
      <c r="AY289" s="1" t="n"/>
      <c r="AZ289" s="1" t="n"/>
      <c r="BA289" s="1" t="n"/>
    </row>
    <row r="290" ht="16.5" customHeight="1" s="220">
      <c r="A290" s="1" t="n"/>
      <c r="B290" s="1" t="n"/>
      <c r="C290" s="2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  <c r="AX290" s="1" t="n"/>
      <c r="AY290" s="1" t="n"/>
      <c r="AZ290" s="1" t="n"/>
      <c r="BA290" s="1" t="n"/>
    </row>
    <row r="291" ht="16.5" customHeight="1" s="220">
      <c r="A291" s="1" t="n"/>
      <c r="B291" s="1" t="n"/>
      <c r="C291" s="2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  <c r="AX291" s="1" t="n"/>
      <c r="AY291" s="1" t="n"/>
      <c r="AZ291" s="1" t="n"/>
      <c r="BA291" s="1" t="n"/>
    </row>
    <row r="292" ht="16.5" customHeight="1" s="220">
      <c r="A292" s="1" t="n"/>
      <c r="B292" s="1" t="n"/>
      <c r="C292" s="2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  <c r="AW292" s="1" t="n"/>
      <c r="AX292" s="1" t="n"/>
      <c r="AY292" s="1" t="n"/>
      <c r="AZ292" s="1" t="n"/>
      <c r="BA292" s="1" t="n"/>
    </row>
    <row r="293" ht="16.5" customHeight="1" s="220">
      <c r="A293" s="1" t="n"/>
      <c r="B293" s="1" t="n"/>
      <c r="C293" s="2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  <c r="AX293" s="1" t="n"/>
      <c r="AY293" s="1" t="n"/>
      <c r="AZ293" s="1" t="n"/>
      <c r="BA293" s="1" t="n"/>
    </row>
    <row r="294" ht="16.5" customHeight="1" s="220">
      <c r="A294" s="1" t="n"/>
      <c r="B294" s="1" t="n"/>
      <c r="C294" s="2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  <c r="AS294" s="1" t="n"/>
      <c r="AT294" s="1" t="n"/>
      <c r="AU294" s="1" t="n"/>
      <c r="AV294" s="1" t="n"/>
      <c r="AW294" s="1" t="n"/>
      <c r="AX294" s="1" t="n"/>
      <c r="AY294" s="1" t="n"/>
      <c r="AZ294" s="1" t="n"/>
      <c r="BA294" s="1" t="n"/>
    </row>
    <row r="295" ht="16.5" customHeight="1" s="220">
      <c r="A295" s="1" t="n"/>
      <c r="B295" s="1" t="n"/>
      <c r="C295" s="2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  <c r="AX295" s="1" t="n"/>
      <c r="AY295" s="1" t="n"/>
      <c r="AZ295" s="1" t="n"/>
      <c r="BA295" s="1" t="n"/>
    </row>
    <row r="296" ht="16.5" customHeight="1" s="220">
      <c r="A296" s="1" t="n"/>
      <c r="B296" s="1" t="n"/>
      <c r="C296" s="2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T296" s="1" t="n"/>
      <c r="AU296" s="1" t="n"/>
      <c r="AV296" s="1" t="n"/>
      <c r="AW296" s="1" t="n"/>
      <c r="AX296" s="1" t="n"/>
      <c r="AY296" s="1" t="n"/>
      <c r="AZ296" s="1" t="n"/>
      <c r="BA296" s="1" t="n"/>
    </row>
    <row r="297" ht="16.5" customHeight="1" s="220">
      <c r="A297" s="1" t="n"/>
      <c r="B297" s="1" t="n"/>
      <c r="C297" s="2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  <c r="AX297" s="1" t="n"/>
      <c r="AY297" s="1" t="n"/>
      <c r="AZ297" s="1" t="n"/>
      <c r="BA297" s="1" t="n"/>
    </row>
    <row r="298" ht="16.5" customHeight="1" s="220">
      <c r="A298" s="1" t="n"/>
      <c r="B298" s="1" t="n"/>
      <c r="C298" s="2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  <c r="AW298" s="1" t="n"/>
      <c r="AX298" s="1" t="n"/>
      <c r="AY298" s="1" t="n"/>
      <c r="AZ298" s="1" t="n"/>
      <c r="BA298" s="1" t="n"/>
    </row>
    <row r="299" ht="16.5" customHeight="1" s="220">
      <c r="A299" s="1" t="n"/>
      <c r="B299" s="1" t="n"/>
      <c r="C299" s="2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  <c r="AX299" s="1" t="n"/>
      <c r="AY299" s="1" t="n"/>
      <c r="AZ299" s="1" t="n"/>
      <c r="BA299" s="1" t="n"/>
    </row>
    <row r="300" ht="16.5" customHeight="1" s="220">
      <c r="A300" s="1" t="n"/>
      <c r="B300" s="1" t="n"/>
      <c r="C300" s="2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  <c r="AW300" s="1" t="n"/>
      <c r="AX300" s="1" t="n"/>
      <c r="AY300" s="1" t="n"/>
      <c r="AZ300" s="1" t="n"/>
      <c r="BA300" s="1" t="n"/>
    </row>
    <row r="301" ht="16.5" customHeight="1" s="220">
      <c r="A301" s="1" t="n"/>
      <c r="B301" s="1" t="n"/>
      <c r="C301" s="2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  <c r="AX301" s="1" t="n"/>
      <c r="AY301" s="1" t="n"/>
      <c r="AZ301" s="1" t="n"/>
      <c r="BA301" s="1" t="n"/>
    </row>
    <row r="302" ht="16.5" customHeight="1" s="220">
      <c r="A302" s="1" t="n"/>
      <c r="B302" s="1" t="n"/>
      <c r="C302" s="2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  <c r="AW302" s="1" t="n"/>
      <c r="AX302" s="1" t="n"/>
      <c r="AY302" s="1" t="n"/>
      <c r="AZ302" s="1" t="n"/>
      <c r="BA302" s="1" t="n"/>
    </row>
    <row r="303" ht="16.5" customHeight="1" s="220">
      <c r="A303" s="1" t="n"/>
      <c r="B303" s="1" t="n"/>
      <c r="C303" s="2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  <c r="AX303" s="1" t="n"/>
      <c r="AY303" s="1" t="n"/>
      <c r="AZ303" s="1" t="n"/>
      <c r="BA303" s="1" t="n"/>
    </row>
    <row r="304" ht="16.5" customHeight="1" s="220">
      <c r="A304" s="1" t="n"/>
      <c r="B304" s="1" t="n"/>
      <c r="C304" s="2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  <c r="AW304" s="1" t="n"/>
      <c r="AX304" s="1" t="n"/>
      <c r="AY304" s="1" t="n"/>
      <c r="AZ304" s="1" t="n"/>
      <c r="BA304" s="1" t="n"/>
    </row>
    <row r="305" ht="16.5" customHeight="1" s="220">
      <c r="A305" s="1" t="n"/>
      <c r="B305" s="1" t="n"/>
      <c r="C305" s="2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  <c r="AX305" s="1" t="n"/>
      <c r="AY305" s="1" t="n"/>
      <c r="AZ305" s="1" t="n"/>
      <c r="BA305" s="1" t="n"/>
    </row>
    <row r="306" ht="16.5" customHeight="1" s="220">
      <c r="A306" s="1" t="n"/>
      <c r="B306" s="1" t="n"/>
      <c r="C306" s="2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  <c r="AW306" s="1" t="n"/>
      <c r="AX306" s="1" t="n"/>
      <c r="AY306" s="1" t="n"/>
      <c r="AZ306" s="1" t="n"/>
      <c r="BA306" s="1" t="n"/>
    </row>
    <row r="307" ht="16.5" customHeight="1" s="220">
      <c r="A307" s="1" t="n"/>
      <c r="B307" s="1" t="n"/>
      <c r="C307" s="2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  <c r="AX307" s="1" t="n"/>
      <c r="AY307" s="1" t="n"/>
      <c r="AZ307" s="1" t="n"/>
      <c r="BA307" s="1" t="n"/>
    </row>
    <row r="308" ht="16.5" customHeight="1" s="220">
      <c r="A308" s="1" t="n"/>
      <c r="B308" s="1" t="n"/>
      <c r="C308" s="2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  <c r="AW308" s="1" t="n"/>
      <c r="AX308" s="1" t="n"/>
      <c r="AY308" s="1" t="n"/>
      <c r="AZ308" s="1" t="n"/>
      <c r="BA308" s="1" t="n"/>
    </row>
    <row r="309" ht="16.5" customHeight="1" s="220">
      <c r="A309" s="1" t="n"/>
      <c r="B309" s="1" t="n"/>
      <c r="C309" s="2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  <c r="AX309" s="1" t="n"/>
      <c r="AY309" s="1" t="n"/>
      <c r="AZ309" s="1" t="n"/>
      <c r="BA309" s="1" t="n"/>
    </row>
    <row r="310" ht="16.5" customHeight="1" s="220">
      <c r="A310" s="1" t="n"/>
      <c r="B310" s="1" t="n"/>
      <c r="C310" s="2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  <c r="AW310" s="1" t="n"/>
      <c r="AX310" s="1" t="n"/>
      <c r="AY310" s="1" t="n"/>
      <c r="AZ310" s="1" t="n"/>
      <c r="BA310" s="1" t="n"/>
    </row>
    <row r="311" ht="16.5" customHeight="1" s="220">
      <c r="A311" s="1" t="n"/>
      <c r="B311" s="1" t="n"/>
      <c r="C311" s="2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  <c r="AX311" s="1" t="n"/>
      <c r="AY311" s="1" t="n"/>
      <c r="AZ311" s="1" t="n"/>
      <c r="BA311" s="1" t="n"/>
    </row>
    <row r="312" ht="16.5" customHeight="1" s="220">
      <c r="A312" s="1" t="n"/>
      <c r="B312" s="1" t="n"/>
      <c r="C312" s="2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  <c r="AS312" s="1" t="n"/>
      <c r="AT312" s="1" t="n"/>
      <c r="AU312" s="1" t="n"/>
      <c r="AV312" s="1" t="n"/>
      <c r="AW312" s="1" t="n"/>
      <c r="AX312" s="1" t="n"/>
      <c r="AY312" s="1" t="n"/>
      <c r="AZ312" s="1" t="n"/>
      <c r="BA312" s="1" t="n"/>
    </row>
    <row r="313" ht="16.5" customHeight="1" s="220">
      <c r="A313" s="1" t="n"/>
      <c r="B313" s="1" t="n"/>
      <c r="C313" s="2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  <c r="AX313" s="1" t="n"/>
      <c r="AY313" s="1" t="n"/>
      <c r="AZ313" s="1" t="n"/>
      <c r="BA313" s="1" t="n"/>
    </row>
    <row r="314" ht="16.5" customHeight="1" s="220">
      <c r="A314" s="1" t="n"/>
      <c r="B314" s="1" t="n"/>
      <c r="C314" s="2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  <c r="AW314" s="1" t="n"/>
      <c r="AX314" s="1" t="n"/>
      <c r="AY314" s="1" t="n"/>
      <c r="AZ314" s="1" t="n"/>
      <c r="BA314" s="1" t="n"/>
    </row>
    <row r="315" ht="16.5" customHeight="1" s="220">
      <c r="A315" s="1" t="n"/>
      <c r="B315" s="1" t="n"/>
      <c r="C315" s="2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  <c r="AX315" s="1" t="n"/>
      <c r="AY315" s="1" t="n"/>
      <c r="AZ315" s="1" t="n"/>
      <c r="BA315" s="1" t="n"/>
    </row>
    <row r="316" ht="16.5" customHeight="1" s="220">
      <c r="A316" s="1" t="n"/>
      <c r="B316" s="1" t="n"/>
      <c r="C316" s="2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  <c r="AW316" s="1" t="n"/>
      <c r="AX316" s="1" t="n"/>
      <c r="AY316" s="1" t="n"/>
      <c r="AZ316" s="1" t="n"/>
      <c r="BA316" s="1" t="n"/>
    </row>
    <row r="317" ht="16.5" customHeight="1" s="220">
      <c r="A317" s="1" t="n"/>
      <c r="B317" s="1" t="n"/>
      <c r="C317" s="2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  <c r="AX317" s="1" t="n"/>
      <c r="AY317" s="1" t="n"/>
      <c r="AZ317" s="1" t="n"/>
      <c r="BA317" s="1" t="n"/>
    </row>
    <row r="318" ht="16.5" customHeight="1" s="220">
      <c r="A318" s="1" t="n"/>
      <c r="B318" s="1" t="n"/>
      <c r="C318" s="2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  <c r="AW318" s="1" t="n"/>
      <c r="AX318" s="1" t="n"/>
      <c r="AY318" s="1" t="n"/>
      <c r="AZ318" s="1" t="n"/>
      <c r="BA318" s="1" t="n"/>
    </row>
    <row r="319" ht="16.5" customHeight="1" s="220">
      <c r="A319" s="1" t="n"/>
      <c r="B319" s="1" t="n"/>
      <c r="C319" s="2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  <c r="AX319" s="1" t="n"/>
      <c r="AY319" s="1" t="n"/>
      <c r="AZ319" s="1" t="n"/>
      <c r="BA319" s="1" t="n"/>
    </row>
    <row r="320" ht="16.5" customHeight="1" s="220">
      <c r="A320" s="1" t="n"/>
      <c r="B320" s="1" t="n"/>
      <c r="C320" s="2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  <c r="AW320" s="1" t="n"/>
      <c r="AX320" s="1" t="n"/>
      <c r="AY320" s="1" t="n"/>
      <c r="AZ320" s="1" t="n"/>
      <c r="BA320" s="1" t="n"/>
    </row>
    <row r="321" ht="16.5" customHeight="1" s="220">
      <c r="A321" s="1" t="n"/>
      <c r="B321" s="1" t="n"/>
      <c r="C321" s="2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  <c r="AX321" s="1" t="n"/>
      <c r="AY321" s="1" t="n"/>
      <c r="AZ321" s="1" t="n"/>
      <c r="BA321" s="1" t="n"/>
    </row>
    <row r="322" ht="16.5" customHeight="1" s="220">
      <c r="A322" s="1" t="n"/>
      <c r="B322" s="1" t="n"/>
      <c r="C322" s="2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  <c r="AW322" s="1" t="n"/>
      <c r="AX322" s="1" t="n"/>
      <c r="AY322" s="1" t="n"/>
      <c r="AZ322" s="1" t="n"/>
      <c r="BA322" s="1" t="n"/>
    </row>
    <row r="323" ht="16.5" customHeight="1" s="220">
      <c r="A323" s="1" t="n"/>
      <c r="B323" s="1" t="n"/>
      <c r="C323" s="2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  <c r="AX323" s="1" t="n"/>
      <c r="AY323" s="1" t="n"/>
      <c r="AZ323" s="1" t="n"/>
      <c r="BA323" s="1" t="n"/>
    </row>
    <row r="324" ht="16.5" customHeight="1" s="220">
      <c r="A324" s="1" t="n"/>
      <c r="B324" s="1" t="n"/>
      <c r="C324" s="2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  <c r="AW324" s="1" t="n"/>
      <c r="AX324" s="1" t="n"/>
      <c r="AY324" s="1" t="n"/>
      <c r="AZ324" s="1" t="n"/>
      <c r="BA324" s="1" t="n"/>
    </row>
    <row r="325" ht="16.5" customHeight="1" s="220">
      <c r="A325" s="1" t="n"/>
      <c r="B325" s="1" t="n"/>
      <c r="C325" s="2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  <c r="AX325" s="1" t="n"/>
      <c r="AY325" s="1" t="n"/>
      <c r="AZ325" s="1" t="n"/>
      <c r="BA325" s="1" t="n"/>
    </row>
    <row r="326" ht="16.5" customHeight="1" s="220">
      <c r="A326" s="1" t="n"/>
      <c r="B326" s="1" t="n"/>
      <c r="C326" s="2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  <c r="AW326" s="1" t="n"/>
      <c r="AX326" s="1" t="n"/>
      <c r="AY326" s="1" t="n"/>
      <c r="AZ326" s="1" t="n"/>
      <c r="BA326" s="1" t="n"/>
    </row>
    <row r="327" ht="16.5" customHeight="1" s="220">
      <c r="A327" s="1" t="n"/>
      <c r="B327" s="1" t="n"/>
      <c r="C327" s="2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  <c r="AX327" s="1" t="n"/>
      <c r="AY327" s="1" t="n"/>
      <c r="AZ327" s="1" t="n"/>
      <c r="BA327" s="1" t="n"/>
    </row>
    <row r="328" ht="16.5" customHeight="1" s="220">
      <c r="A328" s="1" t="n"/>
      <c r="B328" s="1" t="n"/>
      <c r="C328" s="2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  <c r="AW328" s="1" t="n"/>
      <c r="AX328" s="1" t="n"/>
      <c r="AY328" s="1" t="n"/>
      <c r="AZ328" s="1" t="n"/>
      <c r="BA328" s="1" t="n"/>
    </row>
    <row r="329" ht="16.5" customHeight="1" s="220">
      <c r="A329" s="1" t="n"/>
      <c r="B329" s="1" t="n"/>
      <c r="C329" s="2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  <c r="AX329" s="1" t="n"/>
      <c r="AY329" s="1" t="n"/>
      <c r="AZ329" s="1" t="n"/>
      <c r="BA329" s="1" t="n"/>
    </row>
    <row r="330" ht="16.5" customHeight="1" s="220">
      <c r="A330" s="1" t="n"/>
      <c r="B330" s="1" t="n"/>
      <c r="C330" s="2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  <c r="AW330" s="1" t="n"/>
      <c r="AX330" s="1" t="n"/>
      <c r="AY330" s="1" t="n"/>
      <c r="AZ330" s="1" t="n"/>
      <c r="BA330" s="1" t="n"/>
    </row>
    <row r="331" ht="16.5" customHeight="1" s="220">
      <c r="A331" s="1" t="n"/>
      <c r="B331" s="1" t="n"/>
      <c r="C331" s="2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  <c r="AX331" s="1" t="n"/>
      <c r="AY331" s="1" t="n"/>
      <c r="AZ331" s="1" t="n"/>
      <c r="BA331" s="1" t="n"/>
    </row>
    <row r="332" ht="16.5" customHeight="1" s="220">
      <c r="A332" s="1" t="n"/>
      <c r="B332" s="1" t="n"/>
      <c r="C332" s="2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  <c r="AW332" s="1" t="n"/>
      <c r="AX332" s="1" t="n"/>
      <c r="AY332" s="1" t="n"/>
      <c r="AZ332" s="1" t="n"/>
      <c r="BA332" s="1" t="n"/>
    </row>
    <row r="333" ht="16.5" customHeight="1" s="220">
      <c r="A333" s="1" t="n"/>
      <c r="B333" s="1" t="n"/>
      <c r="C333" s="2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  <c r="AX333" s="1" t="n"/>
      <c r="AY333" s="1" t="n"/>
      <c r="AZ333" s="1" t="n"/>
      <c r="BA333" s="1" t="n"/>
    </row>
    <row r="334" ht="16.5" customHeight="1" s="220">
      <c r="A334" s="1" t="n"/>
      <c r="B334" s="1" t="n"/>
      <c r="C334" s="2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  <c r="AW334" s="1" t="n"/>
      <c r="AX334" s="1" t="n"/>
      <c r="AY334" s="1" t="n"/>
      <c r="AZ334" s="1" t="n"/>
      <c r="BA334" s="1" t="n"/>
    </row>
    <row r="335" ht="16.5" customHeight="1" s="220">
      <c r="A335" s="1" t="n"/>
      <c r="B335" s="1" t="n"/>
      <c r="C335" s="2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  <c r="AX335" s="1" t="n"/>
      <c r="AY335" s="1" t="n"/>
      <c r="AZ335" s="1" t="n"/>
      <c r="BA335" s="1" t="n"/>
    </row>
    <row r="336" ht="16.5" customHeight="1" s="220">
      <c r="A336" s="1" t="n"/>
      <c r="B336" s="1" t="n"/>
      <c r="C336" s="2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  <c r="AW336" s="1" t="n"/>
      <c r="AX336" s="1" t="n"/>
      <c r="AY336" s="1" t="n"/>
      <c r="AZ336" s="1" t="n"/>
      <c r="BA336" s="1" t="n"/>
    </row>
    <row r="337" ht="16.5" customHeight="1" s="220">
      <c r="A337" s="1" t="n"/>
      <c r="B337" s="1" t="n"/>
      <c r="C337" s="2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  <c r="AX337" s="1" t="n"/>
      <c r="AY337" s="1" t="n"/>
      <c r="AZ337" s="1" t="n"/>
      <c r="BA337" s="1" t="n"/>
    </row>
    <row r="338" ht="16.5" customHeight="1" s="220">
      <c r="A338" s="1" t="n"/>
      <c r="B338" s="1" t="n"/>
      <c r="C338" s="2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  <c r="AW338" s="1" t="n"/>
      <c r="AX338" s="1" t="n"/>
      <c r="AY338" s="1" t="n"/>
      <c r="AZ338" s="1" t="n"/>
      <c r="BA338" s="1" t="n"/>
    </row>
    <row r="339" ht="16.5" customHeight="1" s="220">
      <c r="A339" s="1" t="n"/>
      <c r="B339" s="1" t="n"/>
      <c r="C339" s="2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  <c r="AX339" s="1" t="n"/>
      <c r="AY339" s="1" t="n"/>
      <c r="AZ339" s="1" t="n"/>
      <c r="BA339" s="1" t="n"/>
    </row>
    <row r="340" ht="16.5" customHeight="1" s="220">
      <c r="A340" s="1" t="n"/>
      <c r="B340" s="1" t="n"/>
      <c r="C340" s="2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  <c r="AW340" s="1" t="n"/>
      <c r="AX340" s="1" t="n"/>
      <c r="AY340" s="1" t="n"/>
      <c r="AZ340" s="1" t="n"/>
      <c r="BA340" s="1" t="n"/>
    </row>
    <row r="341" ht="16.5" customHeight="1" s="220">
      <c r="A341" s="1" t="n"/>
      <c r="B341" s="1" t="n"/>
      <c r="C341" s="2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  <c r="AX341" s="1" t="n"/>
      <c r="AY341" s="1" t="n"/>
      <c r="AZ341" s="1" t="n"/>
      <c r="BA341" s="1" t="n"/>
    </row>
    <row r="342" ht="16.5" customHeight="1" s="220">
      <c r="A342" s="1" t="n"/>
      <c r="B342" s="1" t="n"/>
      <c r="C342" s="2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  <c r="AW342" s="1" t="n"/>
      <c r="AX342" s="1" t="n"/>
      <c r="AY342" s="1" t="n"/>
      <c r="AZ342" s="1" t="n"/>
      <c r="BA342" s="1" t="n"/>
    </row>
    <row r="343" ht="16.5" customHeight="1" s="220">
      <c r="A343" s="1" t="n"/>
      <c r="B343" s="1" t="n"/>
      <c r="C343" s="2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  <c r="AX343" s="1" t="n"/>
      <c r="AY343" s="1" t="n"/>
      <c r="AZ343" s="1" t="n"/>
      <c r="BA343" s="1" t="n"/>
    </row>
    <row r="344" ht="16.5" customHeight="1" s="220">
      <c r="A344" s="1" t="n"/>
      <c r="B344" s="1" t="n"/>
      <c r="C344" s="2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  <c r="AW344" s="1" t="n"/>
      <c r="AX344" s="1" t="n"/>
      <c r="AY344" s="1" t="n"/>
      <c r="AZ344" s="1" t="n"/>
      <c r="BA344" s="1" t="n"/>
    </row>
    <row r="345" ht="16.5" customHeight="1" s="220">
      <c r="A345" s="1" t="n"/>
      <c r="B345" s="1" t="n"/>
      <c r="C345" s="2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  <c r="AX345" s="1" t="n"/>
      <c r="AY345" s="1" t="n"/>
      <c r="AZ345" s="1" t="n"/>
      <c r="BA345" s="1" t="n"/>
    </row>
    <row r="346" ht="16.5" customHeight="1" s="220">
      <c r="A346" s="1" t="n"/>
      <c r="B346" s="1" t="n"/>
      <c r="C346" s="2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  <c r="AW346" s="1" t="n"/>
      <c r="AX346" s="1" t="n"/>
      <c r="AY346" s="1" t="n"/>
      <c r="AZ346" s="1" t="n"/>
      <c r="BA346" s="1" t="n"/>
    </row>
    <row r="347" ht="16.5" customHeight="1" s="220">
      <c r="A347" s="1" t="n"/>
      <c r="B347" s="1" t="n"/>
      <c r="C347" s="2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  <c r="AX347" s="1" t="n"/>
      <c r="AY347" s="1" t="n"/>
      <c r="AZ347" s="1" t="n"/>
      <c r="BA347" s="1" t="n"/>
    </row>
    <row r="348" ht="16.5" customHeight="1" s="220">
      <c r="A348" s="1" t="n"/>
      <c r="B348" s="1" t="n"/>
      <c r="C348" s="2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  <c r="AW348" s="1" t="n"/>
      <c r="AX348" s="1" t="n"/>
      <c r="AY348" s="1" t="n"/>
      <c r="AZ348" s="1" t="n"/>
      <c r="BA348" s="1" t="n"/>
    </row>
    <row r="349" ht="16.5" customHeight="1" s="220">
      <c r="A349" s="1" t="n"/>
      <c r="B349" s="1" t="n"/>
      <c r="C349" s="2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  <c r="AX349" s="1" t="n"/>
      <c r="AY349" s="1" t="n"/>
      <c r="AZ349" s="1" t="n"/>
      <c r="BA349" s="1" t="n"/>
    </row>
    <row r="350" ht="16.5" customHeight="1" s="220">
      <c r="A350" s="1" t="n"/>
      <c r="B350" s="1" t="n"/>
      <c r="C350" s="2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  <c r="AW350" s="1" t="n"/>
      <c r="AX350" s="1" t="n"/>
      <c r="AY350" s="1" t="n"/>
      <c r="AZ350" s="1" t="n"/>
      <c r="BA350" s="1" t="n"/>
    </row>
    <row r="351" ht="16.5" customHeight="1" s="220">
      <c r="A351" s="1" t="n"/>
      <c r="B351" s="1" t="n"/>
      <c r="C351" s="2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  <c r="AX351" s="1" t="n"/>
      <c r="AY351" s="1" t="n"/>
      <c r="AZ351" s="1" t="n"/>
      <c r="BA351" s="1" t="n"/>
    </row>
    <row r="352" ht="16.5" customHeight="1" s="220">
      <c r="A352" s="1" t="n"/>
      <c r="B352" s="1" t="n"/>
      <c r="C352" s="2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  <c r="AW352" s="1" t="n"/>
      <c r="AX352" s="1" t="n"/>
      <c r="AY352" s="1" t="n"/>
      <c r="AZ352" s="1" t="n"/>
      <c r="BA352" s="1" t="n"/>
    </row>
    <row r="353" ht="16.5" customHeight="1" s="220">
      <c r="A353" s="1" t="n"/>
      <c r="B353" s="1" t="n"/>
      <c r="C353" s="2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  <c r="AX353" s="1" t="n"/>
      <c r="AY353" s="1" t="n"/>
      <c r="AZ353" s="1" t="n"/>
      <c r="BA353" s="1" t="n"/>
    </row>
    <row r="354" ht="16.5" customHeight="1" s="220">
      <c r="A354" s="1" t="n"/>
      <c r="B354" s="1" t="n"/>
      <c r="C354" s="2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  <c r="AW354" s="1" t="n"/>
      <c r="AX354" s="1" t="n"/>
      <c r="AY354" s="1" t="n"/>
      <c r="AZ354" s="1" t="n"/>
      <c r="BA354" s="1" t="n"/>
    </row>
    <row r="355" ht="16.5" customHeight="1" s="220">
      <c r="A355" s="1" t="n"/>
      <c r="B355" s="1" t="n"/>
      <c r="C355" s="2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  <c r="AX355" s="1" t="n"/>
      <c r="AY355" s="1" t="n"/>
      <c r="AZ355" s="1" t="n"/>
      <c r="BA355" s="1" t="n"/>
    </row>
    <row r="356" ht="16.5" customHeight="1" s="220">
      <c r="A356" s="1" t="n"/>
      <c r="B356" s="1" t="n"/>
      <c r="C356" s="2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  <c r="AW356" s="1" t="n"/>
      <c r="AX356" s="1" t="n"/>
      <c r="AY356" s="1" t="n"/>
      <c r="AZ356" s="1" t="n"/>
      <c r="BA356" s="1" t="n"/>
    </row>
    <row r="357" ht="16.5" customHeight="1" s="220">
      <c r="A357" s="1" t="n"/>
      <c r="B357" s="1" t="n"/>
      <c r="C357" s="2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  <c r="AX357" s="1" t="n"/>
      <c r="AY357" s="1" t="n"/>
      <c r="AZ357" s="1" t="n"/>
      <c r="BA357" s="1" t="n"/>
    </row>
    <row r="358" ht="16.5" customHeight="1" s="220">
      <c r="A358" s="1" t="n"/>
      <c r="B358" s="1" t="n"/>
      <c r="C358" s="2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  <c r="AW358" s="1" t="n"/>
      <c r="AX358" s="1" t="n"/>
      <c r="AY358" s="1" t="n"/>
      <c r="AZ358" s="1" t="n"/>
      <c r="BA358" s="1" t="n"/>
    </row>
    <row r="359" ht="16.5" customHeight="1" s="220">
      <c r="A359" s="1" t="n"/>
      <c r="B359" s="1" t="n"/>
      <c r="C359" s="2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  <c r="AX359" s="1" t="n"/>
      <c r="AY359" s="1" t="n"/>
      <c r="AZ359" s="1" t="n"/>
      <c r="BA359" s="1" t="n"/>
    </row>
    <row r="360" ht="16.5" customHeight="1" s="220">
      <c r="A360" s="1" t="n"/>
      <c r="B360" s="1" t="n"/>
      <c r="C360" s="2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  <c r="AW360" s="1" t="n"/>
      <c r="AX360" s="1" t="n"/>
      <c r="AY360" s="1" t="n"/>
      <c r="AZ360" s="1" t="n"/>
      <c r="BA360" s="1" t="n"/>
    </row>
    <row r="361" ht="16.5" customHeight="1" s="220">
      <c r="A361" s="1" t="n"/>
      <c r="B361" s="1" t="n"/>
      <c r="C361" s="2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  <c r="AX361" s="1" t="n"/>
      <c r="AY361" s="1" t="n"/>
      <c r="AZ361" s="1" t="n"/>
      <c r="BA361" s="1" t="n"/>
    </row>
    <row r="362" ht="16.5" customHeight="1" s="220">
      <c r="A362" s="1" t="n"/>
      <c r="B362" s="1" t="n"/>
      <c r="C362" s="2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  <c r="AW362" s="1" t="n"/>
      <c r="AX362" s="1" t="n"/>
      <c r="AY362" s="1" t="n"/>
      <c r="AZ362" s="1" t="n"/>
      <c r="BA362" s="1" t="n"/>
    </row>
    <row r="363" ht="16.5" customHeight="1" s="220">
      <c r="A363" s="1" t="n"/>
      <c r="B363" s="1" t="n"/>
      <c r="C363" s="2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  <c r="AX363" s="1" t="n"/>
      <c r="AY363" s="1" t="n"/>
      <c r="AZ363" s="1" t="n"/>
      <c r="BA363" s="1" t="n"/>
    </row>
    <row r="364" ht="16.5" customHeight="1" s="220">
      <c r="A364" s="1" t="n"/>
      <c r="B364" s="1" t="n"/>
      <c r="C364" s="2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  <c r="AW364" s="1" t="n"/>
      <c r="AX364" s="1" t="n"/>
      <c r="AY364" s="1" t="n"/>
      <c r="AZ364" s="1" t="n"/>
      <c r="BA364" s="1" t="n"/>
    </row>
    <row r="365" ht="16.5" customHeight="1" s="220">
      <c r="A365" s="1" t="n"/>
      <c r="B365" s="1" t="n"/>
      <c r="C365" s="2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  <c r="AX365" s="1" t="n"/>
      <c r="AY365" s="1" t="n"/>
      <c r="AZ365" s="1" t="n"/>
      <c r="BA365" s="1" t="n"/>
    </row>
    <row r="366" ht="16.5" customHeight="1" s="220">
      <c r="A366" s="1" t="n"/>
      <c r="B366" s="1" t="n"/>
      <c r="C366" s="2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  <c r="AW366" s="1" t="n"/>
      <c r="AX366" s="1" t="n"/>
      <c r="AY366" s="1" t="n"/>
      <c r="AZ366" s="1" t="n"/>
      <c r="BA366" s="1" t="n"/>
    </row>
    <row r="367" ht="16.5" customHeight="1" s="220">
      <c r="A367" s="1" t="n"/>
      <c r="B367" s="1" t="n"/>
      <c r="C367" s="2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  <c r="AX367" s="1" t="n"/>
      <c r="AY367" s="1" t="n"/>
      <c r="AZ367" s="1" t="n"/>
      <c r="BA367" s="1" t="n"/>
    </row>
    <row r="368" ht="16.5" customHeight="1" s="220">
      <c r="A368" s="1" t="n"/>
      <c r="B368" s="1" t="n"/>
      <c r="C368" s="2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  <c r="AW368" s="1" t="n"/>
      <c r="AX368" s="1" t="n"/>
      <c r="AY368" s="1" t="n"/>
      <c r="AZ368" s="1" t="n"/>
      <c r="BA368" s="1" t="n"/>
    </row>
    <row r="369" ht="16.5" customHeight="1" s="220">
      <c r="A369" s="1" t="n"/>
      <c r="B369" s="1" t="n"/>
      <c r="C369" s="2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  <c r="AX369" s="1" t="n"/>
      <c r="AY369" s="1" t="n"/>
      <c r="AZ369" s="1" t="n"/>
      <c r="BA369" s="1" t="n"/>
    </row>
    <row r="370" ht="16.5" customHeight="1" s="220">
      <c r="A370" s="1" t="n"/>
      <c r="B370" s="1" t="n"/>
      <c r="C370" s="2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  <c r="AW370" s="1" t="n"/>
      <c r="AX370" s="1" t="n"/>
      <c r="AY370" s="1" t="n"/>
      <c r="AZ370" s="1" t="n"/>
      <c r="BA370" s="1" t="n"/>
    </row>
    <row r="371" ht="16.5" customHeight="1" s="220">
      <c r="A371" s="1" t="n"/>
      <c r="B371" s="1" t="n"/>
      <c r="C371" s="2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  <c r="AY371" s="1" t="n"/>
      <c r="AZ371" s="1" t="n"/>
      <c r="BA371" s="1" t="n"/>
    </row>
    <row r="372" ht="16.5" customHeight="1" s="220">
      <c r="A372" s="1" t="n"/>
      <c r="B372" s="1" t="n"/>
      <c r="C372" s="2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  <c r="AW372" s="1" t="n"/>
      <c r="AX372" s="1" t="n"/>
      <c r="AY372" s="1" t="n"/>
      <c r="AZ372" s="1" t="n"/>
      <c r="BA372" s="1" t="n"/>
    </row>
    <row r="373" ht="16.5" customHeight="1" s="220">
      <c r="A373" s="1" t="n"/>
      <c r="B373" s="1" t="n"/>
      <c r="C373" s="2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  <c r="AY373" s="1" t="n"/>
      <c r="AZ373" s="1" t="n"/>
      <c r="BA373" s="1" t="n"/>
    </row>
    <row r="374" ht="16.5" customHeight="1" s="220">
      <c r="A374" s="1" t="n"/>
      <c r="B374" s="1" t="n"/>
      <c r="C374" s="2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  <c r="AW374" s="1" t="n"/>
      <c r="AX374" s="1" t="n"/>
      <c r="AY374" s="1" t="n"/>
      <c r="AZ374" s="1" t="n"/>
      <c r="BA374" s="1" t="n"/>
    </row>
    <row r="375" ht="16.5" customHeight="1" s="220">
      <c r="A375" s="1" t="n"/>
      <c r="B375" s="1" t="n"/>
      <c r="C375" s="2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  <c r="AX375" s="1" t="n"/>
      <c r="AY375" s="1" t="n"/>
      <c r="AZ375" s="1" t="n"/>
      <c r="BA375" s="1" t="n"/>
    </row>
    <row r="376" ht="16.5" customHeight="1" s="220">
      <c r="A376" s="1" t="n"/>
      <c r="B376" s="1" t="n"/>
      <c r="C376" s="2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  <c r="AW376" s="1" t="n"/>
      <c r="AX376" s="1" t="n"/>
      <c r="AY376" s="1" t="n"/>
      <c r="AZ376" s="1" t="n"/>
      <c r="BA376" s="1" t="n"/>
    </row>
    <row r="377" ht="16.5" customHeight="1" s="220">
      <c r="A377" s="1" t="n"/>
      <c r="B377" s="1" t="n"/>
      <c r="C377" s="2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</row>
    <row r="378" ht="16.5" customHeight="1" s="220">
      <c r="A378" s="1" t="n"/>
      <c r="B378" s="1" t="n"/>
      <c r="C378" s="2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  <c r="AW378" s="1" t="n"/>
      <c r="AX378" s="1" t="n"/>
      <c r="AY378" s="1" t="n"/>
      <c r="AZ378" s="1" t="n"/>
      <c r="BA378" s="1" t="n"/>
    </row>
    <row r="379" ht="16.5" customHeight="1" s="220">
      <c r="A379" s="1" t="n"/>
      <c r="B379" s="1" t="n"/>
      <c r="C379" s="2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  <c r="AX379" s="1" t="n"/>
      <c r="AY379" s="1" t="n"/>
      <c r="AZ379" s="1" t="n"/>
      <c r="BA379" s="1" t="n"/>
    </row>
    <row r="380" ht="16.5" customHeight="1" s="220">
      <c r="A380" s="1" t="n"/>
      <c r="B380" s="1" t="n"/>
      <c r="C380" s="2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  <c r="AW380" s="1" t="n"/>
      <c r="AX380" s="1" t="n"/>
      <c r="AY380" s="1" t="n"/>
      <c r="AZ380" s="1" t="n"/>
      <c r="BA380" s="1" t="n"/>
    </row>
    <row r="381" ht="16.5" customHeight="1" s="220">
      <c r="A381" s="1" t="n"/>
      <c r="B381" s="1" t="n"/>
      <c r="C381" s="2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  <c r="AX381" s="1" t="n"/>
      <c r="AY381" s="1" t="n"/>
      <c r="AZ381" s="1" t="n"/>
      <c r="BA381" s="1" t="n"/>
    </row>
    <row r="382" ht="16.5" customHeight="1" s="220">
      <c r="A382" s="1" t="n"/>
      <c r="B382" s="1" t="n"/>
      <c r="C382" s="2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  <c r="AW382" s="1" t="n"/>
      <c r="AX382" s="1" t="n"/>
      <c r="AY382" s="1" t="n"/>
      <c r="AZ382" s="1" t="n"/>
      <c r="BA382" s="1" t="n"/>
    </row>
    <row r="383" ht="16.5" customHeight="1" s="220">
      <c r="A383" s="1" t="n"/>
      <c r="B383" s="1" t="n"/>
      <c r="C383" s="2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  <c r="AX383" s="1" t="n"/>
      <c r="AY383" s="1" t="n"/>
      <c r="AZ383" s="1" t="n"/>
      <c r="BA383" s="1" t="n"/>
    </row>
    <row r="384" ht="16.5" customHeight="1" s="220">
      <c r="A384" s="1" t="n"/>
      <c r="B384" s="1" t="n"/>
      <c r="C384" s="2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  <c r="AW384" s="1" t="n"/>
      <c r="AX384" s="1" t="n"/>
      <c r="AY384" s="1" t="n"/>
      <c r="AZ384" s="1" t="n"/>
      <c r="BA384" s="1" t="n"/>
    </row>
    <row r="385" ht="16.5" customHeight="1" s="220">
      <c r="A385" s="1" t="n"/>
      <c r="B385" s="1" t="n"/>
      <c r="C385" s="2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  <c r="AX385" s="1" t="n"/>
      <c r="AY385" s="1" t="n"/>
      <c r="AZ385" s="1" t="n"/>
      <c r="BA385" s="1" t="n"/>
    </row>
    <row r="386" ht="16.5" customHeight="1" s="220">
      <c r="A386" s="1" t="n"/>
      <c r="B386" s="1" t="n"/>
      <c r="C386" s="2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  <c r="BA386" s="1" t="n"/>
    </row>
    <row r="387" ht="16.5" customHeight="1" s="220">
      <c r="A387" s="1" t="n"/>
      <c r="B387" s="1" t="n"/>
      <c r="C387" s="2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  <c r="AX387" s="1" t="n"/>
      <c r="AY387" s="1" t="n"/>
      <c r="AZ387" s="1" t="n"/>
      <c r="BA387" s="1" t="n"/>
    </row>
    <row r="388" ht="16.5" customHeight="1" s="220">
      <c r="A388" s="1" t="n"/>
      <c r="B388" s="1" t="n"/>
      <c r="C388" s="2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  <c r="BA388" s="1" t="n"/>
    </row>
    <row r="389" ht="16.5" customHeight="1" s="220">
      <c r="A389" s="1" t="n"/>
      <c r="B389" s="1" t="n"/>
      <c r="C389" s="2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  <c r="AX389" s="1" t="n"/>
      <c r="AY389" s="1" t="n"/>
      <c r="AZ389" s="1" t="n"/>
      <c r="BA389" s="1" t="n"/>
    </row>
    <row r="390" ht="16.5" customHeight="1" s="220">
      <c r="A390" s="1" t="n"/>
      <c r="B390" s="1" t="n"/>
      <c r="C390" s="2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  <c r="AW390" s="1" t="n"/>
      <c r="AX390" s="1" t="n"/>
      <c r="AY390" s="1" t="n"/>
      <c r="AZ390" s="1" t="n"/>
      <c r="BA390" s="1" t="n"/>
    </row>
    <row r="391" ht="16.5" customHeight="1" s="220">
      <c r="A391" s="1" t="n"/>
      <c r="B391" s="1" t="n"/>
      <c r="C391" s="2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</row>
    <row r="392" ht="16.5" customHeight="1" s="220">
      <c r="A392" s="1" t="n"/>
      <c r="B392" s="1" t="n"/>
      <c r="C392" s="2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  <c r="AW392" s="1" t="n"/>
      <c r="AX392" s="1" t="n"/>
      <c r="AY392" s="1" t="n"/>
      <c r="AZ392" s="1" t="n"/>
      <c r="BA392" s="1" t="n"/>
    </row>
    <row r="393" ht="16.5" customHeight="1" s="220">
      <c r="A393" s="1" t="n"/>
      <c r="B393" s="1" t="n"/>
      <c r="C393" s="2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  <c r="AX393" s="1" t="n"/>
      <c r="AY393" s="1" t="n"/>
      <c r="AZ393" s="1" t="n"/>
      <c r="BA393" s="1" t="n"/>
    </row>
    <row r="394" ht="16.5" customHeight="1" s="220">
      <c r="A394" s="1" t="n"/>
      <c r="B394" s="1" t="n"/>
      <c r="C394" s="2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  <c r="AW394" s="1" t="n"/>
      <c r="AX394" s="1" t="n"/>
      <c r="AY394" s="1" t="n"/>
      <c r="AZ394" s="1" t="n"/>
      <c r="BA394" s="1" t="n"/>
    </row>
    <row r="395" ht="16.5" customHeight="1" s="220">
      <c r="A395" s="1" t="n"/>
      <c r="B395" s="1" t="n"/>
      <c r="C395" s="2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  <c r="AX395" s="1" t="n"/>
      <c r="AY395" s="1" t="n"/>
      <c r="AZ395" s="1" t="n"/>
      <c r="BA395" s="1" t="n"/>
    </row>
    <row r="396" ht="16.5" customHeight="1" s="220">
      <c r="A396" s="1" t="n"/>
      <c r="B396" s="1" t="n"/>
      <c r="C396" s="2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  <c r="BA396" s="1" t="n"/>
    </row>
    <row r="397" ht="16.5" customHeight="1" s="220">
      <c r="A397" s="1" t="n"/>
      <c r="B397" s="1" t="n"/>
      <c r="C397" s="2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  <c r="AX397" s="1" t="n"/>
      <c r="AY397" s="1" t="n"/>
      <c r="AZ397" s="1" t="n"/>
      <c r="BA397" s="1" t="n"/>
    </row>
    <row r="398" ht="16.5" customHeight="1" s="220">
      <c r="A398" s="1" t="n"/>
      <c r="B398" s="1" t="n"/>
      <c r="C398" s="2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  <c r="BA398" s="1" t="n"/>
    </row>
    <row r="399" ht="16.5" customHeight="1" s="220">
      <c r="A399" s="1" t="n"/>
      <c r="B399" s="1" t="n"/>
      <c r="C399" s="2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  <c r="AX399" s="1" t="n"/>
      <c r="AY399" s="1" t="n"/>
      <c r="AZ399" s="1" t="n"/>
      <c r="BA399" s="1" t="n"/>
    </row>
    <row r="400" ht="16.5" customHeight="1" s="220">
      <c r="A400" s="1" t="n"/>
      <c r="B400" s="1" t="n"/>
      <c r="C400" s="2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  <c r="AW400" s="1" t="n"/>
      <c r="AX400" s="1" t="n"/>
      <c r="AY400" s="1" t="n"/>
      <c r="AZ400" s="1" t="n"/>
      <c r="BA400" s="1" t="n"/>
    </row>
    <row r="401" ht="16.5" customHeight="1" s="220">
      <c r="A401" s="1" t="n"/>
      <c r="B401" s="1" t="n"/>
      <c r="C401" s="2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  <c r="AX401" s="1" t="n"/>
      <c r="AY401" s="1" t="n"/>
      <c r="AZ401" s="1" t="n"/>
      <c r="BA401" s="1" t="n"/>
    </row>
    <row r="402" ht="16.5" customHeight="1" s="220">
      <c r="A402" s="1" t="n"/>
      <c r="B402" s="1" t="n"/>
      <c r="C402" s="2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  <c r="AW402" s="1" t="n"/>
      <c r="AX402" s="1" t="n"/>
      <c r="AY402" s="1" t="n"/>
      <c r="AZ402" s="1" t="n"/>
      <c r="BA402" s="1" t="n"/>
    </row>
    <row r="403" ht="16.5" customHeight="1" s="220">
      <c r="A403" s="1" t="n"/>
      <c r="B403" s="1" t="n"/>
      <c r="C403" s="2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  <c r="AX403" s="1" t="n"/>
      <c r="AY403" s="1" t="n"/>
      <c r="AZ403" s="1" t="n"/>
      <c r="BA403" s="1" t="n"/>
    </row>
    <row r="404" ht="16.5" customHeight="1" s="220">
      <c r="A404" s="1" t="n"/>
      <c r="B404" s="1" t="n"/>
      <c r="C404" s="2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  <c r="AW404" s="1" t="n"/>
      <c r="AX404" s="1" t="n"/>
      <c r="AY404" s="1" t="n"/>
      <c r="AZ404" s="1" t="n"/>
      <c r="BA404" s="1" t="n"/>
    </row>
    <row r="405" ht="16.5" customHeight="1" s="220">
      <c r="A405" s="1" t="n"/>
      <c r="B405" s="1" t="n"/>
      <c r="C405" s="2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  <c r="AX405" s="1" t="n"/>
      <c r="AY405" s="1" t="n"/>
      <c r="AZ405" s="1" t="n"/>
      <c r="BA405" s="1" t="n"/>
    </row>
    <row r="406" ht="16.5" customHeight="1" s="220">
      <c r="A406" s="1" t="n"/>
      <c r="B406" s="1" t="n"/>
      <c r="C406" s="2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  <c r="AW406" s="1" t="n"/>
      <c r="AX406" s="1" t="n"/>
      <c r="AY406" s="1" t="n"/>
      <c r="AZ406" s="1" t="n"/>
      <c r="BA406" s="1" t="n"/>
    </row>
    <row r="407" ht="16.5" customHeight="1" s="220">
      <c r="A407" s="1" t="n"/>
      <c r="B407" s="1" t="n"/>
      <c r="C407" s="2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</row>
    <row r="408" ht="16.5" customHeight="1" s="220">
      <c r="A408" s="1" t="n"/>
      <c r="B408" s="1" t="n"/>
      <c r="C408" s="2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  <c r="AW408" s="1" t="n"/>
      <c r="AX408" s="1" t="n"/>
      <c r="AY408" s="1" t="n"/>
      <c r="AZ408" s="1" t="n"/>
      <c r="BA408" s="1" t="n"/>
    </row>
    <row r="409" ht="16.5" customHeight="1" s="220">
      <c r="A409" s="1" t="n"/>
      <c r="B409" s="1" t="n"/>
      <c r="C409" s="2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  <c r="AX409" s="1" t="n"/>
      <c r="AY409" s="1" t="n"/>
      <c r="AZ409" s="1" t="n"/>
      <c r="BA409" s="1" t="n"/>
    </row>
    <row r="410" ht="16.5" customHeight="1" s="220">
      <c r="A410" s="1" t="n"/>
      <c r="B410" s="1" t="n"/>
      <c r="C410" s="2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  <c r="AW410" s="1" t="n"/>
      <c r="AX410" s="1" t="n"/>
      <c r="AY410" s="1" t="n"/>
      <c r="AZ410" s="1" t="n"/>
      <c r="BA410" s="1" t="n"/>
    </row>
    <row r="411" ht="16.5" customHeight="1" s="220">
      <c r="A411" s="1" t="n"/>
      <c r="B411" s="1" t="n"/>
      <c r="C411" s="2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  <c r="AX411" s="1" t="n"/>
      <c r="AY411" s="1" t="n"/>
      <c r="AZ411" s="1" t="n"/>
      <c r="BA411" s="1" t="n"/>
    </row>
    <row r="412" ht="16.5" customHeight="1" s="220">
      <c r="A412" s="1" t="n"/>
      <c r="B412" s="1" t="n"/>
      <c r="C412" s="2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  <c r="AW412" s="1" t="n"/>
      <c r="AX412" s="1" t="n"/>
      <c r="AY412" s="1" t="n"/>
      <c r="AZ412" s="1" t="n"/>
      <c r="BA412" s="1" t="n"/>
    </row>
    <row r="413" ht="16.5" customHeight="1" s="220">
      <c r="A413" s="1" t="n"/>
      <c r="B413" s="1" t="n"/>
      <c r="C413" s="2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  <c r="AX413" s="1" t="n"/>
      <c r="AY413" s="1" t="n"/>
      <c r="AZ413" s="1" t="n"/>
      <c r="BA413" s="1" t="n"/>
    </row>
    <row r="414" ht="16.5" customHeight="1" s="220">
      <c r="A414" s="1" t="n"/>
      <c r="B414" s="1" t="n"/>
      <c r="C414" s="2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  <c r="AW414" s="1" t="n"/>
      <c r="AX414" s="1" t="n"/>
      <c r="AY414" s="1" t="n"/>
      <c r="AZ414" s="1" t="n"/>
      <c r="BA414" s="1" t="n"/>
    </row>
    <row r="415" ht="16.5" customHeight="1" s="220">
      <c r="A415" s="1" t="n"/>
      <c r="B415" s="1" t="n"/>
      <c r="C415" s="2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  <c r="AX415" s="1" t="n"/>
      <c r="AY415" s="1" t="n"/>
      <c r="AZ415" s="1" t="n"/>
      <c r="BA415" s="1" t="n"/>
    </row>
    <row r="416" ht="16.5" customHeight="1" s="220">
      <c r="A416" s="1" t="n"/>
      <c r="B416" s="1" t="n"/>
      <c r="C416" s="2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  <c r="AW416" s="1" t="n"/>
      <c r="AX416" s="1" t="n"/>
      <c r="AY416" s="1" t="n"/>
      <c r="AZ416" s="1" t="n"/>
      <c r="BA416" s="1" t="n"/>
    </row>
    <row r="417" ht="16.5" customHeight="1" s="220">
      <c r="A417" s="1" t="n"/>
      <c r="B417" s="1" t="n"/>
      <c r="C417" s="2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  <c r="AX417" s="1" t="n"/>
      <c r="AY417" s="1" t="n"/>
      <c r="AZ417" s="1" t="n"/>
      <c r="BA417" s="1" t="n"/>
    </row>
    <row r="418" ht="16.5" customHeight="1" s="220">
      <c r="A418" s="1" t="n"/>
      <c r="B418" s="1" t="n"/>
      <c r="C418" s="2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  <c r="AW418" s="1" t="n"/>
      <c r="AX418" s="1" t="n"/>
      <c r="AY418" s="1" t="n"/>
      <c r="AZ418" s="1" t="n"/>
      <c r="BA418" s="1" t="n"/>
    </row>
    <row r="419" ht="16.5" customHeight="1" s="220">
      <c r="A419" s="1" t="n"/>
      <c r="B419" s="1" t="n"/>
      <c r="C419" s="2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  <c r="AX419" s="1" t="n"/>
      <c r="AY419" s="1" t="n"/>
      <c r="AZ419" s="1" t="n"/>
      <c r="BA419" s="1" t="n"/>
    </row>
    <row r="420" ht="16.5" customHeight="1" s="220">
      <c r="A420" s="1" t="n"/>
      <c r="B420" s="1" t="n"/>
      <c r="C420" s="2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  <c r="AW420" s="1" t="n"/>
      <c r="AX420" s="1" t="n"/>
      <c r="AY420" s="1" t="n"/>
      <c r="AZ420" s="1" t="n"/>
      <c r="BA420" s="1" t="n"/>
    </row>
    <row r="421" ht="16.5" customHeight="1" s="220">
      <c r="A421" s="1" t="n"/>
      <c r="B421" s="1" t="n"/>
      <c r="C421" s="2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  <c r="AX421" s="1" t="n"/>
      <c r="AY421" s="1" t="n"/>
      <c r="AZ421" s="1" t="n"/>
      <c r="BA421" s="1" t="n"/>
    </row>
    <row r="422" ht="16.5" customHeight="1" s="220">
      <c r="A422" s="1" t="n"/>
      <c r="B422" s="1" t="n"/>
      <c r="C422" s="2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  <c r="AW422" s="1" t="n"/>
      <c r="AX422" s="1" t="n"/>
      <c r="AY422" s="1" t="n"/>
      <c r="AZ422" s="1" t="n"/>
      <c r="BA422" s="1" t="n"/>
    </row>
    <row r="423" ht="16.5" customHeight="1" s="220">
      <c r="A423" s="1" t="n"/>
      <c r="B423" s="1" t="n"/>
      <c r="C423" s="2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  <c r="AX423" s="1" t="n"/>
      <c r="AY423" s="1" t="n"/>
      <c r="AZ423" s="1" t="n"/>
      <c r="BA423" s="1" t="n"/>
    </row>
    <row r="424" ht="16.5" customHeight="1" s="220">
      <c r="A424" s="1" t="n"/>
      <c r="B424" s="1" t="n"/>
      <c r="C424" s="2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  <c r="AW424" s="1" t="n"/>
      <c r="AX424" s="1" t="n"/>
      <c r="AY424" s="1" t="n"/>
      <c r="AZ424" s="1" t="n"/>
      <c r="BA424" s="1" t="n"/>
    </row>
    <row r="425" ht="16.5" customHeight="1" s="220">
      <c r="A425" s="1" t="n"/>
      <c r="B425" s="1" t="n"/>
      <c r="C425" s="2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  <c r="AX425" s="1" t="n"/>
      <c r="AY425" s="1" t="n"/>
      <c r="AZ425" s="1" t="n"/>
      <c r="BA425" s="1" t="n"/>
    </row>
    <row r="426" ht="16.5" customHeight="1" s="220">
      <c r="A426" s="1" t="n"/>
      <c r="B426" s="1" t="n"/>
      <c r="C426" s="2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  <c r="AW426" s="1" t="n"/>
      <c r="AX426" s="1" t="n"/>
      <c r="AY426" s="1" t="n"/>
      <c r="AZ426" s="1" t="n"/>
      <c r="BA426" s="1" t="n"/>
    </row>
    <row r="427" ht="16.5" customHeight="1" s="220">
      <c r="A427" s="1" t="n"/>
      <c r="B427" s="1" t="n"/>
      <c r="C427" s="2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  <c r="AX427" s="1" t="n"/>
      <c r="AY427" s="1" t="n"/>
      <c r="AZ427" s="1" t="n"/>
      <c r="BA427" s="1" t="n"/>
    </row>
    <row r="428" ht="16.5" customHeight="1" s="220">
      <c r="A428" s="1" t="n"/>
      <c r="B428" s="1" t="n"/>
      <c r="C428" s="2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  <c r="AW428" s="1" t="n"/>
      <c r="AX428" s="1" t="n"/>
      <c r="AY428" s="1" t="n"/>
      <c r="AZ428" s="1" t="n"/>
      <c r="BA428" s="1" t="n"/>
    </row>
    <row r="429" ht="16.5" customHeight="1" s="220">
      <c r="A429" s="1" t="n"/>
      <c r="B429" s="1" t="n"/>
      <c r="C429" s="2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  <c r="AX429" s="1" t="n"/>
      <c r="AY429" s="1" t="n"/>
      <c r="AZ429" s="1" t="n"/>
      <c r="BA429" s="1" t="n"/>
    </row>
    <row r="430" ht="16.5" customHeight="1" s="220">
      <c r="A430" s="1" t="n"/>
      <c r="B430" s="1" t="n"/>
      <c r="C430" s="2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  <c r="AW430" s="1" t="n"/>
      <c r="AX430" s="1" t="n"/>
      <c r="AY430" s="1" t="n"/>
      <c r="AZ430" s="1" t="n"/>
      <c r="BA430" s="1" t="n"/>
    </row>
    <row r="431" ht="16.5" customHeight="1" s="220">
      <c r="A431" s="1" t="n"/>
      <c r="B431" s="1" t="n"/>
      <c r="C431" s="2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  <c r="AX431" s="1" t="n"/>
      <c r="AY431" s="1" t="n"/>
      <c r="AZ431" s="1" t="n"/>
      <c r="BA431" s="1" t="n"/>
    </row>
    <row r="432" ht="16.5" customHeight="1" s="220">
      <c r="A432" s="1" t="n"/>
      <c r="B432" s="1" t="n"/>
      <c r="C432" s="2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  <c r="AW432" s="1" t="n"/>
      <c r="AX432" s="1" t="n"/>
      <c r="AY432" s="1" t="n"/>
      <c r="AZ432" s="1" t="n"/>
      <c r="BA432" s="1" t="n"/>
    </row>
    <row r="433" ht="16.5" customHeight="1" s="220">
      <c r="A433" s="1" t="n"/>
      <c r="B433" s="1" t="n"/>
      <c r="C433" s="2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  <c r="AX433" s="1" t="n"/>
      <c r="AY433" s="1" t="n"/>
      <c r="AZ433" s="1" t="n"/>
      <c r="BA433" s="1" t="n"/>
    </row>
    <row r="434" ht="16.5" customHeight="1" s="220">
      <c r="A434" s="1" t="n"/>
      <c r="B434" s="1" t="n"/>
      <c r="C434" s="2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  <c r="AS434" s="1" t="n"/>
      <c r="AT434" s="1" t="n"/>
      <c r="AU434" s="1" t="n"/>
      <c r="AV434" s="1" t="n"/>
      <c r="AW434" s="1" t="n"/>
      <c r="AX434" s="1" t="n"/>
      <c r="AY434" s="1" t="n"/>
      <c r="AZ434" s="1" t="n"/>
      <c r="BA434" s="1" t="n"/>
    </row>
    <row r="435" ht="16.5" customHeight="1" s="220">
      <c r="A435" s="1" t="n"/>
      <c r="B435" s="1" t="n"/>
      <c r="C435" s="2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  <c r="AX435" s="1" t="n"/>
      <c r="AY435" s="1" t="n"/>
      <c r="AZ435" s="1" t="n"/>
      <c r="BA435" s="1" t="n"/>
    </row>
    <row r="436" ht="16.5" customHeight="1" s="220">
      <c r="A436" s="1" t="n"/>
      <c r="B436" s="1" t="n"/>
      <c r="C436" s="2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  <c r="AW436" s="1" t="n"/>
      <c r="AX436" s="1" t="n"/>
      <c r="AY436" s="1" t="n"/>
      <c r="AZ436" s="1" t="n"/>
      <c r="BA436" s="1" t="n"/>
    </row>
    <row r="437" ht="16.5" customHeight="1" s="220">
      <c r="A437" s="1" t="n"/>
      <c r="B437" s="1" t="n"/>
      <c r="C437" s="2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  <c r="AX437" s="1" t="n"/>
      <c r="AY437" s="1" t="n"/>
      <c r="AZ437" s="1" t="n"/>
      <c r="BA437" s="1" t="n"/>
    </row>
    <row r="438" ht="16.5" customHeight="1" s="220">
      <c r="A438" s="1" t="n"/>
      <c r="B438" s="1" t="n"/>
      <c r="C438" s="2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  <c r="AW438" s="1" t="n"/>
      <c r="AX438" s="1" t="n"/>
      <c r="AY438" s="1" t="n"/>
      <c r="AZ438" s="1" t="n"/>
      <c r="BA438" s="1" t="n"/>
    </row>
    <row r="439" ht="16.5" customHeight="1" s="220">
      <c r="A439" s="1" t="n"/>
      <c r="B439" s="1" t="n"/>
      <c r="C439" s="2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  <c r="AX439" s="1" t="n"/>
      <c r="AY439" s="1" t="n"/>
      <c r="AZ439" s="1" t="n"/>
      <c r="BA439" s="1" t="n"/>
    </row>
    <row r="440" ht="16.5" customHeight="1" s="220">
      <c r="A440" s="1" t="n"/>
      <c r="B440" s="1" t="n"/>
      <c r="C440" s="2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  <c r="AW440" s="1" t="n"/>
      <c r="AX440" s="1" t="n"/>
      <c r="AY440" s="1" t="n"/>
      <c r="AZ440" s="1" t="n"/>
      <c r="BA440" s="1" t="n"/>
    </row>
    <row r="441" ht="16.5" customHeight="1" s="220">
      <c r="A441" s="1" t="n"/>
      <c r="B441" s="1" t="n"/>
      <c r="C441" s="2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  <c r="AX441" s="1" t="n"/>
      <c r="AY441" s="1" t="n"/>
      <c r="AZ441" s="1" t="n"/>
      <c r="BA441" s="1" t="n"/>
    </row>
    <row r="442" ht="16.5" customHeight="1" s="220">
      <c r="A442" s="1" t="n"/>
      <c r="B442" s="1" t="n"/>
      <c r="C442" s="2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  <c r="AW442" s="1" t="n"/>
      <c r="AX442" s="1" t="n"/>
      <c r="AY442" s="1" t="n"/>
      <c r="AZ442" s="1" t="n"/>
      <c r="BA442" s="1" t="n"/>
    </row>
    <row r="443" ht="16.5" customHeight="1" s="220">
      <c r="A443" s="1" t="n"/>
      <c r="B443" s="1" t="n"/>
      <c r="C443" s="2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  <c r="AX443" s="1" t="n"/>
      <c r="AY443" s="1" t="n"/>
      <c r="AZ443" s="1" t="n"/>
      <c r="BA443" s="1" t="n"/>
    </row>
    <row r="444" ht="16.5" customHeight="1" s="220">
      <c r="A444" s="1" t="n"/>
      <c r="B444" s="1" t="n"/>
      <c r="C444" s="2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  <c r="AW444" s="1" t="n"/>
      <c r="AX444" s="1" t="n"/>
      <c r="AY444" s="1" t="n"/>
      <c r="AZ444" s="1" t="n"/>
      <c r="BA444" s="1" t="n"/>
    </row>
    <row r="445" ht="16.5" customHeight="1" s="220">
      <c r="A445" s="1" t="n"/>
      <c r="B445" s="1" t="n"/>
      <c r="C445" s="2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  <c r="AW445" s="1" t="n"/>
      <c r="AX445" s="1" t="n"/>
      <c r="AY445" s="1" t="n"/>
      <c r="AZ445" s="1" t="n"/>
      <c r="BA445" s="1" t="n"/>
    </row>
    <row r="446" ht="16.5" customHeight="1" s="220">
      <c r="A446" s="1" t="n"/>
      <c r="B446" s="1" t="n"/>
      <c r="C446" s="2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  <c r="AW446" s="1" t="n"/>
      <c r="AX446" s="1" t="n"/>
      <c r="AY446" s="1" t="n"/>
      <c r="AZ446" s="1" t="n"/>
      <c r="BA446" s="1" t="n"/>
    </row>
    <row r="447" ht="16.5" customHeight="1" s="220">
      <c r="A447" s="1" t="n"/>
      <c r="B447" s="1" t="n"/>
      <c r="C447" s="2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  <c r="AX447" s="1" t="n"/>
      <c r="AY447" s="1" t="n"/>
      <c r="AZ447" s="1" t="n"/>
      <c r="BA447" s="1" t="n"/>
    </row>
    <row r="448" ht="16.5" customHeight="1" s="220">
      <c r="A448" s="1" t="n"/>
      <c r="B448" s="1" t="n"/>
      <c r="C448" s="2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  <c r="AW448" s="1" t="n"/>
      <c r="AX448" s="1" t="n"/>
      <c r="AY448" s="1" t="n"/>
      <c r="AZ448" s="1" t="n"/>
      <c r="BA448" s="1" t="n"/>
    </row>
    <row r="449" ht="16.5" customHeight="1" s="220">
      <c r="A449" s="1" t="n"/>
      <c r="B449" s="1" t="n"/>
      <c r="C449" s="2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  <c r="AX449" s="1" t="n"/>
      <c r="AY449" s="1" t="n"/>
      <c r="AZ449" s="1" t="n"/>
      <c r="BA449" s="1" t="n"/>
    </row>
    <row r="450" ht="16.5" customHeight="1" s="220">
      <c r="A450" s="1" t="n"/>
      <c r="B450" s="1" t="n"/>
      <c r="C450" s="2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  <c r="AS450" s="1" t="n"/>
      <c r="AT450" s="1" t="n"/>
      <c r="AU450" s="1" t="n"/>
      <c r="AV450" s="1" t="n"/>
      <c r="AW450" s="1" t="n"/>
      <c r="AX450" s="1" t="n"/>
      <c r="AY450" s="1" t="n"/>
      <c r="AZ450" s="1" t="n"/>
      <c r="BA450" s="1" t="n"/>
    </row>
    <row r="451" ht="16.5" customHeight="1" s="220">
      <c r="A451" s="1" t="n"/>
      <c r="B451" s="1" t="n"/>
      <c r="C451" s="2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  <c r="AW451" s="1" t="n"/>
      <c r="AX451" s="1" t="n"/>
      <c r="AY451" s="1" t="n"/>
      <c r="AZ451" s="1" t="n"/>
      <c r="BA451" s="1" t="n"/>
    </row>
    <row r="452" ht="16.5" customHeight="1" s="220">
      <c r="A452" s="1" t="n"/>
      <c r="B452" s="1" t="n"/>
      <c r="C452" s="2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  <c r="AS452" s="1" t="n"/>
      <c r="AT452" s="1" t="n"/>
      <c r="AU452" s="1" t="n"/>
      <c r="AV452" s="1" t="n"/>
      <c r="AW452" s="1" t="n"/>
      <c r="AX452" s="1" t="n"/>
      <c r="AY452" s="1" t="n"/>
      <c r="AZ452" s="1" t="n"/>
      <c r="BA452" s="1" t="n"/>
    </row>
    <row r="453" ht="16.5" customHeight="1" s="220">
      <c r="A453" s="1" t="n"/>
      <c r="B453" s="1" t="n"/>
      <c r="C453" s="2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  <c r="AW453" s="1" t="n"/>
      <c r="AX453" s="1" t="n"/>
      <c r="AY453" s="1" t="n"/>
      <c r="AZ453" s="1" t="n"/>
      <c r="BA453" s="1" t="n"/>
    </row>
    <row r="454" ht="16.5" customHeight="1" s="220">
      <c r="A454" s="1" t="n"/>
      <c r="B454" s="1" t="n"/>
      <c r="C454" s="2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  <c r="AS454" s="1" t="n"/>
      <c r="AT454" s="1" t="n"/>
      <c r="AU454" s="1" t="n"/>
      <c r="AV454" s="1" t="n"/>
      <c r="AW454" s="1" t="n"/>
      <c r="AX454" s="1" t="n"/>
      <c r="AY454" s="1" t="n"/>
      <c r="AZ454" s="1" t="n"/>
      <c r="BA454" s="1" t="n"/>
    </row>
    <row r="455" ht="16.5" customHeight="1" s="220">
      <c r="A455" s="1" t="n"/>
      <c r="B455" s="1" t="n"/>
      <c r="C455" s="2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  <c r="AW455" s="1" t="n"/>
      <c r="AX455" s="1" t="n"/>
      <c r="AY455" s="1" t="n"/>
      <c r="AZ455" s="1" t="n"/>
      <c r="BA455" s="1" t="n"/>
    </row>
    <row r="456" ht="16.5" customHeight="1" s="220">
      <c r="A456" s="1" t="n"/>
      <c r="B456" s="1" t="n"/>
      <c r="C456" s="2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  <c r="AS456" s="1" t="n"/>
      <c r="AT456" s="1" t="n"/>
      <c r="AU456" s="1" t="n"/>
      <c r="AV456" s="1" t="n"/>
      <c r="AW456" s="1" t="n"/>
      <c r="AX456" s="1" t="n"/>
      <c r="AY456" s="1" t="n"/>
      <c r="AZ456" s="1" t="n"/>
      <c r="BA456" s="1" t="n"/>
    </row>
    <row r="457" ht="16.5" customHeight="1" s="220">
      <c r="A457" s="1" t="n"/>
      <c r="B457" s="1" t="n"/>
      <c r="C457" s="2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  <c r="AW457" s="1" t="n"/>
      <c r="AX457" s="1" t="n"/>
      <c r="AY457" s="1" t="n"/>
      <c r="AZ457" s="1" t="n"/>
      <c r="BA457" s="1" t="n"/>
    </row>
    <row r="458" ht="16.5" customHeight="1" s="220">
      <c r="A458" s="1" t="n"/>
      <c r="B458" s="1" t="n"/>
      <c r="C458" s="2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  <c r="AS458" s="1" t="n"/>
      <c r="AT458" s="1" t="n"/>
      <c r="AU458" s="1" t="n"/>
      <c r="AV458" s="1" t="n"/>
      <c r="AW458" s="1" t="n"/>
      <c r="AX458" s="1" t="n"/>
      <c r="AY458" s="1" t="n"/>
      <c r="AZ458" s="1" t="n"/>
      <c r="BA458" s="1" t="n"/>
    </row>
    <row r="459" ht="16.5" customHeight="1" s="220">
      <c r="A459" s="1" t="n"/>
      <c r="B459" s="1" t="n"/>
      <c r="C459" s="2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  <c r="AW459" s="1" t="n"/>
      <c r="AX459" s="1" t="n"/>
      <c r="AY459" s="1" t="n"/>
      <c r="AZ459" s="1" t="n"/>
      <c r="BA459" s="1" t="n"/>
    </row>
    <row r="460" ht="16.5" customHeight="1" s="220">
      <c r="A460" s="1" t="n"/>
      <c r="B460" s="1" t="n"/>
      <c r="C460" s="2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  <c r="AS460" s="1" t="n"/>
      <c r="AT460" s="1" t="n"/>
      <c r="AU460" s="1" t="n"/>
      <c r="AV460" s="1" t="n"/>
      <c r="AW460" s="1" t="n"/>
      <c r="AX460" s="1" t="n"/>
      <c r="AY460" s="1" t="n"/>
      <c r="AZ460" s="1" t="n"/>
      <c r="BA460" s="1" t="n"/>
    </row>
    <row r="461" ht="16.5" customHeight="1" s="220">
      <c r="A461" s="1" t="n"/>
      <c r="B461" s="1" t="n"/>
      <c r="C461" s="2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  <c r="AW461" s="1" t="n"/>
      <c r="AX461" s="1" t="n"/>
      <c r="AY461" s="1" t="n"/>
      <c r="AZ461" s="1" t="n"/>
      <c r="BA461" s="1" t="n"/>
    </row>
    <row r="462" ht="16.5" customHeight="1" s="220">
      <c r="A462" s="1" t="n"/>
      <c r="B462" s="1" t="n"/>
      <c r="C462" s="2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  <c r="AS462" s="1" t="n"/>
      <c r="AT462" s="1" t="n"/>
      <c r="AU462" s="1" t="n"/>
      <c r="AV462" s="1" t="n"/>
      <c r="AW462" s="1" t="n"/>
      <c r="AX462" s="1" t="n"/>
      <c r="AY462" s="1" t="n"/>
      <c r="AZ462" s="1" t="n"/>
      <c r="BA462" s="1" t="n"/>
    </row>
    <row r="463" ht="16.5" customHeight="1" s="220">
      <c r="A463" s="1" t="n"/>
      <c r="B463" s="1" t="n"/>
      <c r="C463" s="2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  <c r="AW463" s="1" t="n"/>
      <c r="AX463" s="1" t="n"/>
      <c r="AY463" s="1" t="n"/>
      <c r="AZ463" s="1" t="n"/>
      <c r="BA463" s="1" t="n"/>
    </row>
    <row r="464" ht="16.5" customHeight="1" s="220">
      <c r="A464" s="1" t="n"/>
      <c r="B464" s="1" t="n"/>
      <c r="C464" s="2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  <c r="AS464" s="1" t="n"/>
      <c r="AT464" s="1" t="n"/>
      <c r="AU464" s="1" t="n"/>
      <c r="AV464" s="1" t="n"/>
      <c r="AW464" s="1" t="n"/>
      <c r="AX464" s="1" t="n"/>
      <c r="AY464" s="1" t="n"/>
      <c r="AZ464" s="1" t="n"/>
      <c r="BA464" s="1" t="n"/>
    </row>
    <row r="465" ht="16.5" customHeight="1" s="220">
      <c r="A465" s="1" t="n"/>
      <c r="B465" s="1" t="n"/>
      <c r="C465" s="2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  <c r="AW465" s="1" t="n"/>
      <c r="AX465" s="1" t="n"/>
      <c r="AY465" s="1" t="n"/>
      <c r="AZ465" s="1" t="n"/>
      <c r="BA465" s="1" t="n"/>
    </row>
    <row r="466" ht="16.5" customHeight="1" s="220">
      <c r="A466" s="1" t="n"/>
      <c r="B466" s="1" t="n"/>
      <c r="C466" s="2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  <c r="AS466" s="1" t="n"/>
      <c r="AT466" s="1" t="n"/>
      <c r="AU466" s="1" t="n"/>
      <c r="AV466" s="1" t="n"/>
      <c r="AW466" s="1" t="n"/>
      <c r="AX466" s="1" t="n"/>
      <c r="AY466" s="1" t="n"/>
      <c r="AZ466" s="1" t="n"/>
      <c r="BA466" s="1" t="n"/>
    </row>
    <row r="467" ht="16.5" customHeight="1" s="220">
      <c r="A467" s="1" t="n"/>
      <c r="B467" s="1" t="n"/>
      <c r="C467" s="2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  <c r="AW467" s="1" t="n"/>
      <c r="AX467" s="1" t="n"/>
      <c r="AY467" s="1" t="n"/>
      <c r="AZ467" s="1" t="n"/>
      <c r="BA467" s="1" t="n"/>
    </row>
    <row r="468" ht="16.5" customHeight="1" s="220">
      <c r="A468" s="1" t="n"/>
      <c r="B468" s="1" t="n"/>
      <c r="C468" s="2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  <c r="AS468" s="1" t="n"/>
      <c r="AT468" s="1" t="n"/>
      <c r="AU468" s="1" t="n"/>
      <c r="AV468" s="1" t="n"/>
      <c r="AW468" s="1" t="n"/>
      <c r="AX468" s="1" t="n"/>
      <c r="AY468" s="1" t="n"/>
      <c r="AZ468" s="1" t="n"/>
      <c r="BA468" s="1" t="n"/>
    </row>
    <row r="469" ht="16.5" customHeight="1" s="220">
      <c r="A469" s="1" t="n"/>
      <c r="B469" s="1" t="n"/>
      <c r="C469" s="2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  <c r="AW469" s="1" t="n"/>
      <c r="AX469" s="1" t="n"/>
      <c r="AY469" s="1" t="n"/>
      <c r="AZ469" s="1" t="n"/>
      <c r="BA469" s="1" t="n"/>
    </row>
    <row r="470" ht="16.5" customHeight="1" s="220">
      <c r="A470" s="1" t="n"/>
      <c r="B470" s="1" t="n"/>
      <c r="C470" s="2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  <c r="AS470" s="1" t="n"/>
      <c r="AT470" s="1" t="n"/>
      <c r="AU470" s="1" t="n"/>
      <c r="AV470" s="1" t="n"/>
      <c r="AW470" s="1" t="n"/>
      <c r="AX470" s="1" t="n"/>
      <c r="AY470" s="1" t="n"/>
      <c r="AZ470" s="1" t="n"/>
      <c r="BA470" s="1" t="n"/>
    </row>
    <row r="471" ht="16.5" customHeight="1" s="220">
      <c r="A471" s="1" t="n"/>
      <c r="B471" s="1" t="n"/>
      <c r="C471" s="2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  <c r="AW471" s="1" t="n"/>
      <c r="AX471" s="1" t="n"/>
      <c r="AY471" s="1" t="n"/>
      <c r="AZ471" s="1" t="n"/>
      <c r="BA471" s="1" t="n"/>
    </row>
    <row r="472" ht="16.5" customHeight="1" s="220">
      <c r="A472" s="1" t="n"/>
      <c r="B472" s="1" t="n"/>
      <c r="C472" s="2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  <c r="AS472" s="1" t="n"/>
      <c r="AT472" s="1" t="n"/>
      <c r="AU472" s="1" t="n"/>
      <c r="AV472" s="1" t="n"/>
      <c r="AW472" s="1" t="n"/>
      <c r="AX472" s="1" t="n"/>
      <c r="AY472" s="1" t="n"/>
      <c r="AZ472" s="1" t="n"/>
      <c r="BA472" s="1" t="n"/>
    </row>
    <row r="473" ht="16.5" customHeight="1" s="220">
      <c r="A473" s="1" t="n"/>
      <c r="B473" s="1" t="n"/>
      <c r="C473" s="2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  <c r="AW473" s="1" t="n"/>
      <c r="AX473" s="1" t="n"/>
      <c r="AY473" s="1" t="n"/>
      <c r="AZ473" s="1" t="n"/>
      <c r="BA473" s="1" t="n"/>
    </row>
    <row r="474" ht="16.5" customHeight="1" s="220">
      <c r="A474" s="1" t="n"/>
      <c r="B474" s="1" t="n"/>
      <c r="C474" s="2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  <c r="AS474" s="1" t="n"/>
      <c r="AT474" s="1" t="n"/>
      <c r="AU474" s="1" t="n"/>
      <c r="AV474" s="1" t="n"/>
      <c r="AW474" s="1" t="n"/>
      <c r="AX474" s="1" t="n"/>
      <c r="AY474" s="1" t="n"/>
      <c r="AZ474" s="1" t="n"/>
      <c r="BA474" s="1" t="n"/>
    </row>
    <row r="475" ht="16.5" customHeight="1" s="220">
      <c r="A475" s="1" t="n"/>
      <c r="B475" s="1" t="n"/>
      <c r="C475" s="2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  <c r="AW475" s="1" t="n"/>
      <c r="AX475" s="1" t="n"/>
      <c r="AY475" s="1" t="n"/>
      <c r="AZ475" s="1" t="n"/>
      <c r="BA475" s="1" t="n"/>
    </row>
    <row r="476" ht="16.5" customHeight="1" s="220">
      <c r="A476" s="1" t="n"/>
      <c r="B476" s="1" t="n"/>
      <c r="C476" s="2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  <c r="AS476" s="1" t="n"/>
      <c r="AT476" s="1" t="n"/>
      <c r="AU476" s="1" t="n"/>
      <c r="AV476" s="1" t="n"/>
      <c r="AW476" s="1" t="n"/>
      <c r="AX476" s="1" t="n"/>
      <c r="AY476" s="1" t="n"/>
      <c r="AZ476" s="1" t="n"/>
      <c r="BA476" s="1" t="n"/>
    </row>
    <row r="477" ht="16.5" customHeight="1" s="220">
      <c r="A477" s="1" t="n"/>
      <c r="B477" s="1" t="n"/>
      <c r="C477" s="2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  <c r="AW477" s="1" t="n"/>
      <c r="AX477" s="1" t="n"/>
      <c r="AY477" s="1" t="n"/>
      <c r="AZ477" s="1" t="n"/>
      <c r="BA477" s="1" t="n"/>
    </row>
    <row r="478" ht="16.5" customHeight="1" s="220">
      <c r="A478" s="1" t="n"/>
      <c r="B478" s="1" t="n"/>
      <c r="C478" s="2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  <c r="AS478" s="1" t="n"/>
      <c r="AT478" s="1" t="n"/>
      <c r="AU478" s="1" t="n"/>
      <c r="AV478" s="1" t="n"/>
      <c r="AW478" s="1" t="n"/>
      <c r="AX478" s="1" t="n"/>
      <c r="AY478" s="1" t="n"/>
      <c r="AZ478" s="1" t="n"/>
      <c r="BA478" s="1" t="n"/>
    </row>
    <row r="479" ht="16.5" customHeight="1" s="220">
      <c r="A479" s="1" t="n"/>
      <c r="B479" s="1" t="n"/>
      <c r="C479" s="2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  <c r="AW479" s="1" t="n"/>
      <c r="AX479" s="1" t="n"/>
      <c r="AY479" s="1" t="n"/>
      <c r="AZ479" s="1" t="n"/>
      <c r="BA479" s="1" t="n"/>
    </row>
    <row r="480" ht="16.5" customHeight="1" s="220">
      <c r="A480" s="1" t="n"/>
      <c r="B480" s="1" t="n"/>
      <c r="C480" s="2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  <c r="AS480" s="1" t="n"/>
      <c r="AT480" s="1" t="n"/>
      <c r="AU480" s="1" t="n"/>
      <c r="AV480" s="1" t="n"/>
      <c r="AW480" s="1" t="n"/>
      <c r="AX480" s="1" t="n"/>
      <c r="AY480" s="1" t="n"/>
      <c r="AZ480" s="1" t="n"/>
      <c r="BA480" s="1" t="n"/>
    </row>
    <row r="481" ht="16.5" customHeight="1" s="220">
      <c r="A481" s="1" t="n"/>
      <c r="B481" s="1" t="n"/>
      <c r="C481" s="2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  <c r="AW481" s="1" t="n"/>
      <c r="AX481" s="1" t="n"/>
      <c r="AY481" s="1" t="n"/>
      <c r="AZ481" s="1" t="n"/>
      <c r="BA481" s="1" t="n"/>
    </row>
    <row r="482" ht="16.5" customHeight="1" s="220">
      <c r="A482" s="1" t="n"/>
      <c r="B482" s="1" t="n"/>
      <c r="C482" s="2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  <c r="AR482" s="1" t="n"/>
      <c r="AS482" s="1" t="n"/>
      <c r="AT482" s="1" t="n"/>
      <c r="AU482" s="1" t="n"/>
      <c r="AV482" s="1" t="n"/>
      <c r="AW482" s="1" t="n"/>
      <c r="AX482" s="1" t="n"/>
      <c r="AY482" s="1" t="n"/>
      <c r="AZ482" s="1" t="n"/>
      <c r="BA482" s="1" t="n"/>
    </row>
    <row r="483" ht="16.5" customHeight="1" s="220">
      <c r="A483" s="1" t="n"/>
      <c r="B483" s="1" t="n"/>
      <c r="C483" s="2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  <c r="AW483" s="1" t="n"/>
      <c r="AX483" s="1" t="n"/>
      <c r="AY483" s="1" t="n"/>
      <c r="AZ483" s="1" t="n"/>
      <c r="BA483" s="1" t="n"/>
    </row>
    <row r="484" ht="16.5" customHeight="1" s="220">
      <c r="A484" s="1" t="n"/>
      <c r="B484" s="1" t="n"/>
      <c r="C484" s="2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  <c r="AS484" s="1" t="n"/>
      <c r="AT484" s="1" t="n"/>
      <c r="AU484" s="1" t="n"/>
      <c r="AV484" s="1" t="n"/>
      <c r="AW484" s="1" t="n"/>
      <c r="AX484" s="1" t="n"/>
      <c r="AY484" s="1" t="n"/>
      <c r="AZ484" s="1" t="n"/>
      <c r="BA484" s="1" t="n"/>
    </row>
    <row r="485" ht="16.5" customHeight="1" s="220">
      <c r="A485" s="1" t="n"/>
      <c r="B485" s="1" t="n"/>
      <c r="C485" s="2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  <c r="AW485" s="1" t="n"/>
      <c r="AX485" s="1" t="n"/>
      <c r="AY485" s="1" t="n"/>
      <c r="AZ485" s="1" t="n"/>
      <c r="BA485" s="1" t="n"/>
    </row>
    <row r="486" ht="16.5" customHeight="1" s="220">
      <c r="A486" s="1" t="n"/>
      <c r="B486" s="1" t="n"/>
      <c r="C486" s="2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  <c r="AS486" s="1" t="n"/>
      <c r="AT486" s="1" t="n"/>
      <c r="AU486" s="1" t="n"/>
      <c r="AV486" s="1" t="n"/>
      <c r="AW486" s="1" t="n"/>
      <c r="AX486" s="1" t="n"/>
      <c r="AY486" s="1" t="n"/>
      <c r="AZ486" s="1" t="n"/>
      <c r="BA486" s="1" t="n"/>
    </row>
    <row r="487" ht="16.5" customHeight="1" s="220">
      <c r="A487" s="1" t="n"/>
      <c r="B487" s="1" t="n"/>
      <c r="C487" s="2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  <c r="AW487" s="1" t="n"/>
      <c r="AX487" s="1" t="n"/>
      <c r="AY487" s="1" t="n"/>
      <c r="AZ487" s="1" t="n"/>
      <c r="BA487" s="1" t="n"/>
    </row>
    <row r="488" ht="16.5" customHeight="1" s="220">
      <c r="A488" s="1" t="n"/>
      <c r="B488" s="1" t="n"/>
      <c r="C488" s="2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  <c r="AS488" s="1" t="n"/>
      <c r="AT488" s="1" t="n"/>
      <c r="AU488" s="1" t="n"/>
      <c r="AV488" s="1" t="n"/>
      <c r="AW488" s="1" t="n"/>
      <c r="AX488" s="1" t="n"/>
      <c r="AY488" s="1" t="n"/>
      <c r="AZ488" s="1" t="n"/>
      <c r="BA488" s="1" t="n"/>
    </row>
    <row r="489" ht="16.5" customHeight="1" s="220">
      <c r="A489" s="1" t="n"/>
      <c r="B489" s="1" t="n"/>
      <c r="C489" s="2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  <c r="AW489" s="1" t="n"/>
      <c r="AX489" s="1" t="n"/>
      <c r="AY489" s="1" t="n"/>
      <c r="AZ489" s="1" t="n"/>
      <c r="BA489" s="1" t="n"/>
    </row>
    <row r="490" ht="16.5" customHeight="1" s="220">
      <c r="A490" s="1" t="n"/>
      <c r="B490" s="1" t="n"/>
      <c r="C490" s="2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  <c r="AS490" s="1" t="n"/>
      <c r="AT490" s="1" t="n"/>
      <c r="AU490" s="1" t="n"/>
      <c r="AV490" s="1" t="n"/>
      <c r="AW490" s="1" t="n"/>
      <c r="AX490" s="1" t="n"/>
      <c r="AY490" s="1" t="n"/>
      <c r="AZ490" s="1" t="n"/>
      <c r="BA490" s="1" t="n"/>
    </row>
    <row r="491" ht="16.5" customHeight="1" s="220">
      <c r="A491" s="1" t="n"/>
      <c r="B491" s="1" t="n"/>
      <c r="C491" s="2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  <c r="AW491" s="1" t="n"/>
      <c r="AX491" s="1" t="n"/>
      <c r="AY491" s="1" t="n"/>
      <c r="AZ491" s="1" t="n"/>
      <c r="BA491" s="1" t="n"/>
    </row>
    <row r="492" ht="16.5" customHeight="1" s="220">
      <c r="A492" s="1" t="n"/>
      <c r="B492" s="1" t="n"/>
      <c r="C492" s="2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  <c r="AS492" s="1" t="n"/>
      <c r="AT492" s="1" t="n"/>
      <c r="AU492" s="1" t="n"/>
      <c r="AV492" s="1" t="n"/>
      <c r="AW492" s="1" t="n"/>
      <c r="AX492" s="1" t="n"/>
      <c r="AY492" s="1" t="n"/>
      <c r="AZ492" s="1" t="n"/>
      <c r="BA492" s="1" t="n"/>
    </row>
    <row r="493" ht="16.5" customHeight="1" s="220">
      <c r="A493" s="1" t="n"/>
      <c r="B493" s="1" t="n"/>
      <c r="C493" s="2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  <c r="AW493" s="1" t="n"/>
      <c r="AX493" s="1" t="n"/>
      <c r="AY493" s="1" t="n"/>
      <c r="AZ493" s="1" t="n"/>
      <c r="BA493" s="1" t="n"/>
    </row>
    <row r="494" ht="16.5" customHeight="1" s="220">
      <c r="A494" s="1" t="n"/>
      <c r="B494" s="1" t="n"/>
      <c r="C494" s="2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  <c r="AS494" s="1" t="n"/>
      <c r="AT494" s="1" t="n"/>
      <c r="AU494" s="1" t="n"/>
      <c r="AV494" s="1" t="n"/>
      <c r="AW494" s="1" t="n"/>
      <c r="AX494" s="1" t="n"/>
      <c r="AY494" s="1" t="n"/>
      <c r="AZ494" s="1" t="n"/>
      <c r="BA494" s="1" t="n"/>
    </row>
    <row r="495" ht="16.5" customHeight="1" s="220">
      <c r="A495" s="1" t="n"/>
      <c r="B495" s="1" t="n"/>
      <c r="C495" s="2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  <c r="AW495" s="1" t="n"/>
      <c r="AX495" s="1" t="n"/>
      <c r="AY495" s="1" t="n"/>
      <c r="AZ495" s="1" t="n"/>
      <c r="BA495" s="1" t="n"/>
    </row>
    <row r="496" ht="16.5" customHeight="1" s="220">
      <c r="A496" s="1" t="n"/>
      <c r="B496" s="1" t="n"/>
      <c r="C496" s="2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  <c r="AS496" s="1" t="n"/>
      <c r="AT496" s="1" t="n"/>
      <c r="AU496" s="1" t="n"/>
      <c r="AV496" s="1" t="n"/>
      <c r="AW496" s="1" t="n"/>
      <c r="AX496" s="1" t="n"/>
      <c r="AY496" s="1" t="n"/>
      <c r="AZ496" s="1" t="n"/>
      <c r="BA496" s="1" t="n"/>
    </row>
    <row r="497" ht="16.5" customHeight="1" s="220">
      <c r="A497" s="1" t="n"/>
      <c r="B497" s="1" t="n"/>
      <c r="C497" s="2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  <c r="AW497" s="1" t="n"/>
      <c r="AX497" s="1" t="n"/>
      <c r="AY497" s="1" t="n"/>
      <c r="AZ497" s="1" t="n"/>
      <c r="BA497" s="1" t="n"/>
    </row>
    <row r="498" ht="16.5" customHeight="1" s="220">
      <c r="A498" s="1" t="n"/>
      <c r="B498" s="1" t="n"/>
      <c r="C498" s="2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  <c r="AS498" s="1" t="n"/>
      <c r="AT498" s="1" t="n"/>
      <c r="AU498" s="1" t="n"/>
      <c r="AV498" s="1" t="n"/>
      <c r="AW498" s="1" t="n"/>
      <c r="AX498" s="1" t="n"/>
      <c r="AY498" s="1" t="n"/>
      <c r="AZ498" s="1" t="n"/>
      <c r="BA498" s="1" t="n"/>
    </row>
    <row r="499" ht="16.5" customHeight="1" s="220">
      <c r="A499" s="1" t="n"/>
      <c r="B499" s="1" t="n"/>
      <c r="C499" s="2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  <c r="AW499" s="1" t="n"/>
      <c r="AX499" s="1" t="n"/>
      <c r="AY499" s="1" t="n"/>
      <c r="AZ499" s="1" t="n"/>
      <c r="BA499" s="1" t="n"/>
    </row>
    <row r="500" ht="16.5" customHeight="1" s="220">
      <c r="A500" s="1" t="n"/>
      <c r="B500" s="1" t="n"/>
      <c r="C500" s="2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  <c r="AR500" s="1" t="n"/>
      <c r="AS500" s="1" t="n"/>
      <c r="AT500" s="1" t="n"/>
      <c r="AU500" s="1" t="n"/>
      <c r="AV500" s="1" t="n"/>
      <c r="AW500" s="1" t="n"/>
      <c r="AX500" s="1" t="n"/>
      <c r="AY500" s="1" t="n"/>
      <c r="AZ500" s="1" t="n"/>
      <c r="BA500" s="1" t="n"/>
    </row>
    <row r="501" ht="16.5" customHeight="1" s="220">
      <c r="A501" s="1" t="n"/>
      <c r="B501" s="1" t="n"/>
      <c r="C501" s="2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  <c r="AR501" s="1" t="n"/>
      <c r="AS501" s="1" t="n"/>
      <c r="AT501" s="1" t="n"/>
      <c r="AU501" s="1" t="n"/>
      <c r="AV501" s="1" t="n"/>
      <c r="AW501" s="1" t="n"/>
      <c r="AX501" s="1" t="n"/>
      <c r="AY501" s="1" t="n"/>
      <c r="AZ501" s="1" t="n"/>
      <c r="BA501" s="1" t="n"/>
    </row>
    <row r="502" ht="16.5" customHeight="1" s="220">
      <c r="A502" s="1" t="n"/>
      <c r="B502" s="1" t="n"/>
      <c r="C502" s="2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  <c r="AR502" s="1" t="n"/>
      <c r="AS502" s="1" t="n"/>
      <c r="AT502" s="1" t="n"/>
      <c r="AU502" s="1" t="n"/>
      <c r="AV502" s="1" t="n"/>
      <c r="AW502" s="1" t="n"/>
      <c r="AX502" s="1" t="n"/>
      <c r="AY502" s="1" t="n"/>
      <c r="AZ502" s="1" t="n"/>
      <c r="BA502" s="1" t="n"/>
    </row>
    <row r="503" ht="16.5" customHeight="1" s="220">
      <c r="A503" s="1" t="n"/>
      <c r="B503" s="1" t="n"/>
      <c r="C503" s="2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  <c r="AR503" s="1" t="n"/>
      <c r="AS503" s="1" t="n"/>
      <c r="AT503" s="1" t="n"/>
      <c r="AU503" s="1" t="n"/>
      <c r="AV503" s="1" t="n"/>
      <c r="AW503" s="1" t="n"/>
      <c r="AX503" s="1" t="n"/>
      <c r="AY503" s="1" t="n"/>
      <c r="AZ503" s="1" t="n"/>
      <c r="BA503" s="1" t="n"/>
    </row>
    <row r="504" ht="16.5" customHeight="1" s="220">
      <c r="A504" s="1" t="n"/>
      <c r="B504" s="1" t="n"/>
      <c r="C504" s="2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  <c r="AR504" s="1" t="n"/>
      <c r="AS504" s="1" t="n"/>
      <c r="AT504" s="1" t="n"/>
      <c r="AU504" s="1" t="n"/>
      <c r="AV504" s="1" t="n"/>
      <c r="AW504" s="1" t="n"/>
      <c r="AX504" s="1" t="n"/>
      <c r="AY504" s="1" t="n"/>
      <c r="AZ504" s="1" t="n"/>
      <c r="BA504" s="1" t="n"/>
    </row>
    <row r="505" ht="16.5" customHeight="1" s="220">
      <c r="A505" s="1" t="n"/>
      <c r="B505" s="1" t="n"/>
      <c r="C505" s="2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  <c r="AR505" s="1" t="n"/>
      <c r="AS505" s="1" t="n"/>
      <c r="AT505" s="1" t="n"/>
      <c r="AU505" s="1" t="n"/>
      <c r="AV505" s="1" t="n"/>
      <c r="AW505" s="1" t="n"/>
      <c r="AX505" s="1" t="n"/>
      <c r="AY505" s="1" t="n"/>
      <c r="AZ505" s="1" t="n"/>
      <c r="BA505" s="1" t="n"/>
    </row>
    <row r="506" ht="16.5" customHeight="1" s="220">
      <c r="A506" s="1" t="n"/>
      <c r="B506" s="1" t="n"/>
      <c r="C506" s="2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  <c r="AR506" s="1" t="n"/>
      <c r="AS506" s="1" t="n"/>
      <c r="AT506" s="1" t="n"/>
      <c r="AU506" s="1" t="n"/>
      <c r="AV506" s="1" t="n"/>
      <c r="AW506" s="1" t="n"/>
      <c r="AX506" s="1" t="n"/>
      <c r="AY506" s="1" t="n"/>
      <c r="AZ506" s="1" t="n"/>
      <c r="BA506" s="1" t="n"/>
    </row>
    <row r="507" ht="16.5" customHeight="1" s="220">
      <c r="A507" s="1" t="n"/>
      <c r="B507" s="1" t="n"/>
      <c r="C507" s="2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  <c r="AR507" s="1" t="n"/>
      <c r="AS507" s="1" t="n"/>
      <c r="AT507" s="1" t="n"/>
      <c r="AU507" s="1" t="n"/>
      <c r="AV507" s="1" t="n"/>
      <c r="AW507" s="1" t="n"/>
      <c r="AX507" s="1" t="n"/>
      <c r="AY507" s="1" t="n"/>
      <c r="AZ507" s="1" t="n"/>
      <c r="BA507" s="1" t="n"/>
    </row>
    <row r="508" ht="16.5" customHeight="1" s="220">
      <c r="A508" s="1" t="n"/>
      <c r="B508" s="1" t="n"/>
      <c r="C508" s="2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  <c r="AR508" s="1" t="n"/>
      <c r="AS508" s="1" t="n"/>
      <c r="AT508" s="1" t="n"/>
      <c r="AU508" s="1" t="n"/>
      <c r="AV508" s="1" t="n"/>
      <c r="AW508" s="1" t="n"/>
      <c r="AX508" s="1" t="n"/>
      <c r="AY508" s="1" t="n"/>
      <c r="AZ508" s="1" t="n"/>
      <c r="BA508" s="1" t="n"/>
    </row>
    <row r="509" ht="16.5" customHeight="1" s="220">
      <c r="A509" s="1" t="n"/>
      <c r="B509" s="1" t="n"/>
      <c r="C509" s="2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  <c r="AR509" s="1" t="n"/>
      <c r="AS509" s="1" t="n"/>
      <c r="AT509" s="1" t="n"/>
      <c r="AU509" s="1" t="n"/>
      <c r="AV509" s="1" t="n"/>
      <c r="AW509" s="1" t="n"/>
      <c r="AX509" s="1" t="n"/>
      <c r="AY509" s="1" t="n"/>
      <c r="AZ509" s="1" t="n"/>
      <c r="BA509" s="1" t="n"/>
    </row>
    <row r="510" ht="16.5" customHeight="1" s="220">
      <c r="A510" s="1" t="n"/>
      <c r="B510" s="1" t="n"/>
      <c r="C510" s="2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  <c r="AR510" s="1" t="n"/>
      <c r="AS510" s="1" t="n"/>
      <c r="AT510" s="1" t="n"/>
      <c r="AU510" s="1" t="n"/>
      <c r="AV510" s="1" t="n"/>
      <c r="AW510" s="1" t="n"/>
      <c r="AX510" s="1" t="n"/>
      <c r="AY510" s="1" t="n"/>
      <c r="AZ510" s="1" t="n"/>
      <c r="BA510" s="1" t="n"/>
    </row>
    <row r="511" ht="16.5" customHeight="1" s="220">
      <c r="A511" s="1" t="n"/>
      <c r="B511" s="1" t="n"/>
      <c r="C511" s="2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  <c r="AR511" s="1" t="n"/>
      <c r="AS511" s="1" t="n"/>
      <c r="AT511" s="1" t="n"/>
      <c r="AU511" s="1" t="n"/>
      <c r="AV511" s="1" t="n"/>
      <c r="AW511" s="1" t="n"/>
      <c r="AX511" s="1" t="n"/>
      <c r="AY511" s="1" t="n"/>
      <c r="AZ511" s="1" t="n"/>
      <c r="BA511" s="1" t="n"/>
    </row>
    <row r="512" ht="16.5" customHeight="1" s="220">
      <c r="A512" s="1" t="n"/>
      <c r="B512" s="1" t="n"/>
      <c r="C512" s="2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  <c r="AR512" s="1" t="n"/>
      <c r="AS512" s="1" t="n"/>
      <c r="AT512" s="1" t="n"/>
      <c r="AU512" s="1" t="n"/>
      <c r="AV512" s="1" t="n"/>
      <c r="AW512" s="1" t="n"/>
      <c r="AX512" s="1" t="n"/>
      <c r="AY512" s="1" t="n"/>
      <c r="AZ512" s="1" t="n"/>
      <c r="BA512" s="1" t="n"/>
    </row>
    <row r="513" ht="16.5" customHeight="1" s="220">
      <c r="A513" s="1" t="n"/>
      <c r="B513" s="1" t="n"/>
      <c r="C513" s="2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  <c r="AR513" s="1" t="n"/>
      <c r="AS513" s="1" t="n"/>
      <c r="AT513" s="1" t="n"/>
      <c r="AU513" s="1" t="n"/>
      <c r="AV513" s="1" t="n"/>
      <c r="AW513" s="1" t="n"/>
      <c r="AX513" s="1" t="n"/>
      <c r="AY513" s="1" t="n"/>
      <c r="AZ513" s="1" t="n"/>
      <c r="BA513" s="1" t="n"/>
    </row>
    <row r="514" ht="16.5" customHeight="1" s="220">
      <c r="A514" s="1" t="n"/>
      <c r="B514" s="1" t="n"/>
      <c r="C514" s="2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  <c r="AR514" s="1" t="n"/>
      <c r="AS514" s="1" t="n"/>
      <c r="AT514" s="1" t="n"/>
      <c r="AU514" s="1" t="n"/>
      <c r="AV514" s="1" t="n"/>
      <c r="AW514" s="1" t="n"/>
      <c r="AX514" s="1" t="n"/>
      <c r="AY514" s="1" t="n"/>
      <c r="AZ514" s="1" t="n"/>
      <c r="BA514" s="1" t="n"/>
    </row>
    <row r="515" ht="16.5" customHeight="1" s="220">
      <c r="A515" s="1" t="n"/>
      <c r="B515" s="1" t="n"/>
      <c r="C515" s="2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  <c r="AR515" s="1" t="n"/>
      <c r="AS515" s="1" t="n"/>
      <c r="AT515" s="1" t="n"/>
      <c r="AU515" s="1" t="n"/>
      <c r="AV515" s="1" t="n"/>
      <c r="AW515" s="1" t="n"/>
      <c r="AX515" s="1" t="n"/>
      <c r="AY515" s="1" t="n"/>
      <c r="AZ515" s="1" t="n"/>
      <c r="BA515" s="1" t="n"/>
    </row>
    <row r="516" ht="16.5" customHeight="1" s="220">
      <c r="A516" s="1" t="n"/>
      <c r="B516" s="1" t="n"/>
      <c r="C516" s="2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  <c r="AR516" s="1" t="n"/>
      <c r="AS516" s="1" t="n"/>
      <c r="AT516" s="1" t="n"/>
      <c r="AU516" s="1" t="n"/>
      <c r="AV516" s="1" t="n"/>
      <c r="AW516" s="1" t="n"/>
      <c r="AX516" s="1" t="n"/>
      <c r="AY516" s="1" t="n"/>
      <c r="AZ516" s="1" t="n"/>
      <c r="BA516" s="1" t="n"/>
    </row>
    <row r="517" ht="16.5" customHeight="1" s="220">
      <c r="A517" s="1" t="n"/>
      <c r="B517" s="1" t="n"/>
      <c r="C517" s="2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  <c r="AR517" s="1" t="n"/>
      <c r="AS517" s="1" t="n"/>
      <c r="AT517" s="1" t="n"/>
      <c r="AU517" s="1" t="n"/>
      <c r="AV517" s="1" t="n"/>
      <c r="AW517" s="1" t="n"/>
      <c r="AX517" s="1" t="n"/>
      <c r="AY517" s="1" t="n"/>
      <c r="AZ517" s="1" t="n"/>
      <c r="BA517" s="1" t="n"/>
    </row>
    <row r="518" ht="16.5" customHeight="1" s="220">
      <c r="A518" s="1" t="n"/>
      <c r="B518" s="1" t="n"/>
      <c r="C518" s="2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  <c r="AR518" s="1" t="n"/>
      <c r="AS518" s="1" t="n"/>
      <c r="AT518" s="1" t="n"/>
      <c r="AU518" s="1" t="n"/>
      <c r="AV518" s="1" t="n"/>
      <c r="AW518" s="1" t="n"/>
      <c r="AX518" s="1" t="n"/>
      <c r="AY518" s="1" t="n"/>
      <c r="AZ518" s="1" t="n"/>
      <c r="BA518" s="1" t="n"/>
    </row>
    <row r="519" ht="16.5" customHeight="1" s="220">
      <c r="A519" s="1" t="n"/>
      <c r="B519" s="1" t="n"/>
      <c r="C519" s="2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  <c r="AR519" s="1" t="n"/>
      <c r="AS519" s="1" t="n"/>
      <c r="AT519" s="1" t="n"/>
      <c r="AU519" s="1" t="n"/>
      <c r="AV519" s="1" t="n"/>
      <c r="AW519" s="1" t="n"/>
      <c r="AX519" s="1" t="n"/>
      <c r="AY519" s="1" t="n"/>
      <c r="AZ519" s="1" t="n"/>
      <c r="BA519" s="1" t="n"/>
    </row>
    <row r="520" ht="16.5" customHeight="1" s="220">
      <c r="A520" s="1" t="n"/>
      <c r="B520" s="1" t="n"/>
      <c r="C520" s="2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  <c r="AR520" s="1" t="n"/>
      <c r="AS520" s="1" t="n"/>
      <c r="AT520" s="1" t="n"/>
      <c r="AU520" s="1" t="n"/>
      <c r="AV520" s="1" t="n"/>
      <c r="AW520" s="1" t="n"/>
      <c r="AX520" s="1" t="n"/>
      <c r="AY520" s="1" t="n"/>
      <c r="AZ520" s="1" t="n"/>
      <c r="BA520" s="1" t="n"/>
    </row>
    <row r="521" ht="16.5" customHeight="1" s="220">
      <c r="A521" s="1" t="n"/>
      <c r="B521" s="1" t="n"/>
      <c r="C521" s="2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  <c r="AR521" s="1" t="n"/>
      <c r="AS521" s="1" t="n"/>
      <c r="AT521" s="1" t="n"/>
      <c r="AU521" s="1" t="n"/>
      <c r="AV521" s="1" t="n"/>
      <c r="AW521" s="1" t="n"/>
      <c r="AX521" s="1" t="n"/>
      <c r="AY521" s="1" t="n"/>
      <c r="AZ521" s="1" t="n"/>
      <c r="BA521" s="1" t="n"/>
    </row>
    <row r="522" ht="16.5" customHeight="1" s="220">
      <c r="A522" s="1" t="n"/>
      <c r="B522" s="1" t="n"/>
      <c r="C522" s="2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  <c r="AR522" s="1" t="n"/>
      <c r="AS522" s="1" t="n"/>
      <c r="AT522" s="1" t="n"/>
      <c r="AU522" s="1" t="n"/>
      <c r="AV522" s="1" t="n"/>
      <c r="AW522" s="1" t="n"/>
      <c r="AX522" s="1" t="n"/>
      <c r="AY522" s="1" t="n"/>
      <c r="AZ522" s="1" t="n"/>
      <c r="BA522" s="1" t="n"/>
    </row>
    <row r="523" ht="16.5" customHeight="1" s="220">
      <c r="A523" s="1" t="n"/>
      <c r="B523" s="1" t="n"/>
      <c r="C523" s="2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  <c r="AR523" s="1" t="n"/>
      <c r="AS523" s="1" t="n"/>
      <c r="AT523" s="1" t="n"/>
      <c r="AU523" s="1" t="n"/>
      <c r="AV523" s="1" t="n"/>
      <c r="AW523" s="1" t="n"/>
      <c r="AX523" s="1" t="n"/>
      <c r="AY523" s="1" t="n"/>
      <c r="AZ523" s="1" t="n"/>
      <c r="BA523" s="1" t="n"/>
    </row>
    <row r="524" ht="16.5" customHeight="1" s="220">
      <c r="A524" s="1" t="n"/>
      <c r="B524" s="1" t="n"/>
      <c r="C524" s="2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  <c r="AR524" s="1" t="n"/>
      <c r="AS524" s="1" t="n"/>
      <c r="AT524" s="1" t="n"/>
      <c r="AU524" s="1" t="n"/>
      <c r="AV524" s="1" t="n"/>
      <c r="AW524" s="1" t="n"/>
      <c r="AX524" s="1" t="n"/>
      <c r="AY524" s="1" t="n"/>
      <c r="AZ524" s="1" t="n"/>
      <c r="BA524" s="1" t="n"/>
    </row>
    <row r="525" ht="16.5" customHeight="1" s="220">
      <c r="A525" s="1" t="n"/>
      <c r="B525" s="1" t="n"/>
      <c r="C525" s="2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  <c r="AR525" s="1" t="n"/>
      <c r="AS525" s="1" t="n"/>
      <c r="AT525" s="1" t="n"/>
      <c r="AU525" s="1" t="n"/>
      <c r="AV525" s="1" t="n"/>
      <c r="AW525" s="1" t="n"/>
      <c r="AX525" s="1" t="n"/>
      <c r="AY525" s="1" t="n"/>
      <c r="AZ525" s="1" t="n"/>
      <c r="BA525" s="1" t="n"/>
    </row>
    <row r="526" ht="16.5" customHeight="1" s="220">
      <c r="A526" s="1" t="n"/>
      <c r="B526" s="1" t="n"/>
      <c r="C526" s="2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  <c r="AR526" s="1" t="n"/>
      <c r="AS526" s="1" t="n"/>
      <c r="AT526" s="1" t="n"/>
      <c r="AU526" s="1" t="n"/>
      <c r="AV526" s="1" t="n"/>
      <c r="AW526" s="1" t="n"/>
      <c r="AX526" s="1" t="n"/>
      <c r="AY526" s="1" t="n"/>
      <c r="AZ526" s="1" t="n"/>
      <c r="BA526" s="1" t="n"/>
    </row>
    <row r="527" ht="16.5" customHeight="1" s="220">
      <c r="A527" s="1" t="n"/>
      <c r="B527" s="1" t="n"/>
      <c r="C527" s="2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  <c r="AR527" s="1" t="n"/>
      <c r="AS527" s="1" t="n"/>
      <c r="AT527" s="1" t="n"/>
      <c r="AU527" s="1" t="n"/>
      <c r="AV527" s="1" t="n"/>
      <c r="AW527" s="1" t="n"/>
      <c r="AX527" s="1" t="n"/>
      <c r="AY527" s="1" t="n"/>
      <c r="AZ527" s="1" t="n"/>
      <c r="BA527" s="1" t="n"/>
    </row>
    <row r="528" ht="16.5" customHeight="1" s="220">
      <c r="A528" s="1" t="n"/>
      <c r="B528" s="1" t="n"/>
      <c r="C528" s="2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  <c r="AR528" s="1" t="n"/>
      <c r="AS528" s="1" t="n"/>
      <c r="AT528" s="1" t="n"/>
      <c r="AU528" s="1" t="n"/>
      <c r="AV528" s="1" t="n"/>
      <c r="AW528" s="1" t="n"/>
      <c r="AX528" s="1" t="n"/>
      <c r="AY528" s="1" t="n"/>
      <c r="AZ528" s="1" t="n"/>
      <c r="BA528" s="1" t="n"/>
    </row>
    <row r="529" ht="16.5" customHeight="1" s="220">
      <c r="A529" s="1" t="n"/>
      <c r="B529" s="1" t="n"/>
      <c r="C529" s="2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  <c r="AR529" s="1" t="n"/>
      <c r="AS529" s="1" t="n"/>
      <c r="AT529" s="1" t="n"/>
      <c r="AU529" s="1" t="n"/>
      <c r="AV529" s="1" t="n"/>
      <c r="AW529" s="1" t="n"/>
      <c r="AX529" s="1" t="n"/>
      <c r="AY529" s="1" t="n"/>
      <c r="AZ529" s="1" t="n"/>
      <c r="BA529" s="1" t="n"/>
    </row>
    <row r="530" ht="16.5" customHeight="1" s="220">
      <c r="A530" s="1" t="n"/>
      <c r="B530" s="1" t="n"/>
      <c r="C530" s="2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  <c r="AR530" s="1" t="n"/>
      <c r="AS530" s="1" t="n"/>
      <c r="AT530" s="1" t="n"/>
      <c r="AU530" s="1" t="n"/>
      <c r="AV530" s="1" t="n"/>
      <c r="AW530" s="1" t="n"/>
      <c r="AX530" s="1" t="n"/>
      <c r="AY530" s="1" t="n"/>
      <c r="AZ530" s="1" t="n"/>
      <c r="BA530" s="1" t="n"/>
    </row>
    <row r="531" ht="16.5" customHeight="1" s="220">
      <c r="A531" s="1" t="n"/>
      <c r="B531" s="1" t="n"/>
      <c r="C531" s="2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  <c r="AR531" s="1" t="n"/>
      <c r="AS531" s="1" t="n"/>
      <c r="AT531" s="1" t="n"/>
      <c r="AU531" s="1" t="n"/>
      <c r="AV531" s="1" t="n"/>
      <c r="AW531" s="1" t="n"/>
      <c r="AX531" s="1" t="n"/>
      <c r="AY531" s="1" t="n"/>
      <c r="AZ531" s="1" t="n"/>
      <c r="BA531" s="1" t="n"/>
    </row>
    <row r="532" ht="16.5" customHeight="1" s="220">
      <c r="A532" s="1" t="n"/>
      <c r="B532" s="1" t="n"/>
      <c r="C532" s="2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  <c r="AR532" s="1" t="n"/>
      <c r="AS532" s="1" t="n"/>
      <c r="AT532" s="1" t="n"/>
      <c r="AU532" s="1" t="n"/>
      <c r="AV532" s="1" t="n"/>
      <c r="AW532" s="1" t="n"/>
      <c r="AX532" s="1" t="n"/>
      <c r="AY532" s="1" t="n"/>
      <c r="AZ532" s="1" t="n"/>
      <c r="BA532" s="1" t="n"/>
    </row>
    <row r="533" ht="16.5" customHeight="1" s="220">
      <c r="A533" s="1" t="n"/>
      <c r="B533" s="1" t="n"/>
      <c r="C533" s="2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  <c r="AR533" s="1" t="n"/>
      <c r="AS533" s="1" t="n"/>
      <c r="AT533" s="1" t="n"/>
      <c r="AU533" s="1" t="n"/>
      <c r="AV533" s="1" t="n"/>
      <c r="AW533" s="1" t="n"/>
      <c r="AX533" s="1" t="n"/>
      <c r="AY533" s="1" t="n"/>
      <c r="AZ533" s="1" t="n"/>
      <c r="BA533" s="1" t="n"/>
    </row>
    <row r="534" ht="16.5" customHeight="1" s="220">
      <c r="A534" s="1" t="n"/>
      <c r="B534" s="1" t="n"/>
      <c r="C534" s="2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  <c r="AR534" s="1" t="n"/>
      <c r="AS534" s="1" t="n"/>
      <c r="AT534" s="1" t="n"/>
      <c r="AU534" s="1" t="n"/>
      <c r="AV534" s="1" t="n"/>
      <c r="AW534" s="1" t="n"/>
      <c r="AX534" s="1" t="n"/>
      <c r="AY534" s="1" t="n"/>
      <c r="AZ534" s="1" t="n"/>
      <c r="BA534" s="1" t="n"/>
    </row>
    <row r="535" ht="16.5" customHeight="1" s="220">
      <c r="A535" s="1" t="n"/>
      <c r="B535" s="1" t="n"/>
      <c r="C535" s="2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  <c r="AR535" s="1" t="n"/>
      <c r="AS535" s="1" t="n"/>
      <c r="AT535" s="1" t="n"/>
      <c r="AU535" s="1" t="n"/>
      <c r="AV535" s="1" t="n"/>
      <c r="AW535" s="1" t="n"/>
      <c r="AX535" s="1" t="n"/>
      <c r="AY535" s="1" t="n"/>
      <c r="AZ535" s="1" t="n"/>
      <c r="BA535" s="1" t="n"/>
    </row>
    <row r="536" ht="16.5" customHeight="1" s="220">
      <c r="A536" s="1" t="n"/>
      <c r="B536" s="1" t="n"/>
      <c r="C536" s="2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  <c r="AR536" s="1" t="n"/>
      <c r="AS536" s="1" t="n"/>
      <c r="AT536" s="1" t="n"/>
      <c r="AU536" s="1" t="n"/>
      <c r="AV536" s="1" t="n"/>
      <c r="AW536" s="1" t="n"/>
      <c r="AX536" s="1" t="n"/>
      <c r="AY536" s="1" t="n"/>
      <c r="AZ536" s="1" t="n"/>
      <c r="BA536" s="1" t="n"/>
    </row>
    <row r="537" ht="16.5" customHeight="1" s="220">
      <c r="A537" s="1" t="n"/>
      <c r="B537" s="1" t="n"/>
      <c r="C537" s="2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  <c r="AR537" s="1" t="n"/>
      <c r="AS537" s="1" t="n"/>
      <c r="AT537" s="1" t="n"/>
      <c r="AU537" s="1" t="n"/>
      <c r="AV537" s="1" t="n"/>
      <c r="AW537" s="1" t="n"/>
      <c r="AX537" s="1" t="n"/>
      <c r="AY537" s="1" t="n"/>
      <c r="AZ537" s="1" t="n"/>
      <c r="BA537" s="1" t="n"/>
    </row>
    <row r="538" ht="16.5" customHeight="1" s="220">
      <c r="A538" s="1" t="n"/>
      <c r="B538" s="1" t="n"/>
      <c r="C538" s="2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  <c r="AR538" s="1" t="n"/>
      <c r="AS538" s="1" t="n"/>
      <c r="AT538" s="1" t="n"/>
      <c r="AU538" s="1" t="n"/>
      <c r="AV538" s="1" t="n"/>
      <c r="AW538" s="1" t="n"/>
      <c r="AX538" s="1" t="n"/>
      <c r="AY538" s="1" t="n"/>
      <c r="AZ538" s="1" t="n"/>
      <c r="BA538" s="1" t="n"/>
    </row>
    <row r="539" ht="16.5" customHeight="1" s="220">
      <c r="A539" s="1" t="n"/>
      <c r="B539" s="1" t="n"/>
      <c r="C539" s="2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  <c r="AR539" s="1" t="n"/>
      <c r="AS539" s="1" t="n"/>
      <c r="AT539" s="1" t="n"/>
      <c r="AU539" s="1" t="n"/>
      <c r="AV539" s="1" t="n"/>
      <c r="AW539" s="1" t="n"/>
      <c r="AX539" s="1" t="n"/>
      <c r="AY539" s="1" t="n"/>
      <c r="AZ539" s="1" t="n"/>
      <c r="BA539" s="1" t="n"/>
    </row>
    <row r="540" ht="16.5" customHeight="1" s="220">
      <c r="A540" s="1" t="n"/>
      <c r="B540" s="1" t="n"/>
      <c r="C540" s="2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  <c r="AR540" s="1" t="n"/>
      <c r="AS540" s="1" t="n"/>
      <c r="AT540" s="1" t="n"/>
      <c r="AU540" s="1" t="n"/>
      <c r="AV540" s="1" t="n"/>
      <c r="AW540" s="1" t="n"/>
      <c r="AX540" s="1" t="n"/>
      <c r="AY540" s="1" t="n"/>
      <c r="AZ540" s="1" t="n"/>
      <c r="BA540" s="1" t="n"/>
    </row>
    <row r="541" ht="16.5" customHeight="1" s="220">
      <c r="A541" s="1" t="n"/>
      <c r="B541" s="1" t="n"/>
      <c r="C541" s="2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  <c r="AR541" s="1" t="n"/>
      <c r="AS541" s="1" t="n"/>
      <c r="AT541" s="1" t="n"/>
      <c r="AU541" s="1" t="n"/>
      <c r="AV541" s="1" t="n"/>
      <c r="AW541" s="1" t="n"/>
      <c r="AX541" s="1" t="n"/>
      <c r="AY541" s="1" t="n"/>
      <c r="AZ541" s="1" t="n"/>
      <c r="BA541" s="1" t="n"/>
    </row>
    <row r="542" ht="16.5" customHeight="1" s="220">
      <c r="A542" s="1" t="n"/>
      <c r="B542" s="1" t="n"/>
      <c r="C542" s="2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  <c r="AR542" s="1" t="n"/>
      <c r="AS542" s="1" t="n"/>
      <c r="AT542" s="1" t="n"/>
      <c r="AU542" s="1" t="n"/>
      <c r="AV542" s="1" t="n"/>
      <c r="AW542" s="1" t="n"/>
      <c r="AX542" s="1" t="n"/>
      <c r="AY542" s="1" t="n"/>
      <c r="AZ542" s="1" t="n"/>
      <c r="BA542" s="1" t="n"/>
    </row>
    <row r="543" ht="16.5" customHeight="1" s="220">
      <c r="A543" s="1" t="n"/>
      <c r="B543" s="1" t="n"/>
      <c r="C543" s="2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  <c r="AR543" s="1" t="n"/>
      <c r="AS543" s="1" t="n"/>
      <c r="AT543" s="1" t="n"/>
      <c r="AU543" s="1" t="n"/>
      <c r="AV543" s="1" t="n"/>
      <c r="AW543" s="1" t="n"/>
      <c r="AX543" s="1" t="n"/>
      <c r="AY543" s="1" t="n"/>
      <c r="AZ543" s="1" t="n"/>
      <c r="BA543" s="1" t="n"/>
    </row>
    <row r="544" ht="16.5" customHeight="1" s="220">
      <c r="A544" s="1" t="n"/>
      <c r="B544" s="1" t="n"/>
      <c r="C544" s="2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  <c r="AR544" s="1" t="n"/>
      <c r="AS544" s="1" t="n"/>
      <c r="AT544" s="1" t="n"/>
      <c r="AU544" s="1" t="n"/>
      <c r="AV544" s="1" t="n"/>
      <c r="AW544" s="1" t="n"/>
      <c r="AX544" s="1" t="n"/>
      <c r="AY544" s="1" t="n"/>
      <c r="AZ544" s="1" t="n"/>
      <c r="BA544" s="1" t="n"/>
    </row>
    <row r="545" ht="16.5" customHeight="1" s="220">
      <c r="A545" s="1" t="n"/>
      <c r="B545" s="1" t="n"/>
      <c r="C545" s="2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  <c r="AR545" s="1" t="n"/>
      <c r="AS545" s="1" t="n"/>
      <c r="AT545" s="1" t="n"/>
      <c r="AU545" s="1" t="n"/>
      <c r="AV545" s="1" t="n"/>
      <c r="AW545" s="1" t="n"/>
      <c r="AX545" s="1" t="n"/>
      <c r="AY545" s="1" t="n"/>
      <c r="AZ545" s="1" t="n"/>
      <c r="BA545" s="1" t="n"/>
    </row>
    <row r="546" ht="16.5" customHeight="1" s="220">
      <c r="A546" s="1" t="n"/>
      <c r="B546" s="1" t="n"/>
      <c r="C546" s="2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  <c r="AR546" s="1" t="n"/>
      <c r="AS546" s="1" t="n"/>
      <c r="AT546" s="1" t="n"/>
      <c r="AU546" s="1" t="n"/>
      <c r="AV546" s="1" t="n"/>
      <c r="AW546" s="1" t="n"/>
      <c r="AX546" s="1" t="n"/>
      <c r="AY546" s="1" t="n"/>
      <c r="AZ546" s="1" t="n"/>
      <c r="BA546" s="1" t="n"/>
    </row>
    <row r="547" ht="16.5" customHeight="1" s="220">
      <c r="A547" s="1" t="n"/>
      <c r="B547" s="1" t="n"/>
      <c r="C547" s="2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  <c r="AR547" s="1" t="n"/>
      <c r="AS547" s="1" t="n"/>
      <c r="AT547" s="1" t="n"/>
      <c r="AU547" s="1" t="n"/>
      <c r="AV547" s="1" t="n"/>
      <c r="AW547" s="1" t="n"/>
      <c r="AX547" s="1" t="n"/>
      <c r="AY547" s="1" t="n"/>
      <c r="AZ547" s="1" t="n"/>
      <c r="BA547" s="1" t="n"/>
    </row>
    <row r="548" ht="16.5" customHeight="1" s="220">
      <c r="A548" s="1" t="n"/>
      <c r="B548" s="1" t="n"/>
      <c r="C548" s="2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  <c r="AR548" s="1" t="n"/>
      <c r="AS548" s="1" t="n"/>
      <c r="AT548" s="1" t="n"/>
      <c r="AU548" s="1" t="n"/>
      <c r="AV548" s="1" t="n"/>
      <c r="AW548" s="1" t="n"/>
      <c r="AX548" s="1" t="n"/>
      <c r="AY548" s="1" t="n"/>
      <c r="AZ548" s="1" t="n"/>
      <c r="BA548" s="1" t="n"/>
    </row>
    <row r="549" ht="16.5" customHeight="1" s="220">
      <c r="A549" s="1" t="n"/>
      <c r="B549" s="1" t="n"/>
      <c r="C549" s="2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  <c r="AR549" s="1" t="n"/>
      <c r="AS549" s="1" t="n"/>
      <c r="AT549" s="1" t="n"/>
      <c r="AU549" s="1" t="n"/>
      <c r="AV549" s="1" t="n"/>
      <c r="AW549" s="1" t="n"/>
      <c r="AX549" s="1" t="n"/>
      <c r="AY549" s="1" t="n"/>
      <c r="AZ549" s="1" t="n"/>
      <c r="BA549" s="1" t="n"/>
    </row>
    <row r="550" ht="16.5" customHeight="1" s="220">
      <c r="A550" s="1" t="n"/>
      <c r="B550" s="1" t="n"/>
      <c r="C550" s="2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  <c r="AR550" s="1" t="n"/>
      <c r="AS550" s="1" t="n"/>
      <c r="AT550" s="1" t="n"/>
      <c r="AU550" s="1" t="n"/>
      <c r="AV550" s="1" t="n"/>
      <c r="AW550" s="1" t="n"/>
      <c r="AX550" s="1" t="n"/>
      <c r="AY550" s="1" t="n"/>
      <c r="AZ550" s="1" t="n"/>
      <c r="BA550" s="1" t="n"/>
    </row>
    <row r="551" ht="16.5" customHeight="1" s="220">
      <c r="A551" s="1" t="n"/>
      <c r="B551" s="1" t="n"/>
      <c r="C551" s="2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  <c r="AR551" s="1" t="n"/>
      <c r="AS551" s="1" t="n"/>
      <c r="AT551" s="1" t="n"/>
      <c r="AU551" s="1" t="n"/>
      <c r="AV551" s="1" t="n"/>
      <c r="AW551" s="1" t="n"/>
      <c r="AX551" s="1" t="n"/>
      <c r="AY551" s="1" t="n"/>
      <c r="AZ551" s="1" t="n"/>
      <c r="BA551" s="1" t="n"/>
    </row>
    <row r="552" ht="16.5" customHeight="1" s="220">
      <c r="A552" s="1" t="n"/>
      <c r="B552" s="1" t="n"/>
      <c r="C552" s="2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  <c r="AR552" s="1" t="n"/>
      <c r="AS552" s="1" t="n"/>
      <c r="AT552" s="1" t="n"/>
      <c r="AU552" s="1" t="n"/>
      <c r="AV552" s="1" t="n"/>
      <c r="AW552" s="1" t="n"/>
      <c r="AX552" s="1" t="n"/>
      <c r="AY552" s="1" t="n"/>
      <c r="AZ552" s="1" t="n"/>
      <c r="BA552" s="1" t="n"/>
    </row>
    <row r="553" ht="16.5" customHeight="1" s="220">
      <c r="A553" s="1" t="n"/>
      <c r="B553" s="1" t="n"/>
      <c r="C553" s="2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  <c r="AR553" s="1" t="n"/>
      <c r="AS553" s="1" t="n"/>
      <c r="AT553" s="1" t="n"/>
      <c r="AU553" s="1" t="n"/>
      <c r="AV553" s="1" t="n"/>
      <c r="AW553" s="1" t="n"/>
      <c r="AX553" s="1" t="n"/>
      <c r="AY553" s="1" t="n"/>
      <c r="AZ553" s="1" t="n"/>
      <c r="BA553" s="1" t="n"/>
    </row>
    <row r="554" ht="16.5" customHeight="1" s="220">
      <c r="A554" s="1" t="n"/>
      <c r="B554" s="1" t="n"/>
      <c r="C554" s="2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  <c r="AR554" s="1" t="n"/>
      <c r="AS554" s="1" t="n"/>
      <c r="AT554" s="1" t="n"/>
      <c r="AU554" s="1" t="n"/>
      <c r="AV554" s="1" t="n"/>
      <c r="AW554" s="1" t="n"/>
      <c r="AX554" s="1" t="n"/>
      <c r="AY554" s="1" t="n"/>
      <c r="AZ554" s="1" t="n"/>
      <c r="BA554" s="1" t="n"/>
    </row>
    <row r="555" ht="16.5" customHeight="1" s="220">
      <c r="A555" s="1" t="n"/>
      <c r="B555" s="1" t="n"/>
      <c r="C555" s="2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  <c r="AR555" s="1" t="n"/>
      <c r="AS555" s="1" t="n"/>
      <c r="AT555" s="1" t="n"/>
      <c r="AU555" s="1" t="n"/>
      <c r="AV555" s="1" t="n"/>
      <c r="AW555" s="1" t="n"/>
      <c r="AX555" s="1" t="n"/>
      <c r="AY555" s="1" t="n"/>
      <c r="AZ555" s="1" t="n"/>
      <c r="BA555" s="1" t="n"/>
    </row>
    <row r="556" ht="16.5" customHeight="1" s="220">
      <c r="A556" s="1" t="n"/>
      <c r="B556" s="1" t="n"/>
      <c r="C556" s="2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  <c r="AR556" s="1" t="n"/>
      <c r="AS556" s="1" t="n"/>
      <c r="AT556" s="1" t="n"/>
      <c r="AU556" s="1" t="n"/>
      <c r="AV556" s="1" t="n"/>
      <c r="AW556" s="1" t="n"/>
      <c r="AX556" s="1" t="n"/>
      <c r="AY556" s="1" t="n"/>
      <c r="AZ556" s="1" t="n"/>
      <c r="BA556" s="1" t="n"/>
    </row>
    <row r="557" ht="16.5" customHeight="1" s="220">
      <c r="A557" s="1" t="n"/>
      <c r="B557" s="1" t="n"/>
      <c r="C557" s="2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  <c r="AR557" s="1" t="n"/>
      <c r="AS557" s="1" t="n"/>
      <c r="AT557" s="1" t="n"/>
      <c r="AU557" s="1" t="n"/>
      <c r="AV557" s="1" t="n"/>
      <c r="AW557" s="1" t="n"/>
      <c r="AX557" s="1" t="n"/>
      <c r="AY557" s="1" t="n"/>
      <c r="AZ557" s="1" t="n"/>
      <c r="BA557" s="1" t="n"/>
    </row>
    <row r="558" ht="16.5" customHeight="1" s="220">
      <c r="A558" s="1" t="n"/>
      <c r="B558" s="1" t="n"/>
      <c r="C558" s="2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  <c r="AR558" s="1" t="n"/>
      <c r="AS558" s="1" t="n"/>
      <c r="AT558" s="1" t="n"/>
      <c r="AU558" s="1" t="n"/>
      <c r="AV558" s="1" t="n"/>
      <c r="AW558" s="1" t="n"/>
      <c r="AX558" s="1" t="n"/>
      <c r="AY558" s="1" t="n"/>
      <c r="AZ558" s="1" t="n"/>
      <c r="BA558" s="1" t="n"/>
    </row>
    <row r="559" ht="16.5" customHeight="1" s="220">
      <c r="A559" s="1" t="n"/>
      <c r="B559" s="1" t="n"/>
      <c r="C559" s="2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  <c r="AR559" s="1" t="n"/>
      <c r="AS559" s="1" t="n"/>
      <c r="AT559" s="1" t="n"/>
      <c r="AU559" s="1" t="n"/>
      <c r="AV559" s="1" t="n"/>
      <c r="AW559" s="1" t="n"/>
      <c r="AX559" s="1" t="n"/>
      <c r="AY559" s="1" t="n"/>
      <c r="AZ559" s="1" t="n"/>
      <c r="BA559" s="1" t="n"/>
    </row>
    <row r="560" ht="16.5" customHeight="1" s="220">
      <c r="A560" s="1" t="n"/>
      <c r="B560" s="1" t="n"/>
      <c r="C560" s="2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  <c r="AR560" s="1" t="n"/>
      <c r="AS560" s="1" t="n"/>
      <c r="AT560" s="1" t="n"/>
      <c r="AU560" s="1" t="n"/>
      <c r="AV560" s="1" t="n"/>
      <c r="AW560" s="1" t="n"/>
      <c r="AX560" s="1" t="n"/>
      <c r="AY560" s="1" t="n"/>
      <c r="AZ560" s="1" t="n"/>
      <c r="BA560" s="1" t="n"/>
    </row>
    <row r="561" ht="16.5" customHeight="1" s="220">
      <c r="A561" s="1" t="n"/>
      <c r="B561" s="1" t="n"/>
      <c r="C561" s="2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  <c r="AR561" s="1" t="n"/>
      <c r="AS561" s="1" t="n"/>
      <c r="AT561" s="1" t="n"/>
      <c r="AU561" s="1" t="n"/>
      <c r="AV561" s="1" t="n"/>
      <c r="AW561" s="1" t="n"/>
      <c r="AX561" s="1" t="n"/>
      <c r="AY561" s="1" t="n"/>
      <c r="AZ561" s="1" t="n"/>
      <c r="BA561" s="1" t="n"/>
    </row>
    <row r="562" ht="16.5" customHeight="1" s="220">
      <c r="A562" s="1" t="n"/>
      <c r="B562" s="1" t="n"/>
      <c r="C562" s="2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  <c r="AR562" s="1" t="n"/>
      <c r="AS562" s="1" t="n"/>
      <c r="AT562" s="1" t="n"/>
      <c r="AU562" s="1" t="n"/>
      <c r="AV562" s="1" t="n"/>
      <c r="AW562" s="1" t="n"/>
      <c r="AX562" s="1" t="n"/>
      <c r="AY562" s="1" t="n"/>
      <c r="AZ562" s="1" t="n"/>
      <c r="BA562" s="1" t="n"/>
    </row>
    <row r="563" ht="16.5" customHeight="1" s="220">
      <c r="A563" s="1" t="n"/>
      <c r="B563" s="1" t="n"/>
      <c r="C563" s="2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  <c r="AR563" s="1" t="n"/>
      <c r="AS563" s="1" t="n"/>
      <c r="AT563" s="1" t="n"/>
      <c r="AU563" s="1" t="n"/>
      <c r="AV563" s="1" t="n"/>
      <c r="AW563" s="1" t="n"/>
      <c r="AX563" s="1" t="n"/>
      <c r="AY563" s="1" t="n"/>
      <c r="AZ563" s="1" t="n"/>
      <c r="BA563" s="1" t="n"/>
    </row>
    <row r="564" ht="16.5" customHeight="1" s="220">
      <c r="A564" s="1" t="n"/>
      <c r="B564" s="1" t="n"/>
      <c r="C564" s="2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Q564" s="1" t="n"/>
      <c r="AR564" s="1" t="n"/>
      <c r="AS564" s="1" t="n"/>
      <c r="AT564" s="1" t="n"/>
      <c r="AU564" s="1" t="n"/>
      <c r="AV564" s="1" t="n"/>
      <c r="AW564" s="1" t="n"/>
      <c r="AX564" s="1" t="n"/>
      <c r="AY564" s="1" t="n"/>
      <c r="AZ564" s="1" t="n"/>
      <c r="BA564" s="1" t="n"/>
    </row>
    <row r="565" ht="16.5" customHeight="1" s="220">
      <c r="A565" s="1" t="n"/>
      <c r="B565" s="1" t="n"/>
      <c r="C565" s="2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  <c r="AR565" s="1" t="n"/>
      <c r="AS565" s="1" t="n"/>
      <c r="AT565" s="1" t="n"/>
      <c r="AU565" s="1" t="n"/>
      <c r="AV565" s="1" t="n"/>
      <c r="AW565" s="1" t="n"/>
      <c r="AX565" s="1" t="n"/>
      <c r="AY565" s="1" t="n"/>
      <c r="AZ565" s="1" t="n"/>
      <c r="BA565" s="1" t="n"/>
    </row>
    <row r="566" ht="16.5" customHeight="1" s="220">
      <c r="A566" s="1" t="n"/>
      <c r="B566" s="1" t="n"/>
      <c r="C566" s="2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  <c r="AR566" s="1" t="n"/>
      <c r="AS566" s="1" t="n"/>
      <c r="AT566" s="1" t="n"/>
      <c r="AU566" s="1" t="n"/>
      <c r="AV566" s="1" t="n"/>
      <c r="AW566" s="1" t="n"/>
      <c r="AX566" s="1" t="n"/>
      <c r="AY566" s="1" t="n"/>
      <c r="AZ566" s="1" t="n"/>
      <c r="BA566" s="1" t="n"/>
    </row>
    <row r="567" ht="16.5" customHeight="1" s="220">
      <c r="A567" s="1" t="n"/>
      <c r="B567" s="1" t="n"/>
      <c r="C567" s="2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  <c r="AR567" s="1" t="n"/>
      <c r="AS567" s="1" t="n"/>
      <c r="AT567" s="1" t="n"/>
      <c r="AU567" s="1" t="n"/>
      <c r="AV567" s="1" t="n"/>
      <c r="AW567" s="1" t="n"/>
      <c r="AX567" s="1" t="n"/>
      <c r="AY567" s="1" t="n"/>
      <c r="AZ567" s="1" t="n"/>
      <c r="BA567" s="1" t="n"/>
    </row>
    <row r="568" ht="16.5" customHeight="1" s="220">
      <c r="A568" s="1" t="n"/>
      <c r="B568" s="1" t="n"/>
      <c r="C568" s="2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  <c r="AR568" s="1" t="n"/>
      <c r="AS568" s="1" t="n"/>
      <c r="AT568" s="1" t="n"/>
      <c r="AU568" s="1" t="n"/>
      <c r="AV568" s="1" t="n"/>
      <c r="AW568" s="1" t="n"/>
      <c r="AX568" s="1" t="n"/>
      <c r="AY568" s="1" t="n"/>
      <c r="AZ568" s="1" t="n"/>
      <c r="BA568" s="1" t="n"/>
    </row>
    <row r="569" ht="16.5" customHeight="1" s="220">
      <c r="A569" s="1" t="n"/>
      <c r="B569" s="1" t="n"/>
      <c r="C569" s="2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  <c r="AR569" s="1" t="n"/>
      <c r="AS569" s="1" t="n"/>
      <c r="AT569" s="1" t="n"/>
      <c r="AU569" s="1" t="n"/>
      <c r="AV569" s="1" t="n"/>
      <c r="AW569" s="1" t="n"/>
      <c r="AX569" s="1" t="n"/>
      <c r="AY569" s="1" t="n"/>
      <c r="AZ569" s="1" t="n"/>
      <c r="BA569" s="1" t="n"/>
    </row>
    <row r="570" ht="16.5" customHeight="1" s="220">
      <c r="A570" s="1" t="n"/>
      <c r="B570" s="1" t="n"/>
      <c r="C570" s="2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Q570" s="1" t="n"/>
      <c r="AR570" s="1" t="n"/>
      <c r="AS570" s="1" t="n"/>
      <c r="AT570" s="1" t="n"/>
      <c r="AU570" s="1" t="n"/>
      <c r="AV570" s="1" t="n"/>
      <c r="AW570" s="1" t="n"/>
      <c r="AX570" s="1" t="n"/>
      <c r="AY570" s="1" t="n"/>
      <c r="AZ570" s="1" t="n"/>
      <c r="BA570" s="1" t="n"/>
    </row>
    <row r="571" ht="16.5" customHeight="1" s="220">
      <c r="A571" s="1" t="n"/>
      <c r="B571" s="1" t="n"/>
      <c r="C571" s="2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  <c r="AR571" s="1" t="n"/>
      <c r="AS571" s="1" t="n"/>
      <c r="AT571" s="1" t="n"/>
      <c r="AU571" s="1" t="n"/>
      <c r="AV571" s="1" t="n"/>
      <c r="AW571" s="1" t="n"/>
      <c r="AX571" s="1" t="n"/>
      <c r="AY571" s="1" t="n"/>
      <c r="AZ571" s="1" t="n"/>
      <c r="BA571" s="1" t="n"/>
    </row>
    <row r="572" ht="16.5" customHeight="1" s="220">
      <c r="A572" s="1" t="n"/>
      <c r="B572" s="1" t="n"/>
      <c r="C572" s="2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Q572" s="1" t="n"/>
      <c r="AR572" s="1" t="n"/>
      <c r="AS572" s="1" t="n"/>
      <c r="AT572" s="1" t="n"/>
      <c r="AU572" s="1" t="n"/>
      <c r="AV572" s="1" t="n"/>
      <c r="AW572" s="1" t="n"/>
      <c r="AX572" s="1" t="n"/>
      <c r="AY572" s="1" t="n"/>
      <c r="AZ572" s="1" t="n"/>
      <c r="BA572" s="1" t="n"/>
    </row>
    <row r="573" ht="16.5" customHeight="1" s="220">
      <c r="A573" s="1" t="n"/>
      <c r="B573" s="1" t="n"/>
      <c r="C573" s="2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  <c r="AR573" s="1" t="n"/>
      <c r="AS573" s="1" t="n"/>
      <c r="AT573" s="1" t="n"/>
      <c r="AU573" s="1" t="n"/>
      <c r="AV573" s="1" t="n"/>
      <c r="AW573" s="1" t="n"/>
      <c r="AX573" s="1" t="n"/>
      <c r="AY573" s="1" t="n"/>
      <c r="AZ573" s="1" t="n"/>
      <c r="BA573" s="1" t="n"/>
    </row>
    <row r="574" ht="16.5" customHeight="1" s="220">
      <c r="A574" s="1" t="n"/>
      <c r="B574" s="1" t="n"/>
      <c r="C574" s="2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  <c r="AR574" s="1" t="n"/>
      <c r="AS574" s="1" t="n"/>
      <c r="AT574" s="1" t="n"/>
      <c r="AU574" s="1" t="n"/>
      <c r="AV574" s="1" t="n"/>
      <c r="AW574" s="1" t="n"/>
      <c r="AX574" s="1" t="n"/>
      <c r="AY574" s="1" t="n"/>
      <c r="AZ574" s="1" t="n"/>
      <c r="BA574" s="1" t="n"/>
    </row>
    <row r="575" ht="16.5" customHeight="1" s="220">
      <c r="A575" s="1" t="n"/>
      <c r="B575" s="1" t="n"/>
      <c r="C575" s="2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  <c r="AR575" s="1" t="n"/>
      <c r="AS575" s="1" t="n"/>
      <c r="AT575" s="1" t="n"/>
      <c r="AU575" s="1" t="n"/>
      <c r="AV575" s="1" t="n"/>
      <c r="AW575" s="1" t="n"/>
      <c r="AX575" s="1" t="n"/>
      <c r="AY575" s="1" t="n"/>
      <c r="AZ575" s="1" t="n"/>
      <c r="BA575" s="1" t="n"/>
    </row>
    <row r="576" ht="16.5" customHeight="1" s="220">
      <c r="A576" s="1" t="n"/>
      <c r="B576" s="1" t="n"/>
      <c r="C576" s="2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  <c r="AR576" s="1" t="n"/>
      <c r="AS576" s="1" t="n"/>
      <c r="AT576" s="1" t="n"/>
      <c r="AU576" s="1" t="n"/>
      <c r="AV576" s="1" t="n"/>
      <c r="AW576" s="1" t="n"/>
      <c r="AX576" s="1" t="n"/>
      <c r="AY576" s="1" t="n"/>
      <c r="AZ576" s="1" t="n"/>
      <c r="BA576" s="1" t="n"/>
    </row>
    <row r="577" ht="16.5" customHeight="1" s="220">
      <c r="A577" s="1" t="n"/>
      <c r="B577" s="1" t="n"/>
      <c r="C577" s="2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  <c r="AR577" s="1" t="n"/>
      <c r="AS577" s="1" t="n"/>
      <c r="AT577" s="1" t="n"/>
      <c r="AU577" s="1" t="n"/>
      <c r="AV577" s="1" t="n"/>
      <c r="AW577" s="1" t="n"/>
      <c r="AX577" s="1" t="n"/>
      <c r="AY577" s="1" t="n"/>
      <c r="AZ577" s="1" t="n"/>
      <c r="BA577" s="1" t="n"/>
    </row>
    <row r="578" ht="16.5" customHeight="1" s="220">
      <c r="A578" s="1" t="n"/>
      <c r="B578" s="1" t="n"/>
      <c r="C578" s="2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  <c r="AR578" s="1" t="n"/>
      <c r="AS578" s="1" t="n"/>
      <c r="AT578" s="1" t="n"/>
      <c r="AU578" s="1" t="n"/>
      <c r="AV578" s="1" t="n"/>
      <c r="AW578" s="1" t="n"/>
      <c r="AX578" s="1" t="n"/>
      <c r="AY578" s="1" t="n"/>
      <c r="AZ578" s="1" t="n"/>
      <c r="BA578" s="1" t="n"/>
    </row>
    <row r="579" ht="16.5" customHeight="1" s="220">
      <c r="A579" s="1" t="n"/>
      <c r="B579" s="1" t="n"/>
      <c r="C579" s="2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  <c r="AR579" s="1" t="n"/>
      <c r="AS579" s="1" t="n"/>
      <c r="AT579" s="1" t="n"/>
      <c r="AU579" s="1" t="n"/>
      <c r="AV579" s="1" t="n"/>
      <c r="AW579" s="1" t="n"/>
      <c r="AX579" s="1" t="n"/>
      <c r="AY579" s="1" t="n"/>
      <c r="AZ579" s="1" t="n"/>
      <c r="BA579" s="1" t="n"/>
    </row>
    <row r="580" ht="16.5" customHeight="1" s="220">
      <c r="A580" s="1" t="n"/>
      <c r="B580" s="1" t="n"/>
      <c r="C580" s="2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  <c r="AR580" s="1" t="n"/>
      <c r="AS580" s="1" t="n"/>
      <c r="AT580" s="1" t="n"/>
      <c r="AU580" s="1" t="n"/>
      <c r="AV580" s="1" t="n"/>
      <c r="AW580" s="1" t="n"/>
      <c r="AX580" s="1" t="n"/>
      <c r="AY580" s="1" t="n"/>
      <c r="AZ580" s="1" t="n"/>
      <c r="BA580" s="1" t="n"/>
    </row>
    <row r="581" ht="16.5" customHeight="1" s="220">
      <c r="A581" s="1" t="n"/>
      <c r="B581" s="1" t="n"/>
      <c r="C581" s="2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  <c r="AR581" s="1" t="n"/>
      <c r="AS581" s="1" t="n"/>
      <c r="AT581" s="1" t="n"/>
      <c r="AU581" s="1" t="n"/>
      <c r="AV581" s="1" t="n"/>
      <c r="AW581" s="1" t="n"/>
      <c r="AX581" s="1" t="n"/>
      <c r="AY581" s="1" t="n"/>
      <c r="AZ581" s="1" t="n"/>
      <c r="BA581" s="1" t="n"/>
    </row>
    <row r="582" ht="16.5" customHeight="1" s="220">
      <c r="A582" s="1" t="n"/>
      <c r="B582" s="1" t="n"/>
      <c r="C582" s="2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Q582" s="1" t="n"/>
      <c r="AR582" s="1" t="n"/>
      <c r="AS582" s="1" t="n"/>
      <c r="AT582" s="1" t="n"/>
      <c r="AU582" s="1" t="n"/>
      <c r="AV582" s="1" t="n"/>
      <c r="AW582" s="1" t="n"/>
      <c r="AX582" s="1" t="n"/>
      <c r="AY582" s="1" t="n"/>
      <c r="AZ582" s="1" t="n"/>
      <c r="BA582" s="1" t="n"/>
    </row>
    <row r="583" ht="16.5" customHeight="1" s="220">
      <c r="A583" s="1" t="n"/>
      <c r="B583" s="1" t="n"/>
      <c r="C583" s="2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  <c r="AR583" s="1" t="n"/>
      <c r="AS583" s="1" t="n"/>
      <c r="AT583" s="1" t="n"/>
      <c r="AU583" s="1" t="n"/>
      <c r="AV583" s="1" t="n"/>
      <c r="AW583" s="1" t="n"/>
      <c r="AX583" s="1" t="n"/>
      <c r="AY583" s="1" t="n"/>
      <c r="AZ583" s="1" t="n"/>
      <c r="BA583" s="1" t="n"/>
    </row>
    <row r="584" ht="16.5" customHeight="1" s="220">
      <c r="A584" s="1" t="n"/>
      <c r="B584" s="1" t="n"/>
      <c r="C584" s="2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  <c r="AR584" s="1" t="n"/>
      <c r="AS584" s="1" t="n"/>
      <c r="AT584" s="1" t="n"/>
      <c r="AU584" s="1" t="n"/>
      <c r="AV584" s="1" t="n"/>
      <c r="AW584" s="1" t="n"/>
      <c r="AX584" s="1" t="n"/>
      <c r="AY584" s="1" t="n"/>
      <c r="AZ584" s="1" t="n"/>
      <c r="BA584" s="1" t="n"/>
    </row>
    <row r="585" ht="16.5" customHeight="1" s="220">
      <c r="A585" s="1" t="n"/>
      <c r="B585" s="1" t="n"/>
      <c r="C585" s="2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  <c r="AR585" s="1" t="n"/>
      <c r="AS585" s="1" t="n"/>
      <c r="AT585" s="1" t="n"/>
      <c r="AU585" s="1" t="n"/>
      <c r="AV585" s="1" t="n"/>
      <c r="AW585" s="1" t="n"/>
      <c r="AX585" s="1" t="n"/>
      <c r="AY585" s="1" t="n"/>
      <c r="AZ585" s="1" t="n"/>
      <c r="BA585" s="1" t="n"/>
    </row>
    <row r="586" ht="16.5" customHeight="1" s="220">
      <c r="A586" s="1" t="n"/>
      <c r="B586" s="1" t="n"/>
      <c r="C586" s="2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  <c r="AR586" s="1" t="n"/>
      <c r="AS586" s="1" t="n"/>
      <c r="AT586" s="1" t="n"/>
      <c r="AU586" s="1" t="n"/>
      <c r="AV586" s="1" t="n"/>
      <c r="AW586" s="1" t="n"/>
      <c r="AX586" s="1" t="n"/>
      <c r="AY586" s="1" t="n"/>
      <c r="AZ586" s="1" t="n"/>
      <c r="BA586" s="1" t="n"/>
    </row>
    <row r="587" ht="16.5" customHeight="1" s="220">
      <c r="A587" s="1" t="n"/>
      <c r="B587" s="1" t="n"/>
      <c r="C587" s="2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  <c r="AR587" s="1" t="n"/>
      <c r="AS587" s="1" t="n"/>
      <c r="AT587" s="1" t="n"/>
      <c r="AU587" s="1" t="n"/>
      <c r="AV587" s="1" t="n"/>
      <c r="AW587" s="1" t="n"/>
      <c r="AX587" s="1" t="n"/>
      <c r="AY587" s="1" t="n"/>
      <c r="AZ587" s="1" t="n"/>
      <c r="BA587" s="1" t="n"/>
    </row>
    <row r="588" ht="16.5" customHeight="1" s="220">
      <c r="A588" s="1" t="n"/>
      <c r="B588" s="1" t="n"/>
      <c r="C588" s="2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Q588" s="1" t="n"/>
      <c r="AR588" s="1" t="n"/>
      <c r="AS588" s="1" t="n"/>
      <c r="AT588" s="1" t="n"/>
      <c r="AU588" s="1" t="n"/>
      <c r="AV588" s="1" t="n"/>
      <c r="AW588" s="1" t="n"/>
      <c r="AX588" s="1" t="n"/>
      <c r="AY588" s="1" t="n"/>
      <c r="AZ588" s="1" t="n"/>
      <c r="BA588" s="1" t="n"/>
    </row>
    <row r="589" ht="16.5" customHeight="1" s="220">
      <c r="A589" s="1" t="n"/>
      <c r="B589" s="1" t="n"/>
      <c r="C589" s="2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  <c r="AR589" s="1" t="n"/>
      <c r="AS589" s="1" t="n"/>
      <c r="AT589" s="1" t="n"/>
      <c r="AU589" s="1" t="n"/>
      <c r="AV589" s="1" t="n"/>
      <c r="AW589" s="1" t="n"/>
      <c r="AX589" s="1" t="n"/>
      <c r="AY589" s="1" t="n"/>
      <c r="AZ589" s="1" t="n"/>
      <c r="BA589" s="1" t="n"/>
    </row>
    <row r="590" ht="16.5" customHeight="1" s="220">
      <c r="A590" s="1" t="n"/>
      <c r="B590" s="1" t="n"/>
      <c r="C590" s="2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  <c r="AR590" s="1" t="n"/>
      <c r="AS590" s="1" t="n"/>
      <c r="AT590" s="1" t="n"/>
      <c r="AU590" s="1" t="n"/>
      <c r="AV590" s="1" t="n"/>
      <c r="AW590" s="1" t="n"/>
      <c r="AX590" s="1" t="n"/>
      <c r="AY590" s="1" t="n"/>
      <c r="AZ590" s="1" t="n"/>
      <c r="BA590" s="1" t="n"/>
    </row>
    <row r="591" ht="16.5" customHeight="1" s="220">
      <c r="A591" s="1" t="n"/>
      <c r="B591" s="1" t="n"/>
      <c r="C591" s="2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  <c r="AR591" s="1" t="n"/>
      <c r="AS591" s="1" t="n"/>
      <c r="AT591" s="1" t="n"/>
      <c r="AU591" s="1" t="n"/>
      <c r="AV591" s="1" t="n"/>
      <c r="AW591" s="1" t="n"/>
      <c r="AX591" s="1" t="n"/>
      <c r="AY591" s="1" t="n"/>
      <c r="AZ591" s="1" t="n"/>
      <c r="BA591" s="1" t="n"/>
    </row>
    <row r="592" ht="16.5" customHeight="1" s="220">
      <c r="A592" s="1" t="n"/>
      <c r="B592" s="1" t="n"/>
      <c r="C592" s="2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Q592" s="1" t="n"/>
      <c r="AR592" s="1" t="n"/>
      <c r="AS592" s="1" t="n"/>
      <c r="AT592" s="1" t="n"/>
      <c r="AU592" s="1" t="n"/>
      <c r="AV592" s="1" t="n"/>
      <c r="AW592" s="1" t="n"/>
      <c r="AX592" s="1" t="n"/>
      <c r="AY592" s="1" t="n"/>
      <c r="AZ592" s="1" t="n"/>
      <c r="BA592" s="1" t="n"/>
    </row>
    <row r="593" ht="16.5" customHeight="1" s="220">
      <c r="A593" s="1" t="n"/>
      <c r="B593" s="1" t="n"/>
      <c r="C593" s="2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  <c r="AR593" s="1" t="n"/>
      <c r="AS593" s="1" t="n"/>
      <c r="AT593" s="1" t="n"/>
      <c r="AU593" s="1" t="n"/>
      <c r="AV593" s="1" t="n"/>
      <c r="AW593" s="1" t="n"/>
      <c r="AX593" s="1" t="n"/>
      <c r="AY593" s="1" t="n"/>
      <c r="AZ593" s="1" t="n"/>
      <c r="BA593" s="1" t="n"/>
    </row>
    <row r="594" ht="16.5" customHeight="1" s="220">
      <c r="A594" s="1" t="n"/>
      <c r="B594" s="1" t="n"/>
      <c r="C594" s="2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Q594" s="1" t="n"/>
      <c r="AR594" s="1" t="n"/>
      <c r="AS594" s="1" t="n"/>
      <c r="AT594" s="1" t="n"/>
      <c r="AU594" s="1" t="n"/>
      <c r="AV594" s="1" t="n"/>
      <c r="AW594" s="1" t="n"/>
      <c r="AX594" s="1" t="n"/>
      <c r="AY594" s="1" t="n"/>
      <c r="AZ594" s="1" t="n"/>
      <c r="BA594" s="1" t="n"/>
    </row>
    <row r="595" ht="16.5" customHeight="1" s="220">
      <c r="A595" s="1" t="n"/>
      <c r="B595" s="1" t="n"/>
      <c r="C595" s="2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  <c r="AR595" s="1" t="n"/>
      <c r="AS595" s="1" t="n"/>
      <c r="AT595" s="1" t="n"/>
      <c r="AU595" s="1" t="n"/>
      <c r="AV595" s="1" t="n"/>
      <c r="AW595" s="1" t="n"/>
      <c r="AX595" s="1" t="n"/>
      <c r="AY595" s="1" t="n"/>
      <c r="AZ595" s="1" t="n"/>
      <c r="BA595" s="1" t="n"/>
    </row>
    <row r="596" ht="16.5" customHeight="1" s="220">
      <c r="A596" s="1" t="n"/>
      <c r="B596" s="1" t="n"/>
      <c r="C596" s="2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  <c r="AR596" s="1" t="n"/>
      <c r="AS596" s="1" t="n"/>
      <c r="AT596" s="1" t="n"/>
      <c r="AU596" s="1" t="n"/>
      <c r="AV596" s="1" t="n"/>
      <c r="AW596" s="1" t="n"/>
      <c r="AX596" s="1" t="n"/>
      <c r="AY596" s="1" t="n"/>
      <c r="AZ596" s="1" t="n"/>
      <c r="BA596" s="1" t="n"/>
    </row>
    <row r="597" ht="16.5" customHeight="1" s="220">
      <c r="A597" s="1" t="n"/>
      <c r="B597" s="1" t="n"/>
      <c r="C597" s="2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  <c r="AR597" s="1" t="n"/>
      <c r="AS597" s="1" t="n"/>
      <c r="AT597" s="1" t="n"/>
      <c r="AU597" s="1" t="n"/>
      <c r="AV597" s="1" t="n"/>
      <c r="AW597" s="1" t="n"/>
      <c r="AX597" s="1" t="n"/>
      <c r="AY597" s="1" t="n"/>
      <c r="AZ597" s="1" t="n"/>
      <c r="BA597" s="1" t="n"/>
    </row>
    <row r="598" ht="16.5" customHeight="1" s="220">
      <c r="A598" s="1" t="n"/>
      <c r="B598" s="1" t="n"/>
      <c r="C598" s="2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Q598" s="1" t="n"/>
      <c r="AR598" s="1" t="n"/>
      <c r="AS598" s="1" t="n"/>
      <c r="AT598" s="1" t="n"/>
      <c r="AU598" s="1" t="n"/>
      <c r="AV598" s="1" t="n"/>
      <c r="AW598" s="1" t="n"/>
      <c r="AX598" s="1" t="n"/>
      <c r="AY598" s="1" t="n"/>
      <c r="AZ598" s="1" t="n"/>
      <c r="BA598" s="1" t="n"/>
    </row>
    <row r="599" ht="16.5" customHeight="1" s="220">
      <c r="A599" s="1" t="n"/>
      <c r="B599" s="1" t="n"/>
      <c r="C599" s="2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  <c r="AR599" s="1" t="n"/>
      <c r="AS599" s="1" t="n"/>
      <c r="AT599" s="1" t="n"/>
      <c r="AU599" s="1" t="n"/>
      <c r="AV599" s="1" t="n"/>
      <c r="AW599" s="1" t="n"/>
      <c r="AX599" s="1" t="n"/>
      <c r="AY599" s="1" t="n"/>
      <c r="AZ599" s="1" t="n"/>
      <c r="BA599" s="1" t="n"/>
    </row>
    <row r="600" ht="16.5" customHeight="1" s="220">
      <c r="A600" s="1" t="n"/>
      <c r="B600" s="1" t="n"/>
      <c r="C600" s="2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Q600" s="1" t="n"/>
      <c r="AR600" s="1" t="n"/>
      <c r="AS600" s="1" t="n"/>
      <c r="AT600" s="1" t="n"/>
      <c r="AU600" s="1" t="n"/>
      <c r="AV600" s="1" t="n"/>
      <c r="AW600" s="1" t="n"/>
      <c r="AX600" s="1" t="n"/>
      <c r="AY600" s="1" t="n"/>
      <c r="AZ600" s="1" t="n"/>
      <c r="BA600" s="1" t="n"/>
    </row>
    <row r="601" ht="16.5" customHeight="1" s="220">
      <c r="A601" s="1" t="n"/>
      <c r="B601" s="1" t="n"/>
      <c r="C601" s="2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  <c r="AR601" s="1" t="n"/>
      <c r="AS601" s="1" t="n"/>
      <c r="AT601" s="1" t="n"/>
      <c r="AU601" s="1" t="n"/>
      <c r="AV601" s="1" t="n"/>
      <c r="AW601" s="1" t="n"/>
      <c r="AX601" s="1" t="n"/>
      <c r="AY601" s="1" t="n"/>
      <c r="AZ601" s="1" t="n"/>
      <c r="BA601" s="1" t="n"/>
    </row>
    <row r="602" ht="16.5" customHeight="1" s="220">
      <c r="A602" s="1" t="n"/>
      <c r="B602" s="1" t="n"/>
      <c r="C602" s="2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Q602" s="1" t="n"/>
      <c r="AR602" s="1" t="n"/>
      <c r="AS602" s="1" t="n"/>
      <c r="AT602" s="1" t="n"/>
      <c r="AU602" s="1" t="n"/>
      <c r="AV602" s="1" t="n"/>
      <c r="AW602" s="1" t="n"/>
      <c r="AX602" s="1" t="n"/>
      <c r="AY602" s="1" t="n"/>
      <c r="AZ602" s="1" t="n"/>
      <c r="BA602" s="1" t="n"/>
    </row>
    <row r="603" ht="16.5" customHeight="1" s="220">
      <c r="A603" s="1" t="n"/>
      <c r="B603" s="1" t="n"/>
      <c r="C603" s="2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  <c r="AR603" s="1" t="n"/>
      <c r="AS603" s="1" t="n"/>
      <c r="AT603" s="1" t="n"/>
      <c r="AU603" s="1" t="n"/>
      <c r="AV603" s="1" t="n"/>
      <c r="AW603" s="1" t="n"/>
      <c r="AX603" s="1" t="n"/>
      <c r="AY603" s="1" t="n"/>
      <c r="AZ603" s="1" t="n"/>
      <c r="BA603" s="1" t="n"/>
    </row>
    <row r="604" ht="16.5" customHeight="1" s="220">
      <c r="A604" s="1" t="n"/>
      <c r="B604" s="1" t="n"/>
      <c r="C604" s="2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  <c r="AR604" s="1" t="n"/>
      <c r="AS604" s="1" t="n"/>
      <c r="AT604" s="1" t="n"/>
      <c r="AU604" s="1" t="n"/>
      <c r="AV604" s="1" t="n"/>
      <c r="AW604" s="1" t="n"/>
      <c r="AX604" s="1" t="n"/>
      <c r="AY604" s="1" t="n"/>
      <c r="AZ604" s="1" t="n"/>
      <c r="BA604" s="1" t="n"/>
    </row>
    <row r="605" ht="16.5" customHeight="1" s="220">
      <c r="A605" s="1" t="n"/>
      <c r="B605" s="1" t="n"/>
      <c r="C605" s="2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  <c r="AR605" s="1" t="n"/>
      <c r="AS605" s="1" t="n"/>
      <c r="AT605" s="1" t="n"/>
      <c r="AU605" s="1" t="n"/>
      <c r="AV605" s="1" t="n"/>
      <c r="AW605" s="1" t="n"/>
      <c r="AX605" s="1" t="n"/>
      <c r="AY605" s="1" t="n"/>
      <c r="AZ605" s="1" t="n"/>
      <c r="BA605" s="1" t="n"/>
    </row>
    <row r="606" ht="16.5" customHeight="1" s="220">
      <c r="A606" s="1" t="n"/>
      <c r="B606" s="1" t="n"/>
      <c r="C606" s="2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  <c r="AR606" s="1" t="n"/>
      <c r="AS606" s="1" t="n"/>
      <c r="AT606" s="1" t="n"/>
      <c r="AU606" s="1" t="n"/>
      <c r="AV606" s="1" t="n"/>
      <c r="AW606" s="1" t="n"/>
      <c r="AX606" s="1" t="n"/>
      <c r="AY606" s="1" t="n"/>
      <c r="AZ606" s="1" t="n"/>
      <c r="BA606" s="1" t="n"/>
    </row>
    <row r="607" ht="16.5" customHeight="1" s="220">
      <c r="A607" s="1" t="n"/>
      <c r="B607" s="1" t="n"/>
      <c r="C607" s="2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  <c r="AR607" s="1" t="n"/>
      <c r="AS607" s="1" t="n"/>
      <c r="AT607" s="1" t="n"/>
      <c r="AU607" s="1" t="n"/>
      <c r="AV607" s="1" t="n"/>
      <c r="AW607" s="1" t="n"/>
      <c r="AX607" s="1" t="n"/>
      <c r="AY607" s="1" t="n"/>
      <c r="AZ607" s="1" t="n"/>
      <c r="BA607" s="1" t="n"/>
    </row>
    <row r="608" ht="16.5" customHeight="1" s="220">
      <c r="A608" s="1" t="n"/>
      <c r="B608" s="1" t="n"/>
      <c r="C608" s="2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  <c r="AR608" s="1" t="n"/>
      <c r="AS608" s="1" t="n"/>
      <c r="AT608" s="1" t="n"/>
      <c r="AU608" s="1" t="n"/>
      <c r="AV608" s="1" t="n"/>
      <c r="AW608" s="1" t="n"/>
      <c r="AX608" s="1" t="n"/>
      <c r="AY608" s="1" t="n"/>
      <c r="AZ608" s="1" t="n"/>
      <c r="BA608" s="1" t="n"/>
    </row>
    <row r="609" ht="16.5" customHeight="1" s="220">
      <c r="A609" s="1" t="n"/>
      <c r="B609" s="1" t="n"/>
      <c r="C609" s="2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  <c r="AR609" s="1" t="n"/>
      <c r="AS609" s="1" t="n"/>
      <c r="AT609" s="1" t="n"/>
      <c r="AU609" s="1" t="n"/>
      <c r="AV609" s="1" t="n"/>
      <c r="AW609" s="1" t="n"/>
      <c r="AX609" s="1" t="n"/>
      <c r="AY609" s="1" t="n"/>
      <c r="AZ609" s="1" t="n"/>
      <c r="BA609" s="1" t="n"/>
    </row>
    <row r="610" ht="16.5" customHeight="1" s="220">
      <c r="A610" s="1" t="n"/>
      <c r="B610" s="1" t="n"/>
      <c r="C610" s="2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  <c r="AR610" s="1" t="n"/>
      <c r="AS610" s="1" t="n"/>
      <c r="AT610" s="1" t="n"/>
      <c r="AU610" s="1" t="n"/>
      <c r="AV610" s="1" t="n"/>
      <c r="AW610" s="1" t="n"/>
      <c r="AX610" s="1" t="n"/>
      <c r="AY610" s="1" t="n"/>
      <c r="AZ610" s="1" t="n"/>
      <c r="BA610" s="1" t="n"/>
    </row>
    <row r="611" ht="16.5" customHeight="1" s="220">
      <c r="A611" s="1" t="n"/>
      <c r="B611" s="1" t="n"/>
      <c r="C611" s="2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  <c r="AR611" s="1" t="n"/>
      <c r="AS611" s="1" t="n"/>
      <c r="AT611" s="1" t="n"/>
      <c r="AU611" s="1" t="n"/>
      <c r="AV611" s="1" t="n"/>
      <c r="AW611" s="1" t="n"/>
      <c r="AX611" s="1" t="n"/>
      <c r="AY611" s="1" t="n"/>
      <c r="AZ611" s="1" t="n"/>
      <c r="BA611" s="1" t="n"/>
    </row>
    <row r="612" ht="16.5" customHeight="1" s="220">
      <c r="A612" s="1" t="n"/>
      <c r="B612" s="1" t="n"/>
      <c r="C612" s="2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  <c r="AR612" s="1" t="n"/>
      <c r="AS612" s="1" t="n"/>
      <c r="AT612" s="1" t="n"/>
      <c r="AU612" s="1" t="n"/>
      <c r="AV612" s="1" t="n"/>
      <c r="AW612" s="1" t="n"/>
      <c r="AX612" s="1" t="n"/>
      <c r="AY612" s="1" t="n"/>
      <c r="AZ612" s="1" t="n"/>
      <c r="BA612" s="1" t="n"/>
    </row>
    <row r="613" ht="16.5" customHeight="1" s="220">
      <c r="A613" s="1" t="n"/>
      <c r="B613" s="1" t="n"/>
      <c r="C613" s="2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  <c r="AR613" s="1" t="n"/>
      <c r="AS613" s="1" t="n"/>
      <c r="AT613" s="1" t="n"/>
      <c r="AU613" s="1" t="n"/>
      <c r="AV613" s="1" t="n"/>
      <c r="AW613" s="1" t="n"/>
      <c r="AX613" s="1" t="n"/>
      <c r="AY613" s="1" t="n"/>
      <c r="AZ613" s="1" t="n"/>
      <c r="BA613" s="1" t="n"/>
    </row>
    <row r="614" ht="16.5" customHeight="1" s="220">
      <c r="A614" s="1" t="n"/>
      <c r="B614" s="1" t="n"/>
      <c r="C614" s="2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  <c r="AR614" s="1" t="n"/>
      <c r="AS614" s="1" t="n"/>
      <c r="AT614" s="1" t="n"/>
      <c r="AU614" s="1" t="n"/>
      <c r="AV614" s="1" t="n"/>
      <c r="AW614" s="1" t="n"/>
      <c r="AX614" s="1" t="n"/>
      <c r="AY614" s="1" t="n"/>
      <c r="AZ614" s="1" t="n"/>
      <c r="BA614" s="1" t="n"/>
    </row>
    <row r="615" ht="16.5" customHeight="1" s="220">
      <c r="A615" s="1" t="n"/>
      <c r="B615" s="1" t="n"/>
      <c r="C615" s="2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  <c r="AR615" s="1" t="n"/>
      <c r="AS615" s="1" t="n"/>
      <c r="AT615" s="1" t="n"/>
      <c r="AU615" s="1" t="n"/>
      <c r="AV615" s="1" t="n"/>
      <c r="AW615" s="1" t="n"/>
      <c r="AX615" s="1" t="n"/>
      <c r="AY615" s="1" t="n"/>
      <c r="AZ615" s="1" t="n"/>
      <c r="BA615" s="1" t="n"/>
    </row>
    <row r="616" ht="16.5" customHeight="1" s="220">
      <c r="A616" s="1" t="n"/>
      <c r="B616" s="1" t="n"/>
      <c r="C616" s="2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  <c r="AR616" s="1" t="n"/>
      <c r="AS616" s="1" t="n"/>
      <c r="AT616" s="1" t="n"/>
      <c r="AU616" s="1" t="n"/>
      <c r="AV616" s="1" t="n"/>
      <c r="AW616" s="1" t="n"/>
      <c r="AX616" s="1" t="n"/>
      <c r="AY616" s="1" t="n"/>
      <c r="AZ616" s="1" t="n"/>
      <c r="BA616" s="1" t="n"/>
    </row>
    <row r="617" ht="16.5" customHeight="1" s="220">
      <c r="A617" s="1" t="n"/>
      <c r="B617" s="1" t="n"/>
      <c r="C617" s="2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  <c r="AR617" s="1" t="n"/>
      <c r="AS617" s="1" t="n"/>
      <c r="AT617" s="1" t="n"/>
      <c r="AU617" s="1" t="n"/>
      <c r="AV617" s="1" t="n"/>
      <c r="AW617" s="1" t="n"/>
      <c r="AX617" s="1" t="n"/>
      <c r="AY617" s="1" t="n"/>
      <c r="AZ617" s="1" t="n"/>
      <c r="BA617" s="1" t="n"/>
    </row>
    <row r="618" ht="16.5" customHeight="1" s="220">
      <c r="A618" s="1" t="n"/>
      <c r="B618" s="1" t="n"/>
      <c r="C618" s="2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  <c r="AR618" s="1" t="n"/>
      <c r="AS618" s="1" t="n"/>
      <c r="AT618" s="1" t="n"/>
      <c r="AU618" s="1" t="n"/>
      <c r="AV618" s="1" t="n"/>
      <c r="AW618" s="1" t="n"/>
      <c r="AX618" s="1" t="n"/>
      <c r="AY618" s="1" t="n"/>
      <c r="AZ618" s="1" t="n"/>
      <c r="BA618" s="1" t="n"/>
    </row>
    <row r="619" ht="16.5" customHeight="1" s="220">
      <c r="A619" s="1" t="n"/>
      <c r="B619" s="1" t="n"/>
      <c r="C619" s="2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  <c r="AR619" s="1" t="n"/>
      <c r="AS619" s="1" t="n"/>
      <c r="AT619" s="1" t="n"/>
      <c r="AU619" s="1" t="n"/>
      <c r="AV619" s="1" t="n"/>
      <c r="AW619" s="1" t="n"/>
      <c r="AX619" s="1" t="n"/>
      <c r="AY619" s="1" t="n"/>
      <c r="AZ619" s="1" t="n"/>
      <c r="BA619" s="1" t="n"/>
    </row>
    <row r="620" ht="16.5" customHeight="1" s="220">
      <c r="A620" s="1" t="n"/>
      <c r="B620" s="1" t="n"/>
      <c r="C620" s="2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Q620" s="1" t="n"/>
      <c r="AR620" s="1" t="n"/>
      <c r="AS620" s="1" t="n"/>
      <c r="AT620" s="1" t="n"/>
      <c r="AU620" s="1" t="n"/>
      <c r="AV620" s="1" t="n"/>
      <c r="AW620" s="1" t="n"/>
      <c r="AX620" s="1" t="n"/>
      <c r="AY620" s="1" t="n"/>
      <c r="AZ620" s="1" t="n"/>
      <c r="BA620" s="1" t="n"/>
    </row>
    <row r="621" ht="16.5" customHeight="1" s="220">
      <c r="A621" s="1" t="n"/>
      <c r="B621" s="1" t="n"/>
      <c r="C621" s="2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  <c r="AR621" s="1" t="n"/>
      <c r="AS621" s="1" t="n"/>
      <c r="AT621" s="1" t="n"/>
      <c r="AU621" s="1" t="n"/>
      <c r="AV621" s="1" t="n"/>
      <c r="AW621" s="1" t="n"/>
      <c r="AX621" s="1" t="n"/>
      <c r="AY621" s="1" t="n"/>
      <c r="AZ621" s="1" t="n"/>
      <c r="BA621" s="1" t="n"/>
    </row>
    <row r="622" ht="16.5" customHeight="1" s="220">
      <c r="A622" s="1" t="n"/>
      <c r="B622" s="1" t="n"/>
      <c r="C622" s="2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  <c r="AR622" s="1" t="n"/>
      <c r="AS622" s="1" t="n"/>
      <c r="AT622" s="1" t="n"/>
      <c r="AU622" s="1" t="n"/>
      <c r="AV622" s="1" t="n"/>
      <c r="AW622" s="1" t="n"/>
      <c r="AX622" s="1" t="n"/>
      <c r="AY622" s="1" t="n"/>
      <c r="AZ622" s="1" t="n"/>
      <c r="BA622" s="1" t="n"/>
    </row>
    <row r="623" ht="16.5" customHeight="1" s="220">
      <c r="A623" s="1" t="n"/>
      <c r="B623" s="1" t="n"/>
      <c r="C623" s="2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  <c r="AR623" s="1" t="n"/>
      <c r="AS623" s="1" t="n"/>
      <c r="AT623" s="1" t="n"/>
      <c r="AU623" s="1" t="n"/>
      <c r="AV623" s="1" t="n"/>
      <c r="AW623" s="1" t="n"/>
      <c r="AX623" s="1" t="n"/>
      <c r="AY623" s="1" t="n"/>
      <c r="AZ623" s="1" t="n"/>
      <c r="BA623" s="1" t="n"/>
    </row>
    <row r="624" ht="16.5" customHeight="1" s="220">
      <c r="A624" s="1" t="n"/>
      <c r="B624" s="1" t="n"/>
      <c r="C624" s="2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  <c r="AR624" s="1" t="n"/>
      <c r="AS624" s="1" t="n"/>
      <c r="AT624" s="1" t="n"/>
      <c r="AU624" s="1" t="n"/>
      <c r="AV624" s="1" t="n"/>
      <c r="AW624" s="1" t="n"/>
      <c r="AX624" s="1" t="n"/>
      <c r="AY624" s="1" t="n"/>
      <c r="AZ624" s="1" t="n"/>
      <c r="BA624" s="1" t="n"/>
    </row>
    <row r="625" ht="16.5" customHeight="1" s="220">
      <c r="A625" s="1" t="n"/>
      <c r="B625" s="1" t="n"/>
      <c r="C625" s="2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  <c r="AR625" s="1" t="n"/>
      <c r="AS625" s="1" t="n"/>
      <c r="AT625" s="1" t="n"/>
      <c r="AU625" s="1" t="n"/>
      <c r="AV625" s="1" t="n"/>
      <c r="AW625" s="1" t="n"/>
      <c r="AX625" s="1" t="n"/>
      <c r="AY625" s="1" t="n"/>
      <c r="AZ625" s="1" t="n"/>
      <c r="BA625" s="1" t="n"/>
    </row>
    <row r="626" ht="16.5" customHeight="1" s="220">
      <c r="A626" s="1" t="n"/>
      <c r="B626" s="1" t="n"/>
      <c r="C626" s="2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  <c r="AR626" s="1" t="n"/>
      <c r="AS626" s="1" t="n"/>
      <c r="AT626" s="1" t="n"/>
      <c r="AU626" s="1" t="n"/>
      <c r="AV626" s="1" t="n"/>
      <c r="AW626" s="1" t="n"/>
      <c r="AX626" s="1" t="n"/>
      <c r="AY626" s="1" t="n"/>
      <c r="AZ626" s="1" t="n"/>
      <c r="BA626" s="1" t="n"/>
    </row>
    <row r="627" ht="16.5" customHeight="1" s="220">
      <c r="A627" s="1" t="n"/>
      <c r="B627" s="1" t="n"/>
      <c r="C627" s="2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  <c r="AR627" s="1" t="n"/>
      <c r="AS627" s="1" t="n"/>
      <c r="AT627" s="1" t="n"/>
      <c r="AU627" s="1" t="n"/>
      <c r="AV627" s="1" t="n"/>
      <c r="AW627" s="1" t="n"/>
      <c r="AX627" s="1" t="n"/>
      <c r="AY627" s="1" t="n"/>
      <c r="AZ627" s="1" t="n"/>
      <c r="BA627" s="1" t="n"/>
    </row>
    <row r="628" ht="16.5" customHeight="1" s="220">
      <c r="A628" s="1" t="n"/>
      <c r="B628" s="1" t="n"/>
      <c r="C628" s="2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  <c r="AR628" s="1" t="n"/>
      <c r="AS628" s="1" t="n"/>
      <c r="AT628" s="1" t="n"/>
      <c r="AU628" s="1" t="n"/>
      <c r="AV628" s="1" t="n"/>
      <c r="AW628" s="1" t="n"/>
      <c r="AX628" s="1" t="n"/>
      <c r="AY628" s="1" t="n"/>
      <c r="AZ628" s="1" t="n"/>
      <c r="BA628" s="1" t="n"/>
    </row>
    <row r="629" ht="16.5" customHeight="1" s="220">
      <c r="A629" s="1" t="n"/>
      <c r="B629" s="1" t="n"/>
      <c r="C629" s="2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  <c r="AR629" s="1" t="n"/>
      <c r="AS629" s="1" t="n"/>
      <c r="AT629" s="1" t="n"/>
      <c r="AU629" s="1" t="n"/>
      <c r="AV629" s="1" t="n"/>
      <c r="AW629" s="1" t="n"/>
      <c r="AX629" s="1" t="n"/>
      <c r="AY629" s="1" t="n"/>
      <c r="AZ629" s="1" t="n"/>
      <c r="BA629" s="1" t="n"/>
    </row>
    <row r="630" ht="16.5" customHeight="1" s="220">
      <c r="A630" s="1" t="n"/>
      <c r="B630" s="1" t="n"/>
      <c r="C630" s="2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  <c r="AR630" s="1" t="n"/>
      <c r="AS630" s="1" t="n"/>
      <c r="AT630" s="1" t="n"/>
      <c r="AU630" s="1" t="n"/>
      <c r="AV630" s="1" t="n"/>
      <c r="AW630" s="1" t="n"/>
      <c r="AX630" s="1" t="n"/>
      <c r="AY630" s="1" t="n"/>
      <c r="AZ630" s="1" t="n"/>
      <c r="BA630" s="1" t="n"/>
    </row>
    <row r="631" ht="16.5" customHeight="1" s="220">
      <c r="A631" s="1" t="n"/>
      <c r="B631" s="1" t="n"/>
      <c r="C631" s="2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  <c r="AR631" s="1" t="n"/>
      <c r="AS631" s="1" t="n"/>
      <c r="AT631" s="1" t="n"/>
      <c r="AU631" s="1" t="n"/>
      <c r="AV631" s="1" t="n"/>
      <c r="AW631" s="1" t="n"/>
      <c r="AX631" s="1" t="n"/>
      <c r="AY631" s="1" t="n"/>
      <c r="AZ631" s="1" t="n"/>
      <c r="BA631" s="1" t="n"/>
    </row>
    <row r="632" ht="16.5" customHeight="1" s="220">
      <c r="A632" s="1" t="n"/>
      <c r="B632" s="1" t="n"/>
      <c r="C632" s="2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  <c r="AR632" s="1" t="n"/>
      <c r="AS632" s="1" t="n"/>
      <c r="AT632" s="1" t="n"/>
      <c r="AU632" s="1" t="n"/>
      <c r="AV632" s="1" t="n"/>
      <c r="AW632" s="1" t="n"/>
      <c r="AX632" s="1" t="n"/>
      <c r="AY632" s="1" t="n"/>
      <c r="AZ632" s="1" t="n"/>
      <c r="BA632" s="1" t="n"/>
    </row>
    <row r="633" ht="16.5" customHeight="1" s="220">
      <c r="A633" s="1" t="n"/>
      <c r="B633" s="1" t="n"/>
      <c r="C633" s="2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  <c r="AR633" s="1" t="n"/>
      <c r="AS633" s="1" t="n"/>
      <c r="AT633" s="1" t="n"/>
      <c r="AU633" s="1" t="n"/>
      <c r="AV633" s="1" t="n"/>
      <c r="AW633" s="1" t="n"/>
      <c r="AX633" s="1" t="n"/>
      <c r="AY633" s="1" t="n"/>
      <c r="AZ633" s="1" t="n"/>
      <c r="BA633" s="1" t="n"/>
    </row>
    <row r="634" ht="16.5" customHeight="1" s="220">
      <c r="A634" s="1" t="n"/>
      <c r="B634" s="1" t="n"/>
      <c r="C634" s="2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Q634" s="1" t="n"/>
      <c r="AR634" s="1" t="n"/>
      <c r="AS634" s="1" t="n"/>
      <c r="AT634" s="1" t="n"/>
      <c r="AU634" s="1" t="n"/>
      <c r="AV634" s="1" t="n"/>
      <c r="AW634" s="1" t="n"/>
      <c r="AX634" s="1" t="n"/>
      <c r="AY634" s="1" t="n"/>
      <c r="AZ634" s="1" t="n"/>
      <c r="BA634" s="1" t="n"/>
    </row>
    <row r="635" ht="16.5" customHeight="1" s="220">
      <c r="A635" s="1" t="n"/>
      <c r="B635" s="1" t="n"/>
      <c r="C635" s="2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  <c r="AR635" s="1" t="n"/>
      <c r="AS635" s="1" t="n"/>
      <c r="AT635" s="1" t="n"/>
      <c r="AU635" s="1" t="n"/>
      <c r="AV635" s="1" t="n"/>
      <c r="AW635" s="1" t="n"/>
      <c r="AX635" s="1" t="n"/>
      <c r="AY635" s="1" t="n"/>
      <c r="AZ635" s="1" t="n"/>
      <c r="BA635" s="1" t="n"/>
    </row>
    <row r="636" ht="16.5" customHeight="1" s="220">
      <c r="A636" s="1" t="n"/>
      <c r="B636" s="1" t="n"/>
      <c r="C636" s="2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Q636" s="1" t="n"/>
      <c r="AR636" s="1" t="n"/>
      <c r="AS636" s="1" t="n"/>
      <c r="AT636" s="1" t="n"/>
      <c r="AU636" s="1" t="n"/>
      <c r="AV636" s="1" t="n"/>
      <c r="AW636" s="1" t="n"/>
      <c r="AX636" s="1" t="n"/>
      <c r="AY636" s="1" t="n"/>
      <c r="AZ636" s="1" t="n"/>
      <c r="BA636" s="1" t="n"/>
    </row>
    <row r="637" ht="16.5" customHeight="1" s="220">
      <c r="A637" s="1" t="n"/>
      <c r="B637" s="1" t="n"/>
      <c r="C637" s="2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  <c r="AR637" s="1" t="n"/>
      <c r="AS637" s="1" t="n"/>
      <c r="AT637" s="1" t="n"/>
      <c r="AU637" s="1" t="n"/>
      <c r="AV637" s="1" t="n"/>
      <c r="AW637" s="1" t="n"/>
      <c r="AX637" s="1" t="n"/>
      <c r="AY637" s="1" t="n"/>
      <c r="AZ637" s="1" t="n"/>
      <c r="BA637" s="1" t="n"/>
    </row>
    <row r="638" ht="16.5" customHeight="1" s="220">
      <c r="A638" s="1" t="n"/>
      <c r="B638" s="1" t="n"/>
      <c r="C638" s="2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  <c r="AR638" s="1" t="n"/>
      <c r="AS638" s="1" t="n"/>
      <c r="AT638" s="1" t="n"/>
      <c r="AU638" s="1" t="n"/>
      <c r="AV638" s="1" t="n"/>
      <c r="AW638" s="1" t="n"/>
      <c r="AX638" s="1" t="n"/>
      <c r="AY638" s="1" t="n"/>
      <c r="AZ638" s="1" t="n"/>
      <c r="BA638" s="1" t="n"/>
    </row>
    <row r="639" ht="16.5" customHeight="1" s="220">
      <c r="A639" s="1" t="n"/>
      <c r="B639" s="1" t="n"/>
      <c r="C639" s="2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  <c r="AR639" s="1" t="n"/>
      <c r="AS639" s="1" t="n"/>
      <c r="AT639" s="1" t="n"/>
      <c r="AU639" s="1" t="n"/>
      <c r="AV639" s="1" t="n"/>
      <c r="AW639" s="1" t="n"/>
      <c r="AX639" s="1" t="n"/>
      <c r="AY639" s="1" t="n"/>
      <c r="AZ639" s="1" t="n"/>
      <c r="BA639" s="1" t="n"/>
    </row>
    <row r="640" ht="16.5" customHeight="1" s="220">
      <c r="A640" s="1" t="n"/>
      <c r="B640" s="1" t="n"/>
      <c r="C640" s="2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  <c r="AR640" s="1" t="n"/>
      <c r="AS640" s="1" t="n"/>
      <c r="AT640" s="1" t="n"/>
      <c r="AU640" s="1" t="n"/>
      <c r="AV640" s="1" t="n"/>
      <c r="AW640" s="1" t="n"/>
      <c r="AX640" s="1" t="n"/>
      <c r="AY640" s="1" t="n"/>
      <c r="AZ640" s="1" t="n"/>
      <c r="BA640" s="1" t="n"/>
    </row>
    <row r="641" ht="16.5" customHeight="1" s="220">
      <c r="A641" s="1" t="n"/>
      <c r="B641" s="1" t="n"/>
      <c r="C641" s="2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  <c r="AR641" s="1" t="n"/>
      <c r="AS641" s="1" t="n"/>
      <c r="AT641" s="1" t="n"/>
      <c r="AU641" s="1" t="n"/>
      <c r="AV641" s="1" t="n"/>
      <c r="AW641" s="1" t="n"/>
      <c r="AX641" s="1" t="n"/>
      <c r="AY641" s="1" t="n"/>
      <c r="AZ641" s="1" t="n"/>
      <c r="BA641" s="1" t="n"/>
    </row>
    <row r="642" ht="16.5" customHeight="1" s="220">
      <c r="A642" s="1" t="n"/>
      <c r="B642" s="1" t="n"/>
      <c r="C642" s="2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  <c r="AR642" s="1" t="n"/>
      <c r="AS642" s="1" t="n"/>
      <c r="AT642" s="1" t="n"/>
      <c r="AU642" s="1" t="n"/>
      <c r="AV642" s="1" t="n"/>
      <c r="AW642" s="1" t="n"/>
      <c r="AX642" s="1" t="n"/>
      <c r="AY642" s="1" t="n"/>
      <c r="AZ642" s="1" t="n"/>
      <c r="BA642" s="1" t="n"/>
    </row>
    <row r="643" ht="16.5" customHeight="1" s="220">
      <c r="A643" s="1" t="n"/>
      <c r="B643" s="1" t="n"/>
      <c r="C643" s="2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  <c r="AR643" s="1" t="n"/>
      <c r="AS643" s="1" t="n"/>
      <c r="AT643" s="1" t="n"/>
      <c r="AU643" s="1" t="n"/>
      <c r="AV643" s="1" t="n"/>
      <c r="AW643" s="1" t="n"/>
      <c r="AX643" s="1" t="n"/>
      <c r="AY643" s="1" t="n"/>
      <c r="AZ643" s="1" t="n"/>
      <c r="BA643" s="1" t="n"/>
    </row>
    <row r="644" ht="16.5" customHeight="1" s="220">
      <c r="A644" s="1" t="n"/>
      <c r="B644" s="1" t="n"/>
      <c r="C644" s="2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  <c r="AR644" s="1" t="n"/>
      <c r="AS644" s="1" t="n"/>
      <c r="AT644" s="1" t="n"/>
      <c r="AU644" s="1" t="n"/>
      <c r="AV644" s="1" t="n"/>
      <c r="AW644" s="1" t="n"/>
      <c r="AX644" s="1" t="n"/>
      <c r="AY644" s="1" t="n"/>
      <c r="AZ644" s="1" t="n"/>
      <c r="BA644" s="1" t="n"/>
    </row>
    <row r="645" ht="16.5" customHeight="1" s="220">
      <c r="A645" s="1" t="n"/>
      <c r="B645" s="1" t="n"/>
      <c r="C645" s="2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  <c r="AR645" s="1" t="n"/>
      <c r="AS645" s="1" t="n"/>
      <c r="AT645" s="1" t="n"/>
      <c r="AU645" s="1" t="n"/>
      <c r="AV645" s="1" t="n"/>
      <c r="AW645" s="1" t="n"/>
      <c r="AX645" s="1" t="n"/>
      <c r="AY645" s="1" t="n"/>
      <c r="AZ645" s="1" t="n"/>
      <c r="BA645" s="1" t="n"/>
    </row>
    <row r="646" ht="16.5" customHeight="1" s="220">
      <c r="A646" s="1" t="n"/>
      <c r="B646" s="1" t="n"/>
      <c r="C646" s="2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  <c r="AR646" s="1" t="n"/>
      <c r="AS646" s="1" t="n"/>
      <c r="AT646" s="1" t="n"/>
      <c r="AU646" s="1" t="n"/>
      <c r="AV646" s="1" t="n"/>
      <c r="AW646" s="1" t="n"/>
      <c r="AX646" s="1" t="n"/>
      <c r="AY646" s="1" t="n"/>
      <c r="AZ646" s="1" t="n"/>
      <c r="BA646" s="1" t="n"/>
    </row>
    <row r="647" ht="16.5" customHeight="1" s="220">
      <c r="A647" s="1" t="n"/>
      <c r="B647" s="1" t="n"/>
      <c r="C647" s="2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  <c r="AR647" s="1" t="n"/>
      <c r="AS647" s="1" t="n"/>
      <c r="AT647" s="1" t="n"/>
      <c r="AU647" s="1" t="n"/>
      <c r="AV647" s="1" t="n"/>
      <c r="AW647" s="1" t="n"/>
      <c r="AX647" s="1" t="n"/>
      <c r="AY647" s="1" t="n"/>
      <c r="AZ647" s="1" t="n"/>
      <c r="BA647" s="1" t="n"/>
    </row>
    <row r="648" ht="16.5" customHeight="1" s="220">
      <c r="A648" s="1" t="n"/>
      <c r="B648" s="1" t="n"/>
      <c r="C648" s="2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  <c r="AR648" s="1" t="n"/>
      <c r="AS648" s="1" t="n"/>
      <c r="AT648" s="1" t="n"/>
      <c r="AU648" s="1" t="n"/>
      <c r="AV648" s="1" t="n"/>
      <c r="AW648" s="1" t="n"/>
      <c r="AX648" s="1" t="n"/>
      <c r="AY648" s="1" t="n"/>
      <c r="AZ648" s="1" t="n"/>
      <c r="BA648" s="1" t="n"/>
    </row>
    <row r="649" ht="16.5" customHeight="1" s="220">
      <c r="A649" s="1" t="n"/>
      <c r="B649" s="1" t="n"/>
      <c r="C649" s="2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  <c r="AR649" s="1" t="n"/>
      <c r="AS649" s="1" t="n"/>
      <c r="AT649" s="1" t="n"/>
      <c r="AU649" s="1" t="n"/>
      <c r="AV649" s="1" t="n"/>
      <c r="AW649" s="1" t="n"/>
      <c r="AX649" s="1" t="n"/>
      <c r="AY649" s="1" t="n"/>
      <c r="AZ649" s="1" t="n"/>
      <c r="BA649" s="1" t="n"/>
    </row>
    <row r="650" ht="16.5" customHeight="1" s="220">
      <c r="A650" s="1" t="n"/>
      <c r="B650" s="1" t="n"/>
      <c r="C650" s="2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  <c r="AR650" s="1" t="n"/>
      <c r="AS650" s="1" t="n"/>
      <c r="AT650" s="1" t="n"/>
      <c r="AU650" s="1" t="n"/>
      <c r="AV650" s="1" t="n"/>
      <c r="AW650" s="1" t="n"/>
      <c r="AX650" s="1" t="n"/>
      <c r="AY650" s="1" t="n"/>
      <c r="AZ650" s="1" t="n"/>
      <c r="BA650" s="1" t="n"/>
    </row>
    <row r="651" ht="16.5" customHeight="1" s="220">
      <c r="A651" s="1" t="n"/>
      <c r="B651" s="1" t="n"/>
      <c r="C651" s="2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  <c r="AR651" s="1" t="n"/>
      <c r="AS651" s="1" t="n"/>
      <c r="AT651" s="1" t="n"/>
      <c r="AU651" s="1" t="n"/>
      <c r="AV651" s="1" t="n"/>
      <c r="AW651" s="1" t="n"/>
      <c r="AX651" s="1" t="n"/>
      <c r="AY651" s="1" t="n"/>
      <c r="AZ651" s="1" t="n"/>
      <c r="BA651" s="1" t="n"/>
    </row>
    <row r="652" ht="16.5" customHeight="1" s="220">
      <c r="A652" s="1" t="n"/>
      <c r="B652" s="1" t="n"/>
      <c r="C652" s="2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  <c r="AR652" s="1" t="n"/>
      <c r="AS652" s="1" t="n"/>
      <c r="AT652" s="1" t="n"/>
      <c r="AU652" s="1" t="n"/>
      <c r="AV652" s="1" t="n"/>
      <c r="AW652" s="1" t="n"/>
      <c r="AX652" s="1" t="n"/>
      <c r="AY652" s="1" t="n"/>
      <c r="AZ652" s="1" t="n"/>
      <c r="BA652" s="1" t="n"/>
    </row>
    <row r="653" ht="16.5" customHeight="1" s="220">
      <c r="A653" s="1" t="n"/>
      <c r="B653" s="1" t="n"/>
      <c r="C653" s="2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  <c r="AR653" s="1" t="n"/>
      <c r="AS653" s="1" t="n"/>
      <c r="AT653" s="1" t="n"/>
      <c r="AU653" s="1" t="n"/>
      <c r="AV653" s="1" t="n"/>
      <c r="AW653" s="1" t="n"/>
      <c r="AX653" s="1" t="n"/>
      <c r="AY653" s="1" t="n"/>
      <c r="AZ653" s="1" t="n"/>
      <c r="BA653" s="1" t="n"/>
    </row>
    <row r="654" ht="16.5" customHeight="1" s="220">
      <c r="A654" s="1" t="n"/>
      <c r="B654" s="1" t="n"/>
      <c r="C654" s="2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  <c r="AR654" s="1" t="n"/>
      <c r="AS654" s="1" t="n"/>
      <c r="AT654" s="1" t="n"/>
      <c r="AU654" s="1" t="n"/>
      <c r="AV654" s="1" t="n"/>
      <c r="AW654" s="1" t="n"/>
      <c r="AX654" s="1" t="n"/>
      <c r="AY654" s="1" t="n"/>
      <c r="AZ654" s="1" t="n"/>
      <c r="BA654" s="1" t="n"/>
    </row>
    <row r="655" ht="16.5" customHeight="1" s="220">
      <c r="A655" s="1" t="n"/>
      <c r="B655" s="1" t="n"/>
      <c r="C655" s="2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  <c r="AR655" s="1" t="n"/>
      <c r="AS655" s="1" t="n"/>
      <c r="AT655" s="1" t="n"/>
      <c r="AU655" s="1" t="n"/>
      <c r="AV655" s="1" t="n"/>
      <c r="AW655" s="1" t="n"/>
      <c r="AX655" s="1" t="n"/>
      <c r="AY655" s="1" t="n"/>
      <c r="AZ655" s="1" t="n"/>
      <c r="BA655" s="1" t="n"/>
    </row>
    <row r="656" ht="16.5" customHeight="1" s="220">
      <c r="A656" s="1" t="n"/>
      <c r="B656" s="1" t="n"/>
      <c r="C656" s="2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  <c r="AR656" s="1" t="n"/>
      <c r="AS656" s="1" t="n"/>
      <c r="AT656" s="1" t="n"/>
      <c r="AU656" s="1" t="n"/>
      <c r="AV656" s="1" t="n"/>
      <c r="AW656" s="1" t="n"/>
      <c r="AX656" s="1" t="n"/>
      <c r="AY656" s="1" t="n"/>
      <c r="AZ656" s="1" t="n"/>
      <c r="BA656" s="1" t="n"/>
    </row>
    <row r="657" ht="16.5" customHeight="1" s="220">
      <c r="A657" s="1" t="n"/>
      <c r="B657" s="1" t="n"/>
      <c r="C657" s="2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  <c r="AW657" s="1" t="n"/>
      <c r="AX657" s="1" t="n"/>
      <c r="AY657" s="1" t="n"/>
      <c r="AZ657" s="1" t="n"/>
      <c r="BA657" s="1" t="n"/>
    </row>
    <row r="658" ht="16.5" customHeight="1" s="220">
      <c r="A658" s="1" t="n"/>
      <c r="B658" s="1" t="n"/>
      <c r="C658" s="2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</row>
    <row r="659" ht="16.5" customHeight="1" s="220">
      <c r="A659" s="1" t="n"/>
      <c r="B659" s="1" t="n"/>
      <c r="C659" s="2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</row>
    <row r="660" ht="16.5" customHeight="1" s="220">
      <c r="A660" s="1" t="n"/>
      <c r="B660" s="1" t="n"/>
      <c r="C660" s="2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</row>
    <row r="661" ht="16.5" customHeight="1" s="220">
      <c r="A661" s="1" t="n"/>
      <c r="B661" s="1" t="n"/>
      <c r="C661" s="2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</row>
    <row r="662" ht="16.5" customHeight="1" s="220">
      <c r="A662" s="1" t="n"/>
      <c r="B662" s="1" t="n"/>
      <c r="C662" s="2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  <c r="AY662" s="1" t="n"/>
      <c r="AZ662" s="1" t="n"/>
      <c r="BA662" s="1" t="n"/>
    </row>
    <row r="663" ht="16.5" customHeight="1" s="220">
      <c r="A663" s="1" t="n"/>
      <c r="B663" s="1" t="n"/>
      <c r="C663" s="2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  <c r="AR663" s="1" t="n"/>
      <c r="AS663" s="1" t="n"/>
      <c r="AT663" s="1" t="n"/>
      <c r="AU663" s="1" t="n"/>
      <c r="AV663" s="1" t="n"/>
      <c r="AW663" s="1" t="n"/>
      <c r="AX663" s="1" t="n"/>
      <c r="AY663" s="1" t="n"/>
      <c r="AZ663" s="1" t="n"/>
      <c r="BA663" s="1" t="n"/>
    </row>
    <row r="664" ht="16.5" customHeight="1" s="220">
      <c r="A664" s="1" t="n"/>
      <c r="B664" s="1" t="n"/>
      <c r="C664" s="2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  <c r="AR664" s="1" t="n"/>
      <c r="AS664" s="1" t="n"/>
      <c r="AT664" s="1" t="n"/>
      <c r="AU664" s="1" t="n"/>
      <c r="AV664" s="1" t="n"/>
      <c r="AW664" s="1" t="n"/>
      <c r="AX664" s="1" t="n"/>
      <c r="AY664" s="1" t="n"/>
      <c r="AZ664" s="1" t="n"/>
      <c r="BA664" s="1" t="n"/>
    </row>
    <row r="665" ht="16.5" customHeight="1" s="220">
      <c r="A665" s="1" t="n"/>
      <c r="B665" s="1" t="n"/>
      <c r="C665" s="2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  <c r="AR665" s="1" t="n"/>
      <c r="AS665" s="1" t="n"/>
      <c r="AT665" s="1" t="n"/>
      <c r="AU665" s="1" t="n"/>
      <c r="AV665" s="1" t="n"/>
      <c r="AW665" s="1" t="n"/>
      <c r="AX665" s="1" t="n"/>
      <c r="AY665" s="1" t="n"/>
      <c r="AZ665" s="1" t="n"/>
      <c r="BA665" s="1" t="n"/>
    </row>
    <row r="666" ht="16.5" customHeight="1" s="220">
      <c r="A666" s="1" t="n"/>
      <c r="B666" s="1" t="n"/>
      <c r="C666" s="2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  <c r="AR666" s="1" t="n"/>
      <c r="AS666" s="1" t="n"/>
      <c r="AT666" s="1" t="n"/>
      <c r="AU666" s="1" t="n"/>
      <c r="AV666" s="1" t="n"/>
      <c r="AW666" s="1" t="n"/>
      <c r="AX666" s="1" t="n"/>
      <c r="AY666" s="1" t="n"/>
      <c r="AZ666" s="1" t="n"/>
      <c r="BA666" s="1" t="n"/>
    </row>
    <row r="667" ht="16.5" customHeight="1" s="220">
      <c r="A667" s="1" t="n"/>
      <c r="B667" s="1" t="n"/>
      <c r="C667" s="2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  <c r="AR667" s="1" t="n"/>
      <c r="AS667" s="1" t="n"/>
      <c r="AT667" s="1" t="n"/>
      <c r="AU667" s="1" t="n"/>
      <c r="AV667" s="1" t="n"/>
      <c r="AW667" s="1" t="n"/>
      <c r="AX667" s="1" t="n"/>
      <c r="AY667" s="1" t="n"/>
      <c r="AZ667" s="1" t="n"/>
      <c r="BA667" s="1" t="n"/>
    </row>
    <row r="668" ht="16.5" customHeight="1" s="220">
      <c r="A668" s="1" t="n"/>
      <c r="B668" s="1" t="n"/>
      <c r="C668" s="2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  <c r="AR668" s="1" t="n"/>
      <c r="AS668" s="1" t="n"/>
      <c r="AT668" s="1" t="n"/>
      <c r="AU668" s="1" t="n"/>
      <c r="AV668" s="1" t="n"/>
      <c r="AW668" s="1" t="n"/>
      <c r="AX668" s="1" t="n"/>
      <c r="AY668" s="1" t="n"/>
      <c r="AZ668" s="1" t="n"/>
      <c r="BA668" s="1" t="n"/>
    </row>
    <row r="669" ht="16.5" customHeight="1" s="220">
      <c r="A669" s="1" t="n"/>
      <c r="B669" s="1" t="n"/>
      <c r="C669" s="2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  <c r="AR669" s="1" t="n"/>
      <c r="AS669" s="1" t="n"/>
      <c r="AT669" s="1" t="n"/>
      <c r="AU669" s="1" t="n"/>
      <c r="AV669" s="1" t="n"/>
      <c r="AW669" s="1" t="n"/>
      <c r="AX669" s="1" t="n"/>
      <c r="AY669" s="1" t="n"/>
      <c r="AZ669" s="1" t="n"/>
      <c r="BA669" s="1" t="n"/>
    </row>
    <row r="670" ht="16.5" customHeight="1" s="220">
      <c r="A670" s="1" t="n"/>
      <c r="B670" s="1" t="n"/>
      <c r="C670" s="2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  <c r="AR670" s="1" t="n"/>
      <c r="AS670" s="1" t="n"/>
      <c r="AT670" s="1" t="n"/>
      <c r="AU670" s="1" t="n"/>
      <c r="AV670" s="1" t="n"/>
      <c r="AW670" s="1" t="n"/>
      <c r="AX670" s="1" t="n"/>
      <c r="AY670" s="1" t="n"/>
      <c r="AZ670" s="1" t="n"/>
      <c r="BA670" s="1" t="n"/>
    </row>
    <row r="671" ht="16.5" customHeight="1" s="220">
      <c r="A671" s="1" t="n"/>
      <c r="B671" s="1" t="n"/>
      <c r="C671" s="2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  <c r="AR671" s="1" t="n"/>
      <c r="AS671" s="1" t="n"/>
      <c r="AT671" s="1" t="n"/>
      <c r="AU671" s="1" t="n"/>
      <c r="AV671" s="1" t="n"/>
      <c r="AW671" s="1" t="n"/>
      <c r="AX671" s="1" t="n"/>
      <c r="AY671" s="1" t="n"/>
      <c r="AZ671" s="1" t="n"/>
      <c r="BA671" s="1" t="n"/>
    </row>
    <row r="672" ht="16.5" customHeight="1" s="220">
      <c r="A672" s="1" t="n"/>
      <c r="B672" s="1" t="n"/>
      <c r="C672" s="2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  <c r="AR672" s="1" t="n"/>
      <c r="AS672" s="1" t="n"/>
      <c r="AT672" s="1" t="n"/>
      <c r="AU672" s="1" t="n"/>
      <c r="AV672" s="1" t="n"/>
      <c r="AW672" s="1" t="n"/>
      <c r="AX672" s="1" t="n"/>
      <c r="AY672" s="1" t="n"/>
      <c r="AZ672" s="1" t="n"/>
      <c r="BA672" s="1" t="n"/>
    </row>
    <row r="673" ht="16.5" customHeight="1" s="220">
      <c r="A673" s="1" t="n"/>
      <c r="B673" s="1" t="n"/>
      <c r="C673" s="2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  <c r="AR673" s="1" t="n"/>
      <c r="AS673" s="1" t="n"/>
      <c r="AT673" s="1" t="n"/>
      <c r="AU673" s="1" t="n"/>
      <c r="AV673" s="1" t="n"/>
      <c r="AW673" s="1" t="n"/>
      <c r="AX673" s="1" t="n"/>
      <c r="AY673" s="1" t="n"/>
      <c r="AZ673" s="1" t="n"/>
      <c r="BA673" s="1" t="n"/>
    </row>
    <row r="674" ht="16.5" customHeight="1" s="220">
      <c r="A674" s="1" t="n"/>
      <c r="B674" s="1" t="n"/>
      <c r="C674" s="2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  <c r="AR674" s="1" t="n"/>
      <c r="AS674" s="1" t="n"/>
      <c r="AT674" s="1" t="n"/>
      <c r="AU674" s="1" t="n"/>
      <c r="AV674" s="1" t="n"/>
      <c r="AW674" s="1" t="n"/>
      <c r="AX674" s="1" t="n"/>
      <c r="AY674" s="1" t="n"/>
      <c r="AZ674" s="1" t="n"/>
      <c r="BA674" s="1" t="n"/>
    </row>
    <row r="675" ht="16.5" customHeight="1" s="220">
      <c r="A675" s="1" t="n"/>
      <c r="B675" s="1" t="n"/>
      <c r="C675" s="2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  <c r="AR675" s="1" t="n"/>
      <c r="AS675" s="1" t="n"/>
      <c r="AT675" s="1" t="n"/>
      <c r="AU675" s="1" t="n"/>
      <c r="AV675" s="1" t="n"/>
      <c r="AW675" s="1" t="n"/>
      <c r="AX675" s="1" t="n"/>
      <c r="AY675" s="1" t="n"/>
      <c r="AZ675" s="1" t="n"/>
      <c r="BA675" s="1" t="n"/>
    </row>
    <row r="676" ht="16.5" customHeight="1" s="220">
      <c r="A676" s="1" t="n"/>
      <c r="B676" s="1" t="n"/>
      <c r="C676" s="2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Q676" s="1" t="n"/>
      <c r="AR676" s="1" t="n"/>
      <c r="AS676" s="1" t="n"/>
      <c r="AT676" s="1" t="n"/>
      <c r="AU676" s="1" t="n"/>
      <c r="AV676" s="1" t="n"/>
      <c r="AW676" s="1" t="n"/>
      <c r="AX676" s="1" t="n"/>
      <c r="AY676" s="1" t="n"/>
      <c r="AZ676" s="1" t="n"/>
      <c r="BA676" s="1" t="n"/>
    </row>
    <row r="677" ht="16.5" customHeight="1" s="220">
      <c r="A677" s="1" t="n"/>
      <c r="B677" s="1" t="n"/>
      <c r="C677" s="2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  <c r="AR677" s="1" t="n"/>
      <c r="AS677" s="1" t="n"/>
      <c r="AT677" s="1" t="n"/>
      <c r="AU677" s="1" t="n"/>
      <c r="AV677" s="1" t="n"/>
      <c r="AW677" s="1" t="n"/>
      <c r="AX677" s="1" t="n"/>
      <c r="AY677" s="1" t="n"/>
      <c r="AZ677" s="1" t="n"/>
      <c r="BA677" s="1" t="n"/>
    </row>
    <row r="678" ht="16.5" customHeight="1" s="220">
      <c r="A678" s="1" t="n"/>
      <c r="B678" s="1" t="n"/>
      <c r="C678" s="2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  <c r="AR678" s="1" t="n"/>
      <c r="AS678" s="1" t="n"/>
      <c r="AT678" s="1" t="n"/>
      <c r="AU678" s="1" t="n"/>
      <c r="AV678" s="1" t="n"/>
      <c r="AW678" s="1" t="n"/>
      <c r="AX678" s="1" t="n"/>
      <c r="AY678" s="1" t="n"/>
      <c r="AZ678" s="1" t="n"/>
      <c r="BA678" s="1" t="n"/>
    </row>
    <row r="679" ht="16.5" customHeight="1" s="220">
      <c r="A679" s="1" t="n"/>
      <c r="B679" s="1" t="n"/>
      <c r="C679" s="2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  <c r="AR679" s="1" t="n"/>
      <c r="AS679" s="1" t="n"/>
      <c r="AT679" s="1" t="n"/>
      <c r="AU679" s="1" t="n"/>
      <c r="AV679" s="1" t="n"/>
      <c r="AW679" s="1" t="n"/>
      <c r="AX679" s="1" t="n"/>
      <c r="AY679" s="1" t="n"/>
      <c r="AZ679" s="1" t="n"/>
      <c r="BA679" s="1" t="n"/>
    </row>
    <row r="680" ht="16.5" customHeight="1" s="220">
      <c r="A680" s="1" t="n"/>
      <c r="B680" s="1" t="n"/>
      <c r="C680" s="2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Q680" s="1" t="n"/>
      <c r="AR680" s="1" t="n"/>
      <c r="AS680" s="1" t="n"/>
      <c r="AT680" s="1" t="n"/>
      <c r="AU680" s="1" t="n"/>
      <c r="AV680" s="1" t="n"/>
      <c r="AW680" s="1" t="n"/>
      <c r="AX680" s="1" t="n"/>
      <c r="AY680" s="1" t="n"/>
      <c r="AZ680" s="1" t="n"/>
      <c r="BA680" s="1" t="n"/>
    </row>
    <row r="681" ht="16.5" customHeight="1" s="220">
      <c r="A681" s="1" t="n"/>
      <c r="B681" s="1" t="n"/>
      <c r="C681" s="2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  <c r="AR681" s="1" t="n"/>
      <c r="AS681" s="1" t="n"/>
      <c r="AT681" s="1" t="n"/>
      <c r="AU681" s="1" t="n"/>
      <c r="AV681" s="1" t="n"/>
      <c r="AW681" s="1" t="n"/>
      <c r="AX681" s="1" t="n"/>
      <c r="AY681" s="1" t="n"/>
      <c r="AZ681" s="1" t="n"/>
      <c r="BA681" s="1" t="n"/>
    </row>
    <row r="682" ht="16.5" customHeight="1" s="220">
      <c r="A682" s="1" t="n"/>
      <c r="B682" s="1" t="n"/>
      <c r="C682" s="2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  <c r="AR682" s="1" t="n"/>
      <c r="AS682" s="1" t="n"/>
      <c r="AT682" s="1" t="n"/>
      <c r="AU682" s="1" t="n"/>
      <c r="AV682" s="1" t="n"/>
      <c r="AW682" s="1" t="n"/>
      <c r="AX682" s="1" t="n"/>
      <c r="AY682" s="1" t="n"/>
      <c r="AZ682" s="1" t="n"/>
      <c r="BA682" s="1" t="n"/>
    </row>
    <row r="683" ht="16.5" customHeight="1" s="220">
      <c r="A683" s="1" t="n"/>
      <c r="B683" s="1" t="n"/>
      <c r="C683" s="2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  <c r="AR683" s="1" t="n"/>
      <c r="AS683" s="1" t="n"/>
      <c r="AT683" s="1" t="n"/>
      <c r="AU683" s="1" t="n"/>
      <c r="AV683" s="1" t="n"/>
      <c r="AW683" s="1" t="n"/>
      <c r="AX683" s="1" t="n"/>
      <c r="AY683" s="1" t="n"/>
      <c r="AZ683" s="1" t="n"/>
      <c r="BA683" s="1" t="n"/>
    </row>
    <row r="684" ht="16.5" customHeight="1" s="220">
      <c r="A684" s="1" t="n"/>
      <c r="B684" s="1" t="n"/>
      <c r="C684" s="2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  <c r="AR684" s="1" t="n"/>
      <c r="AS684" s="1" t="n"/>
      <c r="AT684" s="1" t="n"/>
      <c r="AU684" s="1" t="n"/>
      <c r="AV684" s="1" t="n"/>
      <c r="AW684" s="1" t="n"/>
      <c r="AX684" s="1" t="n"/>
      <c r="AY684" s="1" t="n"/>
      <c r="AZ684" s="1" t="n"/>
      <c r="BA684" s="1" t="n"/>
    </row>
    <row r="685" ht="16.5" customHeight="1" s="220">
      <c r="A685" s="1" t="n"/>
      <c r="B685" s="1" t="n"/>
      <c r="C685" s="2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  <c r="AR685" s="1" t="n"/>
      <c r="AS685" s="1" t="n"/>
      <c r="AT685" s="1" t="n"/>
      <c r="AU685" s="1" t="n"/>
      <c r="AV685" s="1" t="n"/>
      <c r="AW685" s="1" t="n"/>
      <c r="AX685" s="1" t="n"/>
      <c r="AY685" s="1" t="n"/>
      <c r="AZ685" s="1" t="n"/>
      <c r="BA685" s="1" t="n"/>
    </row>
    <row r="686" ht="16.5" customHeight="1" s="220">
      <c r="A686" s="1" t="n"/>
      <c r="B686" s="1" t="n"/>
      <c r="C686" s="2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  <c r="AR686" s="1" t="n"/>
      <c r="AS686" s="1" t="n"/>
      <c r="AT686" s="1" t="n"/>
      <c r="AU686" s="1" t="n"/>
      <c r="AV686" s="1" t="n"/>
      <c r="AW686" s="1" t="n"/>
      <c r="AX686" s="1" t="n"/>
      <c r="AY686" s="1" t="n"/>
      <c r="AZ686" s="1" t="n"/>
      <c r="BA686" s="1" t="n"/>
    </row>
    <row r="687" ht="16.5" customHeight="1" s="220">
      <c r="A687" s="1" t="n"/>
      <c r="B687" s="1" t="n"/>
      <c r="C687" s="2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  <c r="AR687" s="1" t="n"/>
      <c r="AS687" s="1" t="n"/>
      <c r="AT687" s="1" t="n"/>
      <c r="AU687" s="1" t="n"/>
      <c r="AV687" s="1" t="n"/>
      <c r="AW687" s="1" t="n"/>
      <c r="AX687" s="1" t="n"/>
      <c r="AY687" s="1" t="n"/>
      <c r="AZ687" s="1" t="n"/>
      <c r="BA687" s="1" t="n"/>
    </row>
    <row r="688" ht="16.5" customHeight="1" s="220">
      <c r="A688" s="1" t="n"/>
      <c r="B688" s="1" t="n"/>
      <c r="C688" s="2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  <c r="AR688" s="1" t="n"/>
      <c r="AS688" s="1" t="n"/>
      <c r="AT688" s="1" t="n"/>
      <c r="AU688" s="1" t="n"/>
      <c r="AV688" s="1" t="n"/>
      <c r="AW688" s="1" t="n"/>
      <c r="AX688" s="1" t="n"/>
      <c r="AY688" s="1" t="n"/>
      <c r="AZ688" s="1" t="n"/>
      <c r="BA688" s="1" t="n"/>
    </row>
    <row r="689" ht="16.5" customHeight="1" s="220">
      <c r="A689" s="1" t="n"/>
      <c r="B689" s="1" t="n"/>
      <c r="C689" s="2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  <c r="AR689" s="1" t="n"/>
      <c r="AS689" s="1" t="n"/>
      <c r="AT689" s="1" t="n"/>
      <c r="AU689" s="1" t="n"/>
      <c r="AV689" s="1" t="n"/>
      <c r="AW689" s="1" t="n"/>
      <c r="AX689" s="1" t="n"/>
      <c r="AY689" s="1" t="n"/>
      <c r="AZ689" s="1" t="n"/>
      <c r="BA689" s="1" t="n"/>
    </row>
    <row r="690" ht="16.5" customHeight="1" s="220">
      <c r="A690" s="1" t="n"/>
      <c r="B690" s="1" t="n"/>
      <c r="C690" s="2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  <c r="AR690" s="1" t="n"/>
      <c r="AS690" s="1" t="n"/>
      <c r="AT690" s="1" t="n"/>
      <c r="AU690" s="1" t="n"/>
      <c r="AV690" s="1" t="n"/>
      <c r="AW690" s="1" t="n"/>
      <c r="AX690" s="1" t="n"/>
      <c r="AY690" s="1" t="n"/>
      <c r="AZ690" s="1" t="n"/>
      <c r="BA690" s="1" t="n"/>
    </row>
    <row r="691" ht="16.5" customHeight="1" s="220">
      <c r="A691" s="1" t="n"/>
      <c r="B691" s="1" t="n"/>
      <c r="C691" s="2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  <c r="AR691" s="1" t="n"/>
      <c r="AS691" s="1" t="n"/>
      <c r="AT691" s="1" t="n"/>
      <c r="AU691" s="1" t="n"/>
      <c r="AV691" s="1" t="n"/>
      <c r="AW691" s="1" t="n"/>
      <c r="AX691" s="1" t="n"/>
      <c r="AY691" s="1" t="n"/>
      <c r="AZ691" s="1" t="n"/>
      <c r="BA691" s="1" t="n"/>
    </row>
    <row r="692" ht="16.5" customHeight="1" s="220">
      <c r="A692" s="1" t="n"/>
      <c r="B692" s="1" t="n"/>
      <c r="C692" s="2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  <c r="AR692" s="1" t="n"/>
      <c r="AS692" s="1" t="n"/>
      <c r="AT692" s="1" t="n"/>
      <c r="AU692" s="1" t="n"/>
      <c r="AV692" s="1" t="n"/>
      <c r="AW692" s="1" t="n"/>
      <c r="AX692" s="1" t="n"/>
      <c r="AY692" s="1" t="n"/>
      <c r="AZ692" s="1" t="n"/>
      <c r="BA692" s="1" t="n"/>
    </row>
    <row r="693" ht="16.5" customHeight="1" s="220">
      <c r="A693" s="1" t="n"/>
      <c r="B693" s="1" t="n"/>
      <c r="C693" s="2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  <c r="AR693" s="1" t="n"/>
      <c r="AS693" s="1" t="n"/>
      <c r="AT693" s="1" t="n"/>
      <c r="AU693" s="1" t="n"/>
      <c r="AV693" s="1" t="n"/>
      <c r="AW693" s="1" t="n"/>
      <c r="AX693" s="1" t="n"/>
      <c r="AY693" s="1" t="n"/>
      <c r="AZ693" s="1" t="n"/>
      <c r="BA693" s="1" t="n"/>
    </row>
    <row r="694" ht="16.5" customHeight="1" s="220">
      <c r="A694" s="1" t="n"/>
      <c r="B694" s="1" t="n"/>
      <c r="C694" s="2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  <c r="AR694" s="1" t="n"/>
      <c r="AS694" s="1" t="n"/>
      <c r="AT694" s="1" t="n"/>
      <c r="AU694" s="1" t="n"/>
      <c r="AV694" s="1" t="n"/>
      <c r="AW694" s="1" t="n"/>
      <c r="AX694" s="1" t="n"/>
      <c r="AY694" s="1" t="n"/>
      <c r="AZ694" s="1" t="n"/>
      <c r="BA694" s="1" t="n"/>
    </row>
    <row r="695" ht="16.5" customHeight="1" s="220">
      <c r="A695" s="1" t="n"/>
      <c r="B695" s="1" t="n"/>
      <c r="C695" s="2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  <c r="AR695" s="1" t="n"/>
      <c r="AS695" s="1" t="n"/>
      <c r="AT695" s="1" t="n"/>
      <c r="AU695" s="1" t="n"/>
      <c r="AV695" s="1" t="n"/>
      <c r="AW695" s="1" t="n"/>
      <c r="AX695" s="1" t="n"/>
      <c r="AY695" s="1" t="n"/>
      <c r="AZ695" s="1" t="n"/>
      <c r="BA695" s="1" t="n"/>
    </row>
    <row r="696" ht="16.5" customHeight="1" s="220">
      <c r="A696" s="1" t="n"/>
      <c r="B696" s="1" t="n"/>
      <c r="C696" s="2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  <c r="AR696" s="1" t="n"/>
      <c r="AS696" s="1" t="n"/>
      <c r="AT696" s="1" t="n"/>
      <c r="AU696" s="1" t="n"/>
      <c r="AV696" s="1" t="n"/>
      <c r="AW696" s="1" t="n"/>
      <c r="AX696" s="1" t="n"/>
      <c r="AY696" s="1" t="n"/>
      <c r="AZ696" s="1" t="n"/>
      <c r="BA696" s="1" t="n"/>
    </row>
    <row r="697" ht="16.5" customHeight="1" s="220">
      <c r="A697" s="1" t="n"/>
      <c r="B697" s="1" t="n"/>
      <c r="C697" s="2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  <c r="AR697" s="1" t="n"/>
      <c r="AS697" s="1" t="n"/>
      <c r="AT697" s="1" t="n"/>
      <c r="AU697" s="1" t="n"/>
      <c r="AV697" s="1" t="n"/>
      <c r="AW697" s="1" t="n"/>
      <c r="AX697" s="1" t="n"/>
      <c r="AY697" s="1" t="n"/>
      <c r="AZ697" s="1" t="n"/>
      <c r="BA697" s="1" t="n"/>
    </row>
    <row r="698" ht="16.5" customHeight="1" s="220">
      <c r="A698" s="1" t="n"/>
      <c r="B698" s="1" t="n"/>
      <c r="C698" s="2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Q698" s="1" t="n"/>
      <c r="AR698" s="1" t="n"/>
      <c r="AS698" s="1" t="n"/>
      <c r="AT698" s="1" t="n"/>
      <c r="AU698" s="1" t="n"/>
      <c r="AV698" s="1" t="n"/>
      <c r="AW698" s="1" t="n"/>
      <c r="AX698" s="1" t="n"/>
      <c r="AY698" s="1" t="n"/>
      <c r="AZ698" s="1" t="n"/>
      <c r="BA698" s="1" t="n"/>
    </row>
    <row r="699" ht="16.5" customHeight="1" s="220">
      <c r="A699" s="1" t="n"/>
      <c r="B699" s="1" t="n"/>
      <c r="C699" s="2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  <c r="AR699" s="1" t="n"/>
      <c r="AS699" s="1" t="n"/>
      <c r="AT699" s="1" t="n"/>
      <c r="AU699" s="1" t="n"/>
      <c r="AV699" s="1" t="n"/>
      <c r="AW699" s="1" t="n"/>
      <c r="AX699" s="1" t="n"/>
      <c r="AY699" s="1" t="n"/>
      <c r="AZ699" s="1" t="n"/>
      <c r="BA699" s="1" t="n"/>
    </row>
    <row r="700" ht="16.5" customHeight="1" s="220">
      <c r="A700" s="1" t="n"/>
      <c r="B700" s="1" t="n"/>
      <c r="C700" s="2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Q700" s="1" t="n"/>
      <c r="AR700" s="1" t="n"/>
      <c r="AS700" s="1" t="n"/>
      <c r="AT700" s="1" t="n"/>
      <c r="AU700" s="1" t="n"/>
      <c r="AV700" s="1" t="n"/>
      <c r="AW700" s="1" t="n"/>
      <c r="AX700" s="1" t="n"/>
      <c r="AY700" s="1" t="n"/>
      <c r="AZ700" s="1" t="n"/>
      <c r="BA700" s="1" t="n"/>
    </row>
    <row r="701" ht="16.5" customHeight="1" s="220">
      <c r="A701" s="1" t="n"/>
      <c r="B701" s="1" t="n"/>
      <c r="C701" s="2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  <c r="AR701" s="1" t="n"/>
      <c r="AS701" s="1" t="n"/>
      <c r="AT701" s="1" t="n"/>
      <c r="AU701" s="1" t="n"/>
      <c r="AV701" s="1" t="n"/>
      <c r="AW701" s="1" t="n"/>
      <c r="AX701" s="1" t="n"/>
      <c r="AY701" s="1" t="n"/>
      <c r="AZ701" s="1" t="n"/>
      <c r="BA701" s="1" t="n"/>
    </row>
    <row r="702" ht="16.5" customHeight="1" s="220">
      <c r="A702" s="1" t="n"/>
      <c r="B702" s="1" t="n"/>
      <c r="C702" s="2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  <c r="AR702" s="1" t="n"/>
      <c r="AS702" s="1" t="n"/>
      <c r="AT702" s="1" t="n"/>
      <c r="AU702" s="1" t="n"/>
      <c r="AV702" s="1" t="n"/>
      <c r="AW702" s="1" t="n"/>
      <c r="AX702" s="1" t="n"/>
      <c r="AY702" s="1" t="n"/>
      <c r="AZ702" s="1" t="n"/>
      <c r="BA702" s="1" t="n"/>
    </row>
    <row r="703" ht="16.5" customHeight="1" s="220">
      <c r="A703" s="1" t="n"/>
      <c r="B703" s="1" t="n"/>
      <c r="C703" s="2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  <c r="AR703" s="1" t="n"/>
      <c r="AS703" s="1" t="n"/>
      <c r="AT703" s="1" t="n"/>
      <c r="AU703" s="1" t="n"/>
      <c r="AV703" s="1" t="n"/>
      <c r="AW703" s="1" t="n"/>
      <c r="AX703" s="1" t="n"/>
      <c r="AY703" s="1" t="n"/>
      <c r="AZ703" s="1" t="n"/>
      <c r="BA703" s="1" t="n"/>
    </row>
    <row r="704" ht="16.5" customHeight="1" s="220">
      <c r="A704" s="1" t="n"/>
      <c r="B704" s="1" t="n"/>
      <c r="C704" s="2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  <c r="AR704" s="1" t="n"/>
      <c r="AS704" s="1" t="n"/>
      <c r="AT704" s="1" t="n"/>
      <c r="AU704" s="1" t="n"/>
      <c r="AV704" s="1" t="n"/>
      <c r="AW704" s="1" t="n"/>
      <c r="AX704" s="1" t="n"/>
      <c r="AY704" s="1" t="n"/>
      <c r="AZ704" s="1" t="n"/>
      <c r="BA704" s="1" t="n"/>
    </row>
    <row r="705" ht="16.5" customHeight="1" s="220">
      <c r="A705" s="1" t="n"/>
      <c r="B705" s="1" t="n"/>
      <c r="C705" s="2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  <c r="AR705" s="1" t="n"/>
      <c r="AS705" s="1" t="n"/>
      <c r="AT705" s="1" t="n"/>
      <c r="AU705" s="1" t="n"/>
      <c r="AV705" s="1" t="n"/>
      <c r="AW705" s="1" t="n"/>
      <c r="AX705" s="1" t="n"/>
      <c r="AY705" s="1" t="n"/>
      <c r="AZ705" s="1" t="n"/>
      <c r="BA705" s="1" t="n"/>
    </row>
    <row r="706" ht="16.5" customHeight="1" s="220">
      <c r="A706" s="1" t="n"/>
      <c r="B706" s="1" t="n"/>
      <c r="C706" s="2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Q706" s="1" t="n"/>
      <c r="AR706" s="1" t="n"/>
      <c r="AS706" s="1" t="n"/>
      <c r="AT706" s="1" t="n"/>
      <c r="AU706" s="1" t="n"/>
      <c r="AV706" s="1" t="n"/>
      <c r="AW706" s="1" t="n"/>
      <c r="AX706" s="1" t="n"/>
      <c r="AY706" s="1" t="n"/>
      <c r="AZ706" s="1" t="n"/>
      <c r="BA706" s="1" t="n"/>
    </row>
    <row r="707" ht="16.5" customHeight="1" s="220">
      <c r="A707" s="1" t="n"/>
      <c r="B707" s="1" t="n"/>
      <c r="C707" s="2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  <c r="AR707" s="1" t="n"/>
      <c r="AS707" s="1" t="n"/>
      <c r="AT707" s="1" t="n"/>
      <c r="AU707" s="1" t="n"/>
      <c r="AV707" s="1" t="n"/>
      <c r="AW707" s="1" t="n"/>
      <c r="AX707" s="1" t="n"/>
      <c r="AY707" s="1" t="n"/>
      <c r="AZ707" s="1" t="n"/>
      <c r="BA707" s="1" t="n"/>
    </row>
    <row r="708" ht="16.5" customHeight="1" s="220">
      <c r="A708" s="1" t="n"/>
      <c r="B708" s="1" t="n"/>
      <c r="C708" s="2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  <c r="AR708" s="1" t="n"/>
      <c r="AS708" s="1" t="n"/>
      <c r="AT708" s="1" t="n"/>
      <c r="AU708" s="1" t="n"/>
      <c r="AV708" s="1" t="n"/>
      <c r="AW708" s="1" t="n"/>
      <c r="AX708" s="1" t="n"/>
      <c r="AY708" s="1" t="n"/>
      <c r="AZ708" s="1" t="n"/>
      <c r="BA708" s="1" t="n"/>
    </row>
    <row r="709" ht="16.5" customHeight="1" s="220">
      <c r="A709" s="1" t="n"/>
      <c r="B709" s="1" t="n"/>
      <c r="C709" s="2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  <c r="AR709" s="1" t="n"/>
      <c r="AS709" s="1" t="n"/>
      <c r="AT709" s="1" t="n"/>
      <c r="AU709" s="1" t="n"/>
      <c r="AV709" s="1" t="n"/>
      <c r="AW709" s="1" t="n"/>
      <c r="AX709" s="1" t="n"/>
      <c r="AY709" s="1" t="n"/>
      <c r="AZ709" s="1" t="n"/>
      <c r="BA709" s="1" t="n"/>
    </row>
    <row r="710" ht="16.5" customHeight="1" s="220">
      <c r="A710" s="1" t="n"/>
      <c r="B710" s="1" t="n"/>
      <c r="C710" s="2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  <c r="AR710" s="1" t="n"/>
      <c r="AS710" s="1" t="n"/>
      <c r="AT710" s="1" t="n"/>
      <c r="AU710" s="1" t="n"/>
      <c r="AV710" s="1" t="n"/>
      <c r="AW710" s="1" t="n"/>
      <c r="AX710" s="1" t="n"/>
      <c r="AY710" s="1" t="n"/>
      <c r="AZ710" s="1" t="n"/>
      <c r="BA710" s="1" t="n"/>
    </row>
    <row r="711" ht="16.5" customHeight="1" s="220">
      <c r="A711" s="1" t="n"/>
      <c r="B711" s="1" t="n"/>
      <c r="C711" s="2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  <c r="AR711" s="1" t="n"/>
      <c r="AS711" s="1" t="n"/>
      <c r="AT711" s="1" t="n"/>
      <c r="AU711" s="1" t="n"/>
      <c r="AV711" s="1" t="n"/>
      <c r="AW711" s="1" t="n"/>
      <c r="AX711" s="1" t="n"/>
      <c r="AY711" s="1" t="n"/>
      <c r="AZ711" s="1" t="n"/>
      <c r="BA711" s="1" t="n"/>
    </row>
    <row r="712" ht="16.5" customHeight="1" s="220">
      <c r="A712" s="1" t="n"/>
      <c r="B712" s="1" t="n"/>
      <c r="C712" s="2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  <c r="AR712" s="1" t="n"/>
      <c r="AS712" s="1" t="n"/>
      <c r="AT712" s="1" t="n"/>
      <c r="AU712" s="1" t="n"/>
      <c r="AV712" s="1" t="n"/>
      <c r="AW712" s="1" t="n"/>
      <c r="AX712" s="1" t="n"/>
      <c r="AY712" s="1" t="n"/>
      <c r="AZ712" s="1" t="n"/>
      <c r="BA712" s="1" t="n"/>
    </row>
    <row r="713" ht="16.5" customHeight="1" s="220">
      <c r="A713" s="1" t="n"/>
      <c r="B713" s="1" t="n"/>
      <c r="C713" s="2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  <c r="AR713" s="1" t="n"/>
      <c r="AS713" s="1" t="n"/>
      <c r="AT713" s="1" t="n"/>
      <c r="AU713" s="1" t="n"/>
      <c r="AV713" s="1" t="n"/>
      <c r="AW713" s="1" t="n"/>
      <c r="AX713" s="1" t="n"/>
      <c r="AY713" s="1" t="n"/>
      <c r="AZ713" s="1" t="n"/>
      <c r="BA713" s="1" t="n"/>
    </row>
    <row r="714" ht="16.5" customHeight="1" s="220">
      <c r="A714" s="1" t="n"/>
      <c r="B714" s="1" t="n"/>
      <c r="C714" s="2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  <c r="AR714" s="1" t="n"/>
      <c r="AS714" s="1" t="n"/>
      <c r="AT714" s="1" t="n"/>
      <c r="AU714" s="1" t="n"/>
      <c r="AV714" s="1" t="n"/>
      <c r="AW714" s="1" t="n"/>
      <c r="AX714" s="1" t="n"/>
      <c r="AY714" s="1" t="n"/>
      <c r="AZ714" s="1" t="n"/>
      <c r="BA714" s="1" t="n"/>
    </row>
    <row r="715" ht="16.5" customHeight="1" s="220">
      <c r="A715" s="1" t="n"/>
      <c r="B715" s="1" t="n"/>
      <c r="C715" s="2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  <c r="AR715" s="1" t="n"/>
      <c r="AS715" s="1" t="n"/>
      <c r="AT715" s="1" t="n"/>
      <c r="AU715" s="1" t="n"/>
      <c r="AV715" s="1" t="n"/>
      <c r="AW715" s="1" t="n"/>
      <c r="AX715" s="1" t="n"/>
      <c r="AY715" s="1" t="n"/>
      <c r="AZ715" s="1" t="n"/>
      <c r="BA715" s="1" t="n"/>
    </row>
    <row r="716" ht="16.5" customHeight="1" s="220">
      <c r="A716" s="1" t="n"/>
      <c r="B716" s="1" t="n"/>
      <c r="C716" s="2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  <c r="AR716" s="1" t="n"/>
      <c r="AS716" s="1" t="n"/>
      <c r="AT716" s="1" t="n"/>
      <c r="AU716" s="1" t="n"/>
      <c r="AV716" s="1" t="n"/>
      <c r="AW716" s="1" t="n"/>
      <c r="AX716" s="1" t="n"/>
      <c r="AY716" s="1" t="n"/>
      <c r="AZ716" s="1" t="n"/>
      <c r="BA716" s="1" t="n"/>
    </row>
    <row r="717" ht="16.5" customHeight="1" s="220">
      <c r="A717" s="1" t="n"/>
      <c r="B717" s="1" t="n"/>
      <c r="C717" s="2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  <c r="AR717" s="1" t="n"/>
      <c r="AS717" s="1" t="n"/>
      <c r="AT717" s="1" t="n"/>
      <c r="AU717" s="1" t="n"/>
      <c r="AV717" s="1" t="n"/>
      <c r="AW717" s="1" t="n"/>
      <c r="AX717" s="1" t="n"/>
      <c r="AY717" s="1" t="n"/>
      <c r="AZ717" s="1" t="n"/>
      <c r="BA717" s="1" t="n"/>
    </row>
    <row r="718" ht="16.5" customHeight="1" s="220">
      <c r="A718" s="1" t="n"/>
      <c r="B718" s="1" t="n"/>
      <c r="C718" s="2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  <c r="AR718" s="1" t="n"/>
      <c r="AS718" s="1" t="n"/>
      <c r="AT718" s="1" t="n"/>
      <c r="AU718" s="1" t="n"/>
      <c r="AV718" s="1" t="n"/>
      <c r="AW718" s="1" t="n"/>
      <c r="AX718" s="1" t="n"/>
      <c r="AY718" s="1" t="n"/>
      <c r="AZ718" s="1" t="n"/>
      <c r="BA718" s="1" t="n"/>
    </row>
    <row r="719" ht="16.5" customHeight="1" s="220">
      <c r="A719" s="1" t="n"/>
      <c r="B719" s="1" t="n"/>
      <c r="C719" s="2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  <c r="AR719" s="1" t="n"/>
      <c r="AS719" s="1" t="n"/>
      <c r="AT719" s="1" t="n"/>
      <c r="AU719" s="1" t="n"/>
      <c r="AV719" s="1" t="n"/>
      <c r="AW719" s="1" t="n"/>
      <c r="AX719" s="1" t="n"/>
      <c r="AY719" s="1" t="n"/>
      <c r="AZ719" s="1" t="n"/>
      <c r="BA719" s="1" t="n"/>
    </row>
    <row r="720" ht="16.5" customHeight="1" s="220">
      <c r="A720" s="1" t="n"/>
      <c r="B720" s="1" t="n"/>
      <c r="C720" s="2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  <c r="AR720" s="1" t="n"/>
      <c r="AS720" s="1" t="n"/>
      <c r="AT720" s="1" t="n"/>
      <c r="AU720" s="1" t="n"/>
      <c r="AV720" s="1" t="n"/>
      <c r="AW720" s="1" t="n"/>
      <c r="AX720" s="1" t="n"/>
      <c r="AY720" s="1" t="n"/>
      <c r="AZ720" s="1" t="n"/>
      <c r="BA720" s="1" t="n"/>
    </row>
    <row r="721" ht="16.5" customHeight="1" s="220">
      <c r="A721" s="1" t="n"/>
      <c r="B721" s="1" t="n"/>
      <c r="C721" s="2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  <c r="AR721" s="1" t="n"/>
      <c r="AS721" s="1" t="n"/>
      <c r="AT721" s="1" t="n"/>
      <c r="AU721" s="1" t="n"/>
      <c r="AV721" s="1" t="n"/>
      <c r="AW721" s="1" t="n"/>
      <c r="AX721" s="1" t="n"/>
      <c r="AY721" s="1" t="n"/>
      <c r="AZ721" s="1" t="n"/>
      <c r="BA721" s="1" t="n"/>
    </row>
    <row r="722" ht="16.5" customHeight="1" s="220">
      <c r="A722" s="1" t="n"/>
      <c r="B722" s="1" t="n"/>
      <c r="C722" s="2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  <c r="AR722" s="1" t="n"/>
      <c r="AS722" s="1" t="n"/>
      <c r="AT722" s="1" t="n"/>
      <c r="AU722" s="1" t="n"/>
      <c r="AV722" s="1" t="n"/>
      <c r="AW722" s="1" t="n"/>
      <c r="AX722" s="1" t="n"/>
      <c r="AY722" s="1" t="n"/>
      <c r="AZ722" s="1" t="n"/>
      <c r="BA722" s="1" t="n"/>
    </row>
    <row r="723" ht="16.5" customHeight="1" s="220">
      <c r="A723" s="1" t="n"/>
      <c r="B723" s="1" t="n"/>
      <c r="C723" s="2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  <c r="AR723" s="1" t="n"/>
      <c r="AS723" s="1" t="n"/>
      <c r="AT723" s="1" t="n"/>
      <c r="AU723" s="1" t="n"/>
      <c r="AV723" s="1" t="n"/>
      <c r="AW723" s="1" t="n"/>
      <c r="AX723" s="1" t="n"/>
      <c r="AY723" s="1" t="n"/>
      <c r="AZ723" s="1" t="n"/>
      <c r="BA723" s="1" t="n"/>
    </row>
    <row r="724" ht="16.5" customHeight="1" s="220">
      <c r="A724" s="1" t="n"/>
      <c r="B724" s="1" t="n"/>
      <c r="C724" s="2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  <c r="AR724" s="1" t="n"/>
      <c r="AS724" s="1" t="n"/>
      <c r="AT724" s="1" t="n"/>
      <c r="AU724" s="1" t="n"/>
      <c r="AV724" s="1" t="n"/>
      <c r="AW724" s="1" t="n"/>
      <c r="AX724" s="1" t="n"/>
      <c r="AY724" s="1" t="n"/>
      <c r="AZ724" s="1" t="n"/>
      <c r="BA724" s="1" t="n"/>
    </row>
    <row r="725" ht="16.5" customHeight="1" s="220">
      <c r="A725" s="1" t="n"/>
      <c r="B725" s="1" t="n"/>
      <c r="C725" s="2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  <c r="AR725" s="1" t="n"/>
      <c r="AS725" s="1" t="n"/>
      <c r="AT725" s="1" t="n"/>
      <c r="AU725" s="1" t="n"/>
      <c r="AV725" s="1" t="n"/>
      <c r="AW725" s="1" t="n"/>
      <c r="AX725" s="1" t="n"/>
      <c r="AY725" s="1" t="n"/>
      <c r="AZ725" s="1" t="n"/>
      <c r="BA725" s="1" t="n"/>
    </row>
    <row r="726" ht="16.5" customHeight="1" s="220">
      <c r="A726" s="1" t="n"/>
      <c r="B726" s="1" t="n"/>
      <c r="C726" s="2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  <c r="AR726" s="1" t="n"/>
      <c r="AS726" s="1" t="n"/>
      <c r="AT726" s="1" t="n"/>
      <c r="AU726" s="1" t="n"/>
      <c r="AV726" s="1" t="n"/>
      <c r="AW726" s="1" t="n"/>
      <c r="AX726" s="1" t="n"/>
      <c r="AY726" s="1" t="n"/>
      <c r="AZ726" s="1" t="n"/>
      <c r="BA726" s="1" t="n"/>
    </row>
    <row r="727" ht="16.5" customHeight="1" s="220">
      <c r="A727" s="1" t="n"/>
      <c r="B727" s="1" t="n"/>
      <c r="C727" s="2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  <c r="AR727" s="1" t="n"/>
      <c r="AS727" s="1" t="n"/>
      <c r="AT727" s="1" t="n"/>
      <c r="AU727" s="1" t="n"/>
      <c r="AV727" s="1" t="n"/>
      <c r="AW727" s="1" t="n"/>
      <c r="AX727" s="1" t="n"/>
      <c r="AY727" s="1" t="n"/>
      <c r="AZ727" s="1" t="n"/>
      <c r="BA727" s="1" t="n"/>
    </row>
    <row r="728" ht="16.5" customHeight="1" s="220">
      <c r="A728" s="1" t="n"/>
      <c r="B728" s="1" t="n"/>
      <c r="C728" s="2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  <c r="AR728" s="1" t="n"/>
      <c r="AS728" s="1" t="n"/>
      <c r="AT728" s="1" t="n"/>
      <c r="AU728" s="1" t="n"/>
      <c r="AV728" s="1" t="n"/>
      <c r="AW728" s="1" t="n"/>
      <c r="AX728" s="1" t="n"/>
      <c r="AY728" s="1" t="n"/>
      <c r="AZ728" s="1" t="n"/>
      <c r="BA728" s="1" t="n"/>
    </row>
    <row r="729" ht="16.5" customHeight="1" s="220">
      <c r="A729" s="1" t="n"/>
      <c r="B729" s="1" t="n"/>
      <c r="C729" s="2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  <c r="AR729" s="1" t="n"/>
      <c r="AS729" s="1" t="n"/>
      <c r="AT729" s="1" t="n"/>
      <c r="AU729" s="1" t="n"/>
      <c r="AV729" s="1" t="n"/>
      <c r="AW729" s="1" t="n"/>
      <c r="AX729" s="1" t="n"/>
      <c r="AY729" s="1" t="n"/>
      <c r="AZ729" s="1" t="n"/>
      <c r="BA729" s="1" t="n"/>
    </row>
    <row r="730" ht="16.5" customHeight="1" s="220">
      <c r="A730" s="1" t="n"/>
      <c r="B730" s="1" t="n"/>
      <c r="C730" s="2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  <c r="AR730" s="1" t="n"/>
      <c r="AS730" s="1" t="n"/>
      <c r="AT730" s="1" t="n"/>
      <c r="AU730" s="1" t="n"/>
      <c r="AV730" s="1" t="n"/>
      <c r="AW730" s="1" t="n"/>
      <c r="AX730" s="1" t="n"/>
      <c r="AY730" s="1" t="n"/>
      <c r="AZ730" s="1" t="n"/>
      <c r="BA730" s="1" t="n"/>
    </row>
    <row r="731" ht="16.5" customHeight="1" s="220">
      <c r="A731" s="1" t="n"/>
      <c r="B731" s="1" t="n"/>
      <c r="C731" s="2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  <c r="AR731" s="1" t="n"/>
      <c r="AS731" s="1" t="n"/>
      <c r="AT731" s="1" t="n"/>
      <c r="AU731" s="1" t="n"/>
      <c r="AV731" s="1" t="n"/>
      <c r="AW731" s="1" t="n"/>
      <c r="AX731" s="1" t="n"/>
      <c r="AY731" s="1" t="n"/>
      <c r="AZ731" s="1" t="n"/>
      <c r="BA731" s="1" t="n"/>
    </row>
    <row r="732" ht="16.5" customHeight="1" s="220">
      <c r="A732" s="1" t="n"/>
      <c r="B732" s="1" t="n"/>
      <c r="C732" s="2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Q732" s="1" t="n"/>
      <c r="AR732" s="1" t="n"/>
      <c r="AS732" s="1" t="n"/>
      <c r="AT732" s="1" t="n"/>
      <c r="AU732" s="1" t="n"/>
      <c r="AV732" s="1" t="n"/>
      <c r="AW732" s="1" t="n"/>
      <c r="AX732" s="1" t="n"/>
      <c r="AY732" s="1" t="n"/>
      <c r="AZ732" s="1" t="n"/>
      <c r="BA732" s="1" t="n"/>
    </row>
    <row r="733" ht="16.5" customHeight="1" s="220">
      <c r="A733" s="1" t="n"/>
      <c r="B733" s="1" t="n"/>
      <c r="C733" s="2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  <c r="AR733" s="1" t="n"/>
      <c r="AS733" s="1" t="n"/>
      <c r="AT733" s="1" t="n"/>
      <c r="AU733" s="1" t="n"/>
      <c r="AV733" s="1" t="n"/>
      <c r="AW733" s="1" t="n"/>
      <c r="AX733" s="1" t="n"/>
      <c r="AY733" s="1" t="n"/>
      <c r="AZ733" s="1" t="n"/>
      <c r="BA733" s="1" t="n"/>
    </row>
    <row r="734" ht="16.5" customHeight="1" s="220">
      <c r="A734" s="1" t="n"/>
      <c r="B734" s="1" t="n"/>
      <c r="C734" s="2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  <c r="AR734" s="1" t="n"/>
      <c r="AS734" s="1" t="n"/>
      <c r="AT734" s="1" t="n"/>
      <c r="AU734" s="1" t="n"/>
      <c r="AV734" s="1" t="n"/>
      <c r="AW734" s="1" t="n"/>
      <c r="AX734" s="1" t="n"/>
      <c r="AY734" s="1" t="n"/>
      <c r="AZ734" s="1" t="n"/>
      <c r="BA734" s="1" t="n"/>
    </row>
    <row r="735" ht="16.5" customHeight="1" s="220">
      <c r="A735" s="1" t="n"/>
      <c r="B735" s="1" t="n"/>
      <c r="C735" s="2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  <c r="AR735" s="1" t="n"/>
      <c r="AS735" s="1" t="n"/>
      <c r="AT735" s="1" t="n"/>
      <c r="AU735" s="1" t="n"/>
      <c r="AV735" s="1" t="n"/>
      <c r="AW735" s="1" t="n"/>
      <c r="AX735" s="1" t="n"/>
      <c r="AY735" s="1" t="n"/>
      <c r="AZ735" s="1" t="n"/>
      <c r="BA735" s="1" t="n"/>
    </row>
    <row r="736" ht="16.5" customHeight="1" s="220">
      <c r="A736" s="1" t="n"/>
      <c r="B736" s="1" t="n"/>
      <c r="C736" s="2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  <c r="AR736" s="1" t="n"/>
      <c r="AS736" s="1" t="n"/>
      <c r="AT736" s="1" t="n"/>
      <c r="AU736" s="1" t="n"/>
      <c r="AV736" s="1" t="n"/>
      <c r="AW736" s="1" t="n"/>
      <c r="AX736" s="1" t="n"/>
      <c r="AY736" s="1" t="n"/>
      <c r="AZ736" s="1" t="n"/>
      <c r="BA736" s="1" t="n"/>
    </row>
    <row r="737" ht="16.5" customHeight="1" s="220">
      <c r="A737" s="1" t="n"/>
      <c r="B737" s="1" t="n"/>
      <c r="C737" s="2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  <c r="AR737" s="1" t="n"/>
      <c r="AS737" s="1" t="n"/>
      <c r="AT737" s="1" t="n"/>
      <c r="AU737" s="1" t="n"/>
      <c r="AV737" s="1" t="n"/>
      <c r="AW737" s="1" t="n"/>
      <c r="AX737" s="1" t="n"/>
      <c r="AY737" s="1" t="n"/>
      <c r="AZ737" s="1" t="n"/>
      <c r="BA737" s="1" t="n"/>
    </row>
    <row r="738" ht="16.5" customHeight="1" s="220">
      <c r="A738" s="1" t="n"/>
      <c r="B738" s="1" t="n"/>
      <c r="C738" s="2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  <c r="AR738" s="1" t="n"/>
      <c r="AS738" s="1" t="n"/>
      <c r="AT738" s="1" t="n"/>
      <c r="AU738" s="1" t="n"/>
      <c r="AV738" s="1" t="n"/>
      <c r="AW738" s="1" t="n"/>
      <c r="AX738" s="1" t="n"/>
      <c r="AY738" s="1" t="n"/>
      <c r="AZ738" s="1" t="n"/>
      <c r="BA738" s="1" t="n"/>
    </row>
    <row r="739" ht="16.5" customHeight="1" s="220">
      <c r="A739" s="1" t="n"/>
      <c r="B739" s="1" t="n"/>
      <c r="C739" s="2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  <c r="AR739" s="1" t="n"/>
      <c r="AS739" s="1" t="n"/>
      <c r="AT739" s="1" t="n"/>
      <c r="AU739" s="1" t="n"/>
      <c r="AV739" s="1" t="n"/>
      <c r="AW739" s="1" t="n"/>
      <c r="AX739" s="1" t="n"/>
      <c r="AY739" s="1" t="n"/>
      <c r="AZ739" s="1" t="n"/>
      <c r="BA739" s="1" t="n"/>
    </row>
    <row r="740" ht="16.5" customHeight="1" s="220">
      <c r="A740" s="1" t="n"/>
      <c r="B740" s="1" t="n"/>
      <c r="C740" s="2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  <c r="AR740" s="1" t="n"/>
      <c r="AS740" s="1" t="n"/>
      <c r="AT740" s="1" t="n"/>
      <c r="AU740" s="1" t="n"/>
      <c r="AV740" s="1" t="n"/>
      <c r="AW740" s="1" t="n"/>
      <c r="AX740" s="1" t="n"/>
      <c r="AY740" s="1" t="n"/>
      <c r="AZ740" s="1" t="n"/>
      <c r="BA740" s="1" t="n"/>
    </row>
    <row r="741" ht="16.5" customHeight="1" s="220">
      <c r="A741" s="1" t="n"/>
      <c r="B741" s="1" t="n"/>
      <c r="C741" s="2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  <c r="AR741" s="1" t="n"/>
      <c r="AS741" s="1" t="n"/>
      <c r="AT741" s="1" t="n"/>
      <c r="AU741" s="1" t="n"/>
      <c r="AV741" s="1" t="n"/>
      <c r="AW741" s="1" t="n"/>
      <c r="AX741" s="1" t="n"/>
      <c r="AY741" s="1" t="n"/>
      <c r="AZ741" s="1" t="n"/>
      <c r="BA741" s="1" t="n"/>
    </row>
    <row r="742" ht="16.5" customHeight="1" s="220">
      <c r="A742" s="1" t="n"/>
      <c r="B742" s="1" t="n"/>
      <c r="C742" s="2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  <c r="AR742" s="1" t="n"/>
      <c r="AS742" s="1" t="n"/>
      <c r="AT742" s="1" t="n"/>
      <c r="AU742" s="1" t="n"/>
      <c r="AV742" s="1" t="n"/>
      <c r="AW742" s="1" t="n"/>
      <c r="AX742" s="1" t="n"/>
      <c r="AY742" s="1" t="n"/>
      <c r="AZ742" s="1" t="n"/>
      <c r="BA742" s="1" t="n"/>
    </row>
    <row r="743" ht="16.5" customHeight="1" s="220">
      <c r="A743" s="1" t="n"/>
      <c r="B743" s="1" t="n"/>
      <c r="C743" s="2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  <c r="AR743" s="1" t="n"/>
      <c r="AS743" s="1" t="n"/>
      <c r="AT743" s="1" t="n"/>
      <c r="AU743" s="1" t="n"/>
      <c r="AV743" s="1" t="n"/>
      <c r="AW743" s="1" t="n"/>
      <c r="AX743" s="1" t="n"/>
      <c r="AY743" s="1" t="n"/>
      <c r="AZ743" s="1" t="n"/>
      <c r="BA743" s="1" t="n"/>
    </row>
    <row r="744" ht="16.5" customHeight="1" s="220">
      <c r="A744" s="1" t="n"/>
      <c r="B744" s="1" t="n"/>
      <c r="C744" s="2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  <c r="AR744" s="1" t="n"/>
      <c r="AS744" s="1" t="n"/>
      <c r="AT744" s="1" t="n"/>
      <c r="AU744" s="1" t="n"/>
      <c r="AV744" s="1" t="n"/>
      <c r="AW744" s="1" t="n"/>
      <c r="AX744" s="1" t="n"/>
      <c r="AY744" s="1" t="n"/>
      <c r="AZ744" s="1" t="n"/>
      <c r="BA744" s="1" t="n"/>
    </row>
    <row r="745" ht="16.5" customHeight="1" s="220">
      <c r="A745" s="1" t="n"/>
      <c r="B745" s="1" t="n"/>
      <c r="C745" s="2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  <c r="AR745" s="1" t="n"/>
      <c r="AS745" s="1" t="n"/>
      <c r="AT745" s="1" t="n"/>
      <c r="AU745" s="1" t="n"/>
      <c r="AV745" s="1" t="n"/>
      <c r="AW745" s="1" t="n"/>
      <c r="AX745" s="1" t="n"/>
      <c r="AY745" s="1" t="n"/>
      <c r="AZ745" s="1" t="n"/>
      <c r="BA745" s="1" t="n"/>
    </row>
    <row r="746" ht="16.5" customHeight="1" s="220">
      <c r="A746" s="1" t="n"/>
      <c r="B746" s="1" t="n"/>
      <c r="C746" s="2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  <c r="AR746" s="1" t="n"/>
      <c r="AS746" s="1" t="n"/>
      <c r="AT746" s="1" t="n"/>
      <c r="AU746" s="1" t="n"/>
      <c r="AV746" s="1" t="n"/>
      <c r="AW746" s="1" t="n"/>
      <c r="AX746" s="1" t="n"/>
      <c r="AY746" s="1" t="n"/>
      <c r="AZ746" s="1" t="n"/>
      <c r="BA746" s="1" t="n"/>
    </row>
    <row r="747" ht="16.5" customHeight="1" s="220">
      <c r="A747" s="1" t="n"/>
      <c r="B747" s="1" t="n"/>
      <c r="C747" s="2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  <c r="AR747" s="1" t="n"/>
      <c r="AS747" s="1" t="n"/>
      <c r="AT747" s="1" t="n"/>
      <c r="AU747" s="1" t="n"/>
      <c r="AV747" s="1" t="n"/>
      <c r="AW747" s="1" t="n"/>
      <c r="AX747" s="1" t="n"/>
      <c r="AY747" s="1" t="n"/>
      <c r="AZ747" s="1" t="n"/>
      <c r="BA747" s="1" t="n"/>
    </row>
    <row r="748" ht="16.5" customHeight="1" s="220">
      <c r="A748" s="1" t="n"/>
      <c r="B748" s="1" t="n"/>
      <c r="C748" s="2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  <c r="AR748" s="1" t="n"/>
      <c r="AS748" s="1" t="n"/>
      <c r="AT748" s="1" t="n"/>
      <c r="AU748" s="1" t="n"/>
      <c r="AV748" s="1" t="n"/>
      <c r="AW748" s="1" t="n"/>
      <c r="AX748" s="1" t="n"/>
      <c r="AY748" s="1" t="n"/>
      <c r="AZ748" s="1" t="n"/>
      <c r="BA748" s="1" t="n"/>
    </row>
    <row r="749" ht="16.5" customHeight="1" s="220">
      <c r="A749" s="1" t="n"/>
      <c r="B749" s="1" t="n"/>
      <c r="C749" s="2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  <c r="AR749" s="1" t="n"/>
      <c r="AS749" s="1" t="n"/>
      <c r="AT749" s="1" t="n"/>
      <c r="AU749" s="1" t="n"/>
      <c r="AV749" s="1" t="n"/>
      <c r="AW749" s="1" t="n"/>
      <c r="AX749" s="1" t="n"/>
      <c r="AY749" s="1" t="n"/>
      <c r="AZ749" s="1" t="n"/>
      <c r="BA749" s="1" t="n"/>
    </row>
    <row r="750" ht="16.5" customHeight="1" s="220">
      <c r="A750" s="1" t="n"/>
      <c r="B750" s="1" t="n"/>
      <c r="C750" s="2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  <c r="AR750" s="1" t="n"/>
      <c r="AS750" s="1" t="n"/>
      <c r="AT750" s="1" t="n"/>
      <c r="AU750" s="1" t="n"/>
      <c r="AV750" s="1" t="n"/>
      <c r="AW750" s="1" t="n"/>
      <c r="AX750" s="1" t="n"/>
      <c r="AY750" s="1" t="n"/>
      <c r="AZ750" s="1" t="n"/>
      <c r="BA750" s="1" t="n"/>
    </row>
    <row r="751" ht="16.5" customHeight="1" s="220">
      <c r="A751" s="1" t="n"/>
      <c r="B751" s="1" t="n"/>
      <c r="C751" s="2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  <c r="AR751" s="1" t="n"/>
      <c r="AS751" s="1" t="n"/>
      <c r="AT751" s="1" t="n"/>
      <c r="AU751" s="1" t="n"/>
      <c r="AV751" s="1" t="n"/>
      <c r="AW751" s="1" t="n"/>
      <c r="AX751" s="1" t="n"/>
      <c r="AY751" s="1" t="n"/>
      <c r="AZ751" s="1" t="n"/>
      <c r="BA751" s="1" t="n"/>
    </row>
    <row r="752" ht="16.5" customHeight="1" s="220">
      <c r="A752" s="1" t="n"/>
      <c r="B752" s="1" t="n"/>
      <c r="C752" s="2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  <c r="AR752" s="1" t="n"/>
      <c r="AS752" s="1" t="n"/>
      <c r="AT752" s="1" t="n"/>
      <c r="AU752" s="1" t="n"/>
      <c r="AV752" s="1" t="n"/>
      <c r="AW752" s="1" t="n"/>
      <c r="AX752" s="1" t="n"/>
      <c r="AY752" s="1" t="n"/>
      <c r="AZ752" s="1" t="n"/>
      <c r="BA752" s="1" t="n"/>
    </row>
    <row r="753" ht="16.5" customHeight="1" s="220">
      <c r="A753" s="1" t="n"/>
      <c r="B753" s="1" t="n"/>
      <c r="C753" s="2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  <c r="AR753" s="1" t="n"/>
      <c r="AS753" s="1" t="n"/>
      <c r="AT753" s="1" t="n"/>
      <c r="AU753" s="1" t="n"/>
      <c r="AV753" s="1" t="n"/>
      <c r="AW753" s="1" t="n"/>
      <c r="AX753" s="1" t="n"/>
      <c r="AY753" s="1" t="n"/>
      <c r="AZ753" s="1" t="n"/>
      <c r="BA753" s="1" t="n"/>
    </row>
    <row r="754" ht="16.5" customHeight="1" s="220">
      <c r="A754" s="1" t="n"/>
      <c r="B754" s="1" t="n"/>
      <c r="C754" s="2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  <c r="AR754" s="1" t="n"/>
      <c r="AS754" s="1" t="n"/>
      <c r="AT754" s="1" t="n"/>
      <c r="AU754" s="1" t="n"/>
      <c r="AV754" s="1" t="n"/>
      <c r="AW754" s="1" t="n"/>
      <c r="AX754" s="1" t="n"/>
      <c r="AY754" s="1" t="n"/>
      <c r="AZ754" s="1" t="n"/>
      <c r="BA754" s="1" t="n"/>
    </row>
    <row r="755" ht="16.5" customHeight="1" s="220">
      <c r="A755" s="1" t="n"/>
      <c r="B755" s="1" t="n"/>
      <c r="C755" s="2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  <c r="AR755" s="1" t="n"/>
      <c r="AS755" s="1" t="n"/>
      <c r="AT755" s="1" t="n"/>
      <c r="AU755" s="1" t="n"/>
      <c r="AV755" s="1" t="n"/>
      <c r="AW755" s="1" t="n"/>
      <c r="AX755" s="1" t="n"/>
      <c r="AY755" s="1" t="n"/>
      <c r="AZ755" s="1" t="n"/>
      <c r="BA755" s="1" t="n"/>
    </row>
    <row r="756" ht="16.5" customHeight="1" s="220">
      <c r="A756" s="1" t="n"/>
      <c r="B756" s="1" t="n"/>
      <c r="C756" s="2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  <c r="AR756" s="1" t="n"/>
      <c r="AS756" s="1" t="n"/>
      <c r="AT756" s="1" t="n"/>
      <c r="AU756" s="1" t="n"/>
      <c r="AV756" s="1" t="n"/>
      <c r="AW756" s="1" t="n"/>
      <c r="AX756" s="1" t="n"/>
      <c r="AY756" s="1" t="n"/>
      <c r="AZ756" s="1" t="n"/>
      <c r="BA756" s="1" t="n"/>
    </row>
    <row r="757" ht="16.5" customHeight="1" s="220">
      <c r="A757" s="1" t="n"/>
      <c r="B757" s="1" t="n"/>
      <c r="C757" s="2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  <c r="AR757" s="1" t="n"/>
      <c r="AS757" s="1" t="n"/>
      <c r="AT757" s="1" t="n"/>
      <c r="AU757" s="1" t="n"/>
      <c r="AV757" s="1" t="n"/>
      <c r="AW757" s="1" t="n"/>
      <c r="AX757" s="1" t="n"/>
      <c r="AY757" s="1" t="n"/>
      <c r="AZ757" s="1" t="n"/>
      <c r="BA757" s="1" t="n"/>
    </row>
    <row r="758" ht="16.5" customHeight="1" s="220">
      <c r="A758" s="1" t="n"/>
      <c r="B758" s="1" t="n"/>
      <c r="C758" s="2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  <c r="AR758" s="1" t="n"/>
      <c r="AS758" s="1" t="n"/>
      <c r="AT758" s="1" t="n"/>
      <c r="AU758" s="1" t="n"/>
      <c r="AV758" s="1" t="n"/>
      <c r="AW758" s="1" t="n"/>
      <c r="AX758" s="1" t="n"/>
      <c r="AY758" s="1" t="n"/>
      <c r="AZ758" s="1" t="n"/>
      <c r="BA758" s="1" t="n"/>
    </row>
    <row r="759" ht="16.5" customHeight="1" s="220">
      <c r="A759" s="1" t="n"/>
      <c r="B759" s="1" t="n"/>
      <c r="C759" s="2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  <c r="AR759" s="1" t="n"/>
      <c r="AS759" s="1" t="n"/>
      <c r="AT759" s="1" t="n"/>
      <c r="AU759" s="1" t="n"/>
      <c r="AV759" s="1" t="n"/>
      <c r="AW759" s="1" t="n"/>
      <c r="AX759" s="1" t="n"/>
      <c r="AY759" s="1" t="n"/>
      <c r="AZ759" s="1" t="n"/>
      <c r="BA759" s="1" t="n"/>
    </row>
    <row r="760" ht="16.5" customHeight="1" s="220">
      <c r="A760" s="1" t="n"/>
      <c r="B760" s="1" t="n"/>
      <c r="C760" s="2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  <c r="AR760" s="1" t="n"/>
      <c r="AS760" s="1" t="n"/>
      <c r="AT760" s="1" t="n"/>
      <c r="AU760" s="1" t="n"/>
      <c r="AV760" s="1" t="n"/>
      <c r="AW760" s="1" t="n"/>
      <c r="AX760" s="1" t="n"/>
      <c r="AY760" s="1" t="n"/>
      <c r="AZ760" s="1" t="n"/>
      <c r="BA760" s="1" t="n"/>
    </row>
    <row r="761" ht="16.5" customHeight="1" s="220">
      <c r="A761" s="1" t="n"/>
      <c r="B761" s="1" t="n"/>
      <c r="C761" s="2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  <c r="AR761" s="1" t="n"/>
      <c r="AS761" s="1" t="n"/>
      <c r="AT761" s="1" t="n"/>
      <c r="AU761" s="1" t="n"/>
      <c r="AV761" s="1" t="n"/>
      <c r="AW761" s="1" t="n"/>
      <c r="AX761" s="1" t="n"/>
      <c r="AY761" s="1" t="n"/>
      <c r="AZ761" s="1" t="n"/>
      <c r="BA761" s="1" t="n"/>
    </row>
    <row r="762" ht="16.5" customHeight="1" s="220">
      <c r="A762" s="1" t="n"/>
      <c r="B762" s="1" t="n"/>
      <c r="C762" s="2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  <c r="AR762" s="1" t="n"/>
      <c r="AS762" s="1" t="n"/>
      <c r="AT762" s="1" t="n"/>
      <c r="AU762" s="1" t="n"/>
      <c r="AV762" s="1" t="n"/>
      <c r="AW762" s="1" t="n"/>
      <c r="AX762" s="1" t="n"/>
      <c r="AY762" s="1" t="n"/>
      <c r="AZ762" s="1" t="n"/>
      <c r="BA762" s="1" t="n"/>
    </row>
    <row r="763" ht="16.5" customHeight="1" s="220">
      <c r="A763" s="1" t="n"/>
      <c r="B763" s="1" t="n"/>
      <c r="C763" s="2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  <c r="AR763" s="1" t="n"/>
      <c r="AS763" s="1" t="n"/>
      <c r="AT763" s="1" t="n"/>
      <c r="AU763" s="1" t="n"/>
      <c r="AV763" s="1" t="n"/>
      <c r="AW763" s="1" t="n"/>
      <c r="AX763" s="1" t="n"/>
      <c r="AY763" s="1" t="n"/>
      <c r="AZ763" s="1" t="n"/>
      <c r="BA763" s="1" t="n"/>
    </row>
    <row r="764" ht="16.5" customHeight="1" s="220">
      <c r="A764" s="1" t="n"/>
      <c r="B764" s="1" t="n"/>
      <c r="C764" s="2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  <c r="AR764" s="1" t="n"/>
      <c r="AS764" s="1" t="n"/>
      <c r="AT764" s="1" t="n"/>
      <c r="AU764" s="1" t="n"/>
      <c r="AV764" s="1" t="n"/>
      <c r="AW764" s="1" t="n"/>
      <c r="AX764" s="1" t="n"/>
      <c r="AY764" s="1" t="n"/>
      <c r="AZ764" s="1" t="n"/>
      <c r="BA764" s="1" t="n"/>
    </row>
    <row r="765" ht="16.5" customHeight="1" s="220">
      <c r="A765" s="1" t="n"/>
      <c r="B765" s="1" t="n"/>
      <c r="C765" s="2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  <c r="AR765" s="1" t="n"/>
      <c r="AS765" s="1" t="n"/>
      <c r="AT765" s="1" t="n"/>
      <c r="AU765" s="1" t="n"/>
      <c r="AV765" s="1" t="n"/>
      <c r="AW765" s="1" t="n"/>
      <c r="AX765" s="1" t="n"/>
      <c r="AY765" s="1" t="n"/>
      <c r="AZ765" s="1" t="n"/>
      <c r="BA765" s="1" t="n"/>
    </row>
    <row r="766" ht="16.5" customHeight="1" s="220">
      <c r="A766" s="1" t="n"/>
      <c r="B766" s="1" t="n"/>
      <c r="C766" s="2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  <c r="AR766" s="1" t="n"/>
      <c r="AS766" s="1" t="n"/>
      <c r="AT766" s="1" t="n"/>
      <c r="AU766" s="1" t="n"/>
      <c r="AV766" s="1" t="n"/>
      <c r="AW766" s="1" t="n"/>
      <c r="AX766" s="1" t="n"/>
      <c r="AY766" s="1" t="n"/>
      <c r="AZ766" s="1" t="n"/>
      <c r="BA766" s="1" t="n"/>
    </row>
    <row r="767" ht="16.5" customHeight="1" s="220">
      <c r="A767" s="1" t="n"/>
      <c r="B767" s="1" t="n"/>
      <c r="C767" s="2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  <c r="AR767" s="1" t="n"/>
      <c r="AS767" s="1" t="n"/>
      <c r="AT767" s="1" t="n"/>
      <c r="AU767" s="1" t="n"/>
      <c r="AV767" s="1" t="n"/>
      <c r="AW767" s="1" t="n"/>
      <c r="AX767" s="1" t="n"/>
      <c r="AY767" s="1" t="n"/>
      <c r="AZ767" s="1" t="n"/>
      <c r="BA767" s="1" t="n"/>
    </row>
    <row r="768" ht="16.5" customHeight="1" s="220">
      <c r="A768" s="1" t="n"/>
      <c r="B768" s="1" t="n"/>
      <c r="C768" s="2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  <c r="AR768" s="1" t="n"/>
      <c r="AS768" s="1" t="n"/>
      <c r="AT768" s="1" t="n"/>
      <c r="AU768" s="1" t="n"/>
      <c r="AV768" s="1" t="n"/>
      <c r="AW768" s="1" t="n"/>
      <c r="AX768" s="1" t="n"/>
      <c r="AY768" s="1" t="n"/>
      <c r="AZ768" s="1" t="n"/>
      <c r="BA768" s="1" t="n"/>
    </row>
    <row r="769" ht="16.5" customHeight="1" s="220">
      <c r="A769" s="1" t="n"/>
      <c r="B769" s="1" t="n"/>
      <c r="C769" s="2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  <c r="AR769" s="1" t="n"/>
      <c r="AS769" s="1" t="n"/>
      <c r="AT769" s="1" t="n"/>
      <c r="AU769" s="1" t="n"/>
      <c r="AV769" s="1" t="n"/>
      <c r="AW769" s="1" t="n"/>
      <c r="AX769" s="1" t="n"/>
      <c r="AY769" s="1" t="n"/>
      <c r="AZ769" s="1" t="n"/>
      <c r="BA769" s="1" t="n"/>
    </row>
    <row r="770" ht="16.5" customHeight="1" s="220">
      <c r="A770" s="1" t="n"/>
      <c r="B770" s="1" t="n"/>
      <c r="C770" s="2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  <c r="AR770" s="1" t="n"/>
      <c r="AS770" s="1" t="n"/>
      <c r="AT770" s="1" t="n"/>
      <c r="AU770" s="1" t="n"/>
      <c r="AV770" s="1" t="n"/>
      <c r="AW770" s="1" t="n"/>
      <c r="AX770" s="1" t="n"/>
      <c r="AY770" s="1" t="n"/>
      <c r="AZ770" s="1" t="n"/>
      <c r="BA770" s="1" t="n"/>
    </row>
    <row r="771" ht="16.5" customHeight="1" s="220">
      <c r="A771" s="1" t="n"/>
      <c r="B771" s="1" t="n"/>
      <c r="C771" s="2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  <c r="AR771" s="1" t="n"/>
      <c r="AS771" s="1" t="n"/>
      <c r="AT771" s="1" t="n"/>
      <c r="AU771" s="1" t="n"/>
      <c r="AV771" s="1" t="n"/>
      <c r="AW771" s="1" t="n"/>
      <c r="AX771" s="1" t="n"/>
      <c r="AY771" s="1" t="n"/>
      <c r="AZ771" s="1" t="n"/>
      <c r="BA771" s="1" t="n"/>
    </row>
    <row r="772" ht="16.5" customHeight="1" s="220">
      <c r="A772" s="1" t="n"/>
      <c r="B772" s="1" t="n"/>
      <c r="C772" s="2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  <c r="AR772" s="1" t="n"/>
      <c r="AS772" s="1" t="n"/>
      <c r="AT772" s="1" t="n"/>
      <c r="AU772" s="1" t="n"/>
      <c r="AV772" s="1" t="n"/>
      <c r="AW772" s="1" t="n"/>
      <c r="AX772" s="1" t="n"/>
      <c r="AY772" s="1" t="n"/>
      <c r="AZ772" s="1" t="n"/>
      <c r="BA772" s="1" t="n"/>
    </row>
    <row r="773" ht="16.5" customHeight="1" s="220">
      <c r="A773" s="1" t="n"/>
      <c r="B773" s="1" t="n"/>
      <c r="C773" s="2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  <c r="AR773" s="1" t="n"/>
      <c r="AS773" s="1" t="n"/>
      <c r="AT773" s="1" t="n"/>
      <c r="AU773" s="1" t="n"/>
      <c r="AV773" s="1" t="n"/>
      <c r="AW773" s="1" t="n"/>
      <c r="AX773" s="1" t="n"/>
      <c r="AY773" s="1" t="n"/>
      <c r="AZ773" s="1" t="n"/>
      <c r="BA773" s="1" t="n"/>
    </row>
    <row r="774" ht="16.5" customHeight="1" s="220">
      <c r="A774" s="1" t="n"/>
      <c r="B774" s="1" t="n"/>
      <c r="C774" s="2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  <c r="AR774" s="1" t="n"/>
      <c r="AS774" s="1" t="n"/>
      <c r="AT774" s="1" t="n"/>
      <c r="AU774" s="1" t="n"/>
      <c r="AV774" s="1" t="n"/>
      <c r="AW774" s="1" t="n"/>
      <c r="AX774" s="1" t="n"/>
      <c r="AY774" s="1" t="n"/>
      <c r="AZ774" s="1" t="n"/>
      <c r="BA774" s="1" t="n"/>
    </row>
    <row r="775" ht="16.5" customHeight="1" s="220">
      <c r="A775" s="1" t="n"/>
      <c r="B775" s="1" t="n"/>
      <c r="C775" s="2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  <c r="AR775" s="1" t="n"/>
      <c r="AS775" s="1" t="n"/>
      <c r="AT775" s="1" t="n"/>
      <c r="AU775" s="1" t="n"/>
      <c r="AV775" s="1" t="n"/>
      <c r="AW775" s="1" t="n"/>
      <c r="AX775" s="1" t="n"/>
      <c r="AY775" s="1" t="n"/>
      <c r="AZ775" s="1" t="n"/>
      <c r="BA775" s="1" t="n"/>
    </row>
    <row r="776" ht="16.5" customHeight="1" s="220">
      <c r="A776" s="1" t="n"/>
      <c r="B776" s="1" t="n"/>
      <c r="C776" s="2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  <c r="AR776" s="1" t="n"/>
      <c r="AS776" s="1" t="n"/>
      <c r="AT776" s="1" t="n"/>
      <c r="AU776" s="1" t="n"/>
      <c r="AV776" s="1" t="n"/>
      <c r="AW776" s="1" t="n"/>
      <c r="AX776" s="1" t="n"/>
      <c r="AY776" s="1" t="n"/>
      <c r="AZ776" s="1" t="n"/>
      <c r="BA776" s="1" t="n"/>
    </row>
    <row r="777" ht="16.5" customHeight="1" s="220">
      <c r="A777" s="1" t="n"/>
      <c r="B777" s="1" t="n"/>
      <c r="C777" s="2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  <c r="AR777" s="1" t="n"/>
      <c r="AS777" s="1" t="n"/>
      <c r="AT777" s="1" t="n"/>
      <c r="AU777" s="1" t="n"/>
      <c r="AV777" s="1" t="n"/>
      <c r="AW777" s="1" t="n"/>
      <c r="AX777" s="1" t="n"/>
      <c r="AY777" s="1" t="n"/>
      <c r="AZ777" s="1" t="n"/>
      <c r="BA777" s="1" t="n"/>
    </row>
    <row r="778" ht="16.5" customHeight="1" s="220">
      <c r="A778" s="1" t="n"/>
      <c r="B778" s="1" t="n"/>
      <c r="C778" s="2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Q778" s="1" t="n"/>
      <c r="AR778" s="1" t="n"/>
      <c r="AS778" s="1" t="n"/>
      <c r="AT778" s="1" t="n"/>
      <c r="AU778" s="1" t="n"/>
      <c r="AV778" s="1" t="n"/>
      <c r="AW778" s="1" t="n"/>
      <c r="AX778" s="1" t="n"/>
      <c r="AY778" s="1" t="n"/>
      <c r="AZ778" s="1" t="n"/>
      <c r="BA778" s="1" t="n"/>
    </row>
    <row r="779" ht="16.5" customHeight="1" s="220">
      <c r="A779" s="1" t="n"/>
      <c r="B779" s="1" t="n"/>
      <c r="C779" s="2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  <c r="AR779" s="1" t="n"/>
      <c r="AS779" s="1" t="n"/>
      <c r="AT779" s="1" t="n"/>
      <c r="AU779" s="1" t="n"/>
      <c r="AV779" s="1" t="n"/>
      <c r="AW779" s="1" t="n"/>
      <c r="AX779" s="1" t="n"/>
      <c r="AY779" s="1" t="n"/>
      <c r="AZ779" s="1" t="n"/>
      <c r="BA779" s="1" t="n"/>
    </row>
    <row r="780" ht="16.5" customHeight="1" s="220">
      <c r="A780" s="1" t="n"/>
      <c r="B780" s="1" t="n"/>
      <c r="C780" s="2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  <c r="AR780" s="1" t="n"/>
      <c r="AS780" s="1" t="n"/>
      <c r="AT780" s="1" t="n"/>
      <c r="AU780" s="1" t="n"/>
      <c r="AV780" s="1" t="n"/>
      <c r="AW780" s="1" t="n"/>
      <c r="AX780" s="1" t="n"/>
      <c r="AY780" s="1" t="n"/>
      <c r="AZ780" s="1" t="n"/>
      <c r="BA780" s="1" t="n"/>
    </row>
    <row r="781" ht="16.5" customHeight="1" s="220">
      <c r="A781" s="1" t="n"/>
      <c r="B781" s="1" t="n"/>
      <c r="C781" s="2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  <c r="AR781" s="1" t="n"/>
      <c r="AS781" s="1" t="n"/>
      <c r="AT781" s="1" t="n"/>
      <c r="AU781" s="1" t="n"/>
      <c r="AV781" s="1" t="n"/>
      <c r="AW781" s="1" t="n"/>
      <c r="AX781" s="1" t="n"/>
      <c r="AY781" s="1" t="n"/>
      <c r="AZ781" s="1" t="n"/>
      <c r="BA781" s="1" t="n"/>
    </row>
    <row r="782" ht="16.5" customHeight="1" s="220">
      <c r="A782" s="1" t="n"/>
      <c r="B782" s="1" t="n"/>
      <c r="C782" s="2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  <c r="AR782" s="1" t="n"/>
      <c r="AS782" s="1" t="n"/>
      <c r="AT782" s="1" t="n"/>
      <c r="AU782" s="1" t="n"/>
      <c r="AV782" s="1" t="n"/>
      <c r="AW782" s="1" t="n"/>
      <c r="AX782" s="1" t="n"/>
      <c r="AY782" s="1" t="n"/>
      <c r="AZ782" s="1" t="n"/>
      <c r="BA782" s="1" t="n"/>
    </row>
    <row r="783" ht="16.5" customHeight="1" s="220">
      <c r="A783" s="1" t="n"/>
      <c r="B783" s="1" t="n"/>
      <c r="C783" s="2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  <c r="AR783" s="1" t="n"/>
      <c r="AS783" s="1" t="n"/>
      <c r="AT783" s="1" t="n"/>
      <c r="AU783" s="1" t="n"/>
      <c r="AV783" s="1" t="n"/>
      <c r="AW783" s="1" t="n"/>
      <c r="AX783" s="1" t="n"/>
      <c r="AY783" s="1" t="n"/>
      <c r="AZ783" s="1" t="n"/>
      <c r="BA783" s="1" t="n"/>
    </row>
    <row r="784" ht="16.5" customHeight="1" s="220">
      <c r="A784" s="1" t="n"/>
      <c r="B784" s="1" t="n"/>
      <c r="C784" s="2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  <c r="AR784" s="1" t="n"/>
      <c r="AS784" s="1" t="n"/>
      <c r="AT784" s="1" t="n"/>
      <c r="AU784" s="1" t="n"/>
      <c r="AV784" s="1" t="n"/>
      <c r="AW784" s="1" t="n"/>
      <c r="AX784" s="1" t="n"/>
      <c r="AY784" s="1" t="n"/>
      <c r="AZ784" s="1" t="n"/>
      <c r="BA784" s="1" t="n"/>
    </row>
    <row r="785" ht="16.5" customHeight="1" s="220">
      <c r="A785" s="1" t="n"/>
      <c r="B785" s="1" t="n"/>
      <c r="C785" s="2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  <c r="AR785" s="1" t="n"/>
      <c r="AS785" s="1" t="n"/>
      <c r="AT785" s="1" t="n"/>
      <c r="AU785" s="1" t="n"/>
      <c r="AV785" s="1" t="n"/>
      <c r="AW785" s="1" t="n"/>
      <c r="AX785" s="1" t="n"/>
      <c r="AY785" s="1" t="n"/>
      <c r="AZ785" s="1" t="n"/>
      <c r="BA785" s="1" t="n"/>
    </row>
    <row r="786" ht="16.5" customHeight="1" s="220">
      <c r="A786" s="1" t="n"/>
      <c r="B786" s="1" t="n"/>
      <c r="C786" s="2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  <c r="AR786" s="1" t="n"/>
      <c r="AS786" s="1" t="n"/>
      <c r="AT786" s="1" t="n"/>
      <c r="AU786" s="1" t="n"/>
      <c r="AV786" s="1" t="n"/>
      <c r="AW786" s="1" t="n"/>
      <c r="AX786" s="1" t="n"/>
      <c r="AY786" s="1" t="n"/>
      <c r="AZ786" s="1" t="n"/>
      <c r="BA786" s="1" t="n"/>
    </row>
    <row r="787" ht="16.5" customHeight="1" s="220">
      <c r="A787" s="1" t="n"/>
      <c r="B787" s="1" t="n"/>
      <c r="C787" s="2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  <c r="AR787" s="1" t="n"/>
      <c r="AS787" s="1" t="n"/>
      <c r="AT787" s="1" t="n"/>
      <c r="AU787" s="1" t="n"/>
      <c r="AV787" s="1" t="n"/>
      <c r="AW787" s="1" t="n"/>
      <c r="AX787" s="1" t="n"/>
      <c r="AY787" s="1" t="n"/>
      <c r="AZ787" s="1" t="n"/>
      <c r="BA787" s="1" t="n"/>
    </row>
    <row r="788" ht="16.5" customHeight="1" s="220">
      <c r="A788" s="1" t="n"/>
      <c r="B788" s="1" t="n"/>
      <c r="C788" s="2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  <c r="AR788" s="1" t="n"/>
      <c r="AS788" s="1" t="n"/>
      <c r="AT788" s="1" t="n"/>
      <c r="AU788" s="1" t="n"/>
      <c r="AV788" s="1" t="n"/>
      <c r="AW788" s="1" t="n"/>
      <c r="AX788" s="1" t="n"/>
      <c r="AY788" s="1" t="n"/>
      <c r="AZ788" s="1" t="n"/>
      <c r="BA788" s="1" t="n"/>
    </row>
    <row r="789" ht="16.5" customHeight="1" s="220">
      <c r="A789" s="1" t="n"/>
      <c r="B789" s="1" t="n"/>
      <c r="C789" s="2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  <c r="AR789" s="1" t="n"/>
      <c r="AS789" s="1" t="n"/>
      <c r="AT789" s="1" t="n"/>
      <c r="AU789" s="1" t="n"/>
      <c r="AV789" s="1" t="n"/>
      <c r="AW789" s="1" t="n"/>
      <c r="AX789" s="1" t="n"/>
      <c r="AY789" s="1" t="n"/>
      <c r="AZ789" s="1" t="n"/>
      <c r="BA789" s="1" t="n"/>
    </row>
    <row r="790" ht="16.5" customHeight="1" s="220">
      <c r="A790" s="1" t="n"/>
      <c r="B790" s="1" t="n"/>
      <c r="C790" s="2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Q790" s="1" t="n"/>
      <c r="AR790" s="1" t="n"/>
      <c r="AS790" s="1" t="n"/>
      <c r="AT790" s="1" t="n"/>
      <c r="AU790" s="1" t="n"/>
      <c r="AV790" s="1" t="n"/>
      <c r="AW790" s="1" t="n"/>
      <c r="AX790" s="1" t="n"/>
      <c r="AY790" s="1" t="n"/>
      <c r="AZ790" s="1" t="n"/>
      <c r="BA790" s="1" t="n"/>
    </row>
    <row r="791" ht="16.5" customHeight="1" s="220">
      <c r="A791" s="1" t="n"/>
      <c r="B791" s="1" t="n"/>
      <c r="C791" s="2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  <c r="AR791" s="1" t="n"/>
      <c r="AS791" s="1" t="n"/>
      <c r="AT791" s="1" t="n"/>
      <c r="AU791" s="1" t="n"/>
      <c r="AV791" s="1" t="n"/>
      <c r="AW791" s="1" t="n"/>
      <c r="AX791" s="1" t="n"/>
      <c r="AY791" s="1" t="n"/>
      <c r="AZ791" s="1" t="n"/>
      <c r="BA791" s="1" t="n"/>
    </row>
    <row r="792" ht="16.5" customHeight="1" s="220">
      <c r="A792" s="1" t="n"/>
      <c r="B792" s="1" t="n"/>
      <c r="C792" s="2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  <c r="AR792" s="1" t="n"/>
      <c r="AS792" s="1" t="n"/>
      <c r="AT792" s="1" t="n"/>
      <c r="AU792" s="1" t="n"/>
      <c r="AV792" s="1" t="n"/>
      <c r="AW792" s="1" t="n"/>
      <c r="AX792" s="1" t="n"/>
      <c r="AY792" s="1" t="n"/>
      <c r="AZ792" s="1" t="n"/>
      <c r="BA792" s="1" t="n"/>
    </row>
    <row r="793" ht="16.5" customHeight="1" s="220">
      <c r="A793" s="1" t="n"/>
      <c r="B793" s="1" t="n"/>
      <c r="C793" s="2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  <c r="AR793" s="1" t="n"/>
      <c r="AS793" s="1" t="n"/>
      <c r="AT793" s="1" t="n"/>
      <c r="AU793" s="1" t="n"/>
      <c r="AV793" s="1" t="n"/>
      <c r="AW793" s="1" t="n"/>
      <c r="AX793" s="1" t="n"/>
      <c r="AY793" s="1" t="n"/>
      <c r="AZ793" s="1" t="n"/>
      <c r="BA793" s="1" t="n"/>
    </row>
    <row r="794" ht="16.5" customHeight="1" s="220">
      <c r="A794" s="1" t="n"/>
      <c r="B794" s="1" t="n"/>
      <c r="C794" s="2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  <c r="AR794" s="1" t="n"/>
      <c r="AS794" s="1" t="n"/>
      <c r="AT794" s="1" t="n"/>
      <c r="AU794" s="1" t="n"/>
      <c r="AV794" s="1" t="n"/>
      <c r="AW794" s="1" t="n"/>
      <c r="AX794" s="1" t="n"/>
      <c r="AY794" s="1" t="n"/>
      <c r="AZ794" s="1" t="n"/>
      <c r="BA794" s="1" t="n"/>
    </row>
    <row r="795" ht="16.5" customHeight="1" s="220">
      <c r="A795" s="1" t="n"/>
      <c r="B795" s="1" t="n"/>
      <c r="C795" s="2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  <c r="AR795" s="1" t="n"/>
      <c r="AS795" s="1" t="n"/>
      <c r="AT795" s="1" t="n"/>
      <c r="AU795" s="1" t="n"/>
      <c r="AV795" s="1" t="n"/>
      <c r="AW795" s="1" t="n"/>
      <c r="AX795" s="1" t="n"/>
      <c r="AY795" s="1" t="n"/>
      <c r="AZ795" s="1" t="n"/>
      <c r="BA795" s="1" t="n"/>
    </row>
    <row r="796" ht="16.5" customHeight="1" s="220">
      <c r="A796" s="1" t="n"/>
      <c r="B796" s="1" t="n"/>
      <c r="C796" s="2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  <c r="AR796" s="1" t="n"/>
      <c r="AS796" s="1" t="n"/>
      <c r="AT796" s="1" t="n"/>
      <c r="AU796" s="1" t="n"/>
      <c r="AV796" s="1" t="n"/>
      <c r="AW796" s="1" t="n"/>
      <c r="AX796" s="1" t="n"/>
      <c r="AY796" s="1" t="n"/>
      <c r="AZ796" s="1" t="n"/>
      <c r="BA796" s="1" t="n"/>
    </row>
    <row r="797" ht="16.5" customHeight="1" s="220">
      <c r="A797" s="1" t="n"/>
      <c r="B797" s="1" t="n"/>
      <c r="C797" s="2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  <c r="AR797" s="1" t="n"/>
      <c r="AS797" s="1" t="n"/>
      <c r="AT797" s="1" t="n"/>
      <c r="AU797" s="1" t="n"/>
      <c r="AV797" s="1" t="n"/>
      <c r="AW797" s="1" t="n"/>
      <c r="AX797" s="1" t="n"/>
      <c r="AY797" s="1" t="n"/>
      <c r="AZ797" s="1" t="n"/>
      <c r="BA797" s="1" t="n"/>
    </row>
    <row r="798" ht="16.5" customHeight="1" s="220">
      <c r="A798" s="1" t="n"/>
      <c r="B798" s="1" t="n"/>
      <c r="C798" s="2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  <c r="AR798" s="1" t="n"/>
      <c r="AS798" s="1" t="n"/>
      <c r="AT798" s="1" t="n"/>
      <c r="AU798" s="1" t="n"/>
      <c r="AV798" s="1" t="n"/>
      <c r="AW798" s="1" t="n"/>
      <c r="AX798" s="1" t="n"/>
      <c r="AY798" s="1" t="n"/>
      <c r="AZ798" s="1" t="n"/>
      <c r="BA798" s="1" t="n"/>
    </row>
    <row r="799" ht="16.5" customHeight="1" s="220">
      <c r="A799" s="1" t="n"/>
      <c r="B799" s="1" t="n"/>
      <c r="C799" s="2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  <c r="AR799" s="1" t="n"/>
      <c r="AS799" s="1" t="n"/>
      <c r="AT799" s="1" t="n"/>
      <c r="AU799" s="1" t="n"/>
      <c r="AV799" s="1" t="n"/>
      <c r="AW799" s="1" t="n"/>
      <c r="AX799" s="1" t="n"/>
      <c r="AY799" s="1" t="n"/>
      <c r="AZ799" s="1" t="n"/>
      <c r="BA799" s="1" t="n"/>
    </row>
    <row r="800" ht="16.5" customHeight="1" s="220">
      <c r="A800" s="1" t="n"/>
      <c r="B800" s="1" t="n"/>
      <c r="C800" s="2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  <c r="AR800" s="1" t="n"/>
      <c r="AS800" s="1" t="n"/>
      <c r="AT800" s="1" t="n"/>
      <c r="AU800" s="1" t="n"/>
      <c r="AV800" s="1" t="n"/>
      <c r="AW800" s="1" t="n"/>
      <c r="AX800" s="1" t="n"/>
      <c r="AY800" s="1" t="n"/>
      <c r="AZ800" s="1" t="n"/>
      <c r="BA800" s="1" t="n"/>
    </row>
    <row r="801" ht="16.5" customHeight="1" s="220">
      <c r="A801" s="1" t="n"/>
      <c r="B801" s="1" t="n"/>
      <c r="C801" s="2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  <c r="AR801" s="1" t="n"/>
      <c r="AS801" s="1" t="n"/>
      <c r="AT801" s="1" t="n"/>
      <c r="AU801" s="1" t="n"/>
      <c r="AV801" s="1" t="n"/>
      <c r="AW801" s="1" t="n"/>
      <c r="AX801" s="1" t="n"/>
      <c r="AY801" s="1" t="n"/>
      <c r="AZ801" s="1" t="n"/>
      <c r="BA801" s="1" t="n"/>
    </row>
    <row r="802" ht="16.5" customHeight="1" s="220">
      <c r="A802" s="1" t="n"/>
      <c r="B802" s="1" t="n"/>
      <c r="C802" s="2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  <c r="AR802" s="1" t="n"/>
      <c r="AS802" s="1" t="n"/>
      <c r="AT802" s="1" t="n"/>
      <c r="AU802" s="1" t="n"/>
      <c r="AV802" s="1" t="n"/>
      <c r="AW802" s="1" t="n"/>
      <c r="AX802" s="1" t="n"/>
      <c r="AY802" s="1" t="n"/>
      <c r="AZ802" s="1" t="n"/>
      <c r="BA802" s="1" t="n"/>
    </row>
    <row r="803" ht="16.5" customHeight="1" s="220">
      <c r="A803" s="1" t="n"/>
      <c r="B803" s="1" t="n"/>
      <c r="C803" s="2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  <c r="AR803" s="1" t="n"/>
      <c r="AS803" s="1" t="n"/>
      <c r="AT803" s="1" t="n"/>
      <c r="AU803" s="1" t="n"/>
      <c r="AV803" s="1" t="n"/>
      <c r="AW803" s="1" t="n"/>
      <c r="AX803" s="1" t="n"/>
      <c r="AY803" s="1" t="n"/>
      <c r="AZ803" s="1" t="n"/>
      <c r="BA803" s="1" t="n"/>
    </row>
    <row r="804" ht="16.5" customHeight="1" s="220">
      <c r="A804" s="1" t="n"/>
      <c r="B804" s="1" t="n"/>
      <c r="C804" s="2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  <c r="AR804" s="1" t="n"/>
      <c r="AS804" s="1" t="n"/>
      <c r="AT804" s="1" t="n"/>
      <c r="AU804" s="1" t="n"/>
      <c r="AV804" s="1" t="n"/>
      <c r="AW804" s="1" t="n"/>
      <c r="AX804" s="1" t="n"/>
      <c r="AY804" s="1" t="n"/>
      <c r="AZ804" s="1" t="n"/>
      <c r="BA804" s="1" t="n"/>
    </row>
    <row r="805" ht="16.5" customHeight="1" s="220">
      <c r="A805" s="1" t="n"/>
      <c r="B805" s="1" t="n"/>
      <c r="C805" s="2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  <c r="AR805" s="1" t="n"/>
      <c r="AS805" s="1" t="n"/>
      <c r="AT805" s="1" t="n"/>
      <c r="AU805" s="1" t="n"/>
      <c r="AV805" s="1" t="n"/>
      <c r="AW805" s="1" t="n"/>
      <c r="AX805" s="1" t="n"/>
      <c r="AY805" s="1" t="n"/>
      <c r="AZ805" s="1" t="n"/>
      <c r="BA805" s="1" t="n"/>
    </row>
    <row r="806" ht="16.5" customHeight="1" s="220">
      <c r="A806" s="1" t="n"/>
      <c r="B806" s="1" t="n"/>
      <c r="C806" s="2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Q806" s="1" t="n"/>
      <c r="AR806" s="1" t="n"/>
      <c r="AS806" s="1" t="n"/>
      <c r="AT806" s="1" t="n"/>
      <c r="AU806" s="1" t="n"/>
      <c r="AV806" s="1" t="n"/>
      <c r="AW806" s="1" t="n"/>
      <c r="AX806" s="1" t="n"/>
      <c r="AY806" s="1" t="n"/>
      <c r="AZ806" s="1" t="n"/>
      <c r="BA806" s="1" t="n"/>
    </row>
    <row r="807" ht="16.5" customHeight="1" s="220">
      <c r="A807" s="1" t="n"/>
      <c r="B807" s="1" t="n"/>
      <c r="C807" s="2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  <c r="AR807" s="1" t="n"/>
      <c r="AS807" s="1" t="n"/>
      <c r="AT807" s="1" t="n"/>
      <c r="AU807" s="1" t="n"/>
      <c r="AV807" s="1" t="n"/>
      <c r="AW807" s="1" t="n"/>
      <c r="AX807" s="1" t="n"/>
      <c r="AY807" s="1" t="n"/>
      <c r="AZ807" s="1" t="n"/>
      <c r="BA807" s="1" t="n"/>
    </row>
    <row r="808" ht="16.5" customHeight="1" s="220">
      <c r="A808" s="1" t="n"/>
      <c r="B808" s="1" t="n"/>
      <c r="C808" s="2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  <c r="AR808" s="1" t="n"/>
      <c r="AS808" s="1" t="n"/>
      <c r="AT808" s="1" t="n"/>
      <c r="AU808" s="1" t="n"/>
      <c r="AV808" s="1" t="n"/>
      <c r="AW808" s="1" t="n"/>
      <c r="AX808" s="1" t="n"/>
      <c r="AY808" s="1" t="n"/>
      <c r="AZ808" s="1" t="n"/>
      <c r="BA808" s="1" t="n"/>
    </row>
    <row r="809" ht="16.5" customHeight="1" s="220">
      <c r="A809" s="1" t="n"/>
      <c r="B809" s="1" t="n"/>
      <c r="C809" s="2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  <c r="AR809" s="1" t="n"/>
      <c r="AS809" s="1" t="n"/>
      <c r="AT809" s="1" t="n"/>
      <c r="AU809" s="1" t="n"/>
      <c r="AV809" s="1" t="n"/>
      <c r="AW809" s="1" t="n"/>
      <c r="AX809" s="1" t="n"/>
      <c r="AY809" s="1" t="n"/>
      <c r="AZ809" s="1" t="n"/>
      <c r="BA809" s="1" t="n"/>
    </row>
    <row r="810" ht="16.5" customHeight="1" s="220">
      <c r="A810" s="1" t="n"/>
      <c r="B810" s="1" t="n"/>
      <c r="C810" s="2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  <c r="AR810" s="1" t="n"/>
      <c r="AS810" s="1" t="n"/>
      <c r="AT810" s="1" t="n"/>
      <c r="AU810" s="1" t="n"/>
      <c r="AV810" s="1" t="n"/>
      <c r="AW810" s="1" t="n"/>
      <c r="AX810" s="1" t="n"/>
      <c r="AY810" s="1" t="n"/>
      <c r="AZ810" s="1" t="n"/>
      <c r="BA810" s="1" t="n"/>
    </row>
    <row r="811" ht="16.5" customHeight="1" s="220">
      <c r="A811" s="1" t="n"/>
      <c r="B811" s="1" t="n"/>
      <c r="C811" s="2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  <c r="AR811" s="1" t="n"/>
      <c r="AS811" s="1" t="n"/>
      <c r="AT811" s="1" t="n"/>
      <c r="AU811" s="1" t="n"/>
      <c r="AV811" s="1" t="n"/>
      <c r="AW811" s="1" t="n"/>
      <c r="AX811" s="1" t="n"/>
      <c r="AY811" s="1" t="n"/>
      <c r="AZ811" s="1" t="n"/>
      <c r="BA811" s="1" t="n"/>
    </row>
    <row r="812" ht="16.5" customHeight="1" s="220">
      <c r="A812" s="1" t="n"/>
      <c r="B812" s="1" t="n"/>
      <c r="C812" s="2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  <c r="AR812" s="1" t="n"/>
      <c r="AS812" s="1" t="n"/>
      <c r="AT812" s="1" t="n"/>
      <c r="AU812" s="1" t="n"/>
      <c r="AV812" s="1" t="n"/>
      <c r="AW812" s="1" t="n"/>
      <c r="AX812" s="1" t="n"/>
      <c r="AY812" s="1" t="n"/>
      <c r="AZ812" s="1" t="n"/>
      <c r="BA812" s="1" t="n"/>
    </row>
    <row r="813" ht="16.5" customHeight="1" s="220">
      <c r="A813" s="1" t="n"/>
      <c r="B813" s="1" t="n"/>
      <c r="C813" s="2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  <c r="AR813" s="1" t="n"/>
      <c r="AS813" s="1" t="n"/>
      <c r="AT813" s="1" t="n"/>
      <c r="AU813" s="1" t="n"/>
      <c r="AV813" s="1" t="n"/>
      <c r="AW813" s="1" t="n"/>
      <c r="AX813" s="1" t="n"/>
      <c r="AY813" s="1" t="n"/>
      <c r="AZ813" s="1" t="n"/>
      <c r="BA813" s="1" t="n"/>
    </row>
    <row r="814" ht="16.5" customHeight="1" s="220">
      <c r="A814" s="1" t="n"/>
      <c r="B814" s="1" t="n"/>
      <c r="C814" s="2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  <c r="AR814" s="1" t="n"/>
      <c r="AS814" s="1" t="n"/>
      <c r="AT814" s="1" t="n"/>
      <c r="AU814" s="1" t="n"/>
      <c r="AV814" s="1" t="n"/>
      <c r="AW814" s="1" t="n"/>
      <c r="AX814" s="1" t="n"/>
      <c r="AY814" s="1" t="n"/>
      <c r="AZ814" s="1" t="n"/>
      <c r="BA814" s="1" t="n"/>
    </row>
    <row r="815" ht="16.5" customHeight="1" s="220">
      <c r="A815" s="1" t="n"/>
      <c r="B815" s="1" t="n"/>
      <c r="C815" s="2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  <c r="AR815" s="1" t="n"/>
      <c r="AS815" s="1" t="n"/>
      <c r="AT815" s="1" t="n"/>
      <c r="AU815" s="1" t="n"/>
      <c r="AV815" s="1" t="n"/>
      <c r="AW815" s="1" t="n"/>
      <c r="AX815" s="1" t="n"/>
      <c r="AY815" s="1" t="n"/>
      <c r="AZ815" s="1" t="n"/>
      <c r="BA815" s="1" t="n"/>
    </row>
    <row r="816" ht="16.5" customHeight="1" s="220">
      <c r="A816" s="1" t="n"/>
      <c r="B816" s="1" t="n"/>
      <c r="C816" s="2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  <c r="AR816" s="1" t="n"/>
      <c r="AS816" s="1" t="n"/>
      <c r="AT816" s="1" t="n"/>
      <c r="AU816" s="1" t="n"/>
      <c r="AV816" s="1" t="n"/>
      <c r="AW816" s="1" t="n"/>
      <c r="AX816" s="1" t="n"/>
      <c r="AY816" s="1" t="n"/>
      <c r="AZ816" s="1" t="n"/>
      <c r="BA816" s="1" t="n"/>
    </row>
    <row r="817" ht="16.5" customHeight="1" s="220">
      <c r="A817" s="1" t="n"/>
      <c r="B817" s="1" t="n"/>
      <c r="C817" s="2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  <c r="AR817" s="1" t="n"/>
      <c r="AS817" s="1" t="n"/>
      <c r="AT817" s="1" t="n"/>
      <c r="AU817" s="1" t="n"/>
      <c r="AV817" s="1" t="n"/>
      <c r="AW817" s="1" t="n"/>
      <c r="AX817" s="1" t="n"/>
      <c r="AY817" s="1" t="n"/>
      <c r="AZ817" s="1" t="n"/>
      <c r="BA817" s="1" t="n"/>
    </row>
    <row r="818" ht="16.5" customHeight="1" s="220">
      <c r="A818" s="1" t="n"/>
      <c r="B818" s="1" t="n"/>
      <c r="C818" s="2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Q818" s="1" t="n"/>
      <c r="AR818" s="1" t="n"/>
      <c r="AS818" s="1" t="n"/>
      <c r="AT818" s="1" t="n"/>
      <c r="AU818" s="1" t="n"/>
      <c r="AV818" s="1" t="n"/>
      <c r="AW818" s="1" t="n"/>
      <c r="AX818" s="1" t="n"/>
      <c r="AY818" s="1" t="n"/>
      <c r="AZ818" s="1" t="n"/>
      <c r="BA818" s="1" t="n"/>
    </row>
    <row r="819" ht="16.5" customHeight="1" s="220">
      <c r="A819" s="1" t="n"/>
      <c r="B819" s="1" t="n"/>
      <c r="C819" s="2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  <c r="AR819" s="1" t="n"/>
      <c r="AS819" s="1" t="n"/>
      <c r="AT819" s="1" t="n"/>
      <c r="AU819" s="1" t="n"/>
      <c r="AV819" s="1" t="n"/>
      <c r="AW819" s="1" t="n"/>
      <c r="AX819" s="1" t="n"/>
      <c r="AY819" s="1" t="n"/>
      <c r="AZ819" s="1" t="n"/>
      <c r="BA819" s="1" t="n"/>
    </row>
    <row r="820" ht="16.5" customHeight="1" s="220">
      <c r="A820" s="1" t="n"/>
      <c r="B820" s="1" t="n"/>
      <c r="C820" s="2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  <c r="AR820" s="1" t="n"/>
      <c r="AS820" s="1" t="n"/>
      <c r="AT820" s="1" t="n"/>
      <c r="AU820" s="1" t="n"/>
      <c r="AV820" s="1" t="n"/>
      <c r="AW820" s="1" t="n"/>
      <c r="AX820" s="1" t="n"/>
      <c r="AY820" s="1" t="n"/>
      <c r="AZ820" s="1" t="n"/>
      <c r="BA820" s="1" t="n"/>
    </row>
    <row r="821" ht="16.5" customHeight="1" s="220">
      <c r="A821" s="1" t="n"/>
      <c r="B821" s="1" t="n"/>
      <c r="C821" s="2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  <c r="AR821" s="1" t="n"/>
      <c r="AS821" s="1" t="n"/>
      <c r="AT821" s="1" t="n"/>
      <c r="AU821" s="1" t="n"/>
      <c r="AV821" s="1" t="n"/>
      <c r="AW821" s="1" t="n"/>
      <c r="AX821" s="1" t="n"/>
      <c r="AY821" s="1" t="n"/>
      <c r="AZ821" s="1" t="n"/>
      <c r="BA821" s="1" t="n"/>
    </row>
    <row r="822" ht="16.5" customHeight="1" s="220">
      <c r="A822" s="1" t="n"/>
      <c r="B822" s="1" t="n"/>
      <c r="C822" s="2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  <c r="AR822" s="1" t="n"/>
      <c r="AS822" s="1" t="n"/>
      <c r="AT822" s="1" t="n"/>
      <c r="AU822" s="1" t="n"/>
      <c r="AV822" s="1" t="n"/>
      <c r="AW822" s="1" t="n"/>
      <c r="AX822" s="1" t="n"/>
      <c r="AY822" s="1" t="n"/>
      <c r="AZ822" s="1" t="n"/>
      <c r="BA822" s="1" t="n"/>
    </row>
    <row r="823" ht="16.5" customHeight="1" s="220">
      <c r="A823" s="1" t="n"/>
      <c r="B823" s="1" t="n"/>
      <c r="C823" s="2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  <c r="AR823" s="1" t="n"/>
      <c r="AS823" s="1" t="n"/>
      <c r="AT823" s="1" t="n"/>
      <c r="AU823" s="1" t="n"/>
      <c r="AV823" s="1" t="n"/>
      <c r="AW823" s="1" t="n"/>
      <c r="AX823" s="1" t="n"/>
      <c r="AY823" s="1" t="n"/>
      <c r="AZ823" s="1" t="n"/>
      <c r="BA823" s="1" t="n"/>
    </row>
    <row r="824" ht="16.5" customHeight="1" s="220">
      <c r="A824" s="1" t="n"/>
      <c r="B824" s="1" t="n"/>
      <c r="C824" s="2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  <c r="AR824" s="1" t="n"/>
      <c r="AS824" s="1" t="n"/>
      <c r="AT824" s="1" t="n"/>
      <c r="AU824" s="1" t="n"/>
      <c r="AV824" s="1" t="n"/>
      <c r="AW824" s="1" t="n"/>
      <c r="AX824" s="1" t="n"/>
      <c r="AY824" s="1" t="n"/>
      <c r="AZ824" s="1" t="n"/>
      <c r="BA824" s="1" t="n"/>
    </row>
    <row r="825" ht="16.5" customHeight="1" s="220">
      <c r="A825" s="1" t="n"/>
      <c r="B825" s="1" t="n"/>
      <c r="C825" s="2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  <c r="AR825" s="1" t="n"/>
      <c r="AS825" s="1" t="n"/>
      <c r="AT825" s="1" t="n"/>
      <c r="AU825" s="1" t="n"/>
      <c r="AV825" s="1" t="n"/>
      <c r="AW825" s="1" t="n"/>
      <c r="AX825" s="1" t="n"/>
      <c r="AY825" s="1" t="n"/>
      <c r="AZ825" s="1" t="n"/>
      <c r="BA825" s="1" t="n"/>
    </row>
    <row r="826" ht="16.5" customHeight="1" s="220">
      <c r="A826" s="1" t="n"/>
      <c r="B826" s="1" t="n"/>
      <c r="C826" s="2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  <c r="AR826" s="1" t="n"/>
      <c r="AS826" s="1" t="n"/>
      <c r="AT826" s="1" t="n"/>
      <c r="AU826" s="1" t="n"/>
      <c r="AV826" s="1" t="n"/>
      <c r="AW826" s="1" t="n"/>
      <c r="AX826" s="1" t="n"/>
      <c r="AY826" s="1" t="n"/>
      <c r="AZ826" s="1" t="n"/>
      <c r="BA826" s="1" t="n"/>
    </row>
    <row r="827" ht="16.5" customHeight="1" s="220">
      <c r="A827" s="1" t="n"/>
      <c r="B827" s="1" t="n"/>
      <c r="C827" s="2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  <c r="AR827" s="1" t="n"/>
      <c r="AS827" s="1" t="n"/>
      <c r="AT827" s="1" t="n"/>
      <c r="AU827" s="1" t="n"/>
      <c r="AV827" s="1" t="n"/>
      <c r="AW827" s="1" t="n"/>
      <c r="AX827" s="1" t="n"/>
      <c r="AY827" s="1" t="n"/>
      <c r="AZ827" s="1" t="n"/>
      <c r="BA827" s="1" t="n"/>
    </row>
    <row r="828" ht="16.5" customHeight="1" s="220">
      <c r="A828" s="1" t="n"/>
      <c r="B828" s="1" t="n"/>
      <c r="C828" s="2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Q828" s="1" t="n"/>
      <c r="AR828" s="1" t="n"/>
      <c r="AS828" s="1" t="n"/>
      <c r="AT828" s="1" t="n"/>
      <c r="AU828" s="1" t="n"/>
      <c r="AV828" s="1" t="n"/>
      <c r="AW828" s="1" t="n"/>
      <c r="AX828" s="1" t="n"/>
      <c r="AY828" s="1" t="n"/>
      <c r="AZ828" s="1" t="n"/>
      <c r="BA828" s="1" t="n"/>
    </row>
    <row r="829" ht="16.5" customHeight="1" s="220">
      <c r="A829" s="1" t="n"/>
      <c r="B829" s="1" t="n"/>
      <c r="C829" s="2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  <c r="AR829" s="1" t="n"/>
      <c r="AS829" s="1" t="n"/>
      <c r="AT829" s="1" t="n"/>
      <c r="AU829" s="1" t="n"/>
      <c r="AV829" s="1" t="n"/>
      <c r="AW829" s="1" t="n"/>
      <c r="AX829" s="1" t="n"/>
      <c r="AY829" s="1" t="n"/>
      <c r="AZ829" s="1" t="n"/>
      <c r="BA829" s="1" t="n"/>
    </row>
    <row r="830" ht="16.5" customHeight="1" s="220">
      <c r="A830" s="1" t="n"/>
      <c r="B830" s="1" t="n"/>
      <c r="C830" s="2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  <c r="AR830" s="1" t="n"/>
      <c r="AS830" s="1" t="n"/>
      <c r="AT830" s="1" t="n"/>
      <c r="AU830" s="1" t="n"/>
      <c r="AV830" s="1" t="n"/>
      <c r="AW830" s="1" t="n"/>
      <c r="AX830" s="1" t="n"/>
      <c r="AY830" s="1" t="n"/>
      <c r="AZ830" s="1" t="n"/>
      <c r="BA830" s="1" t="n"/>
    </row>
    <row r="831" ht="16.5" customHeight="1" s="220">
      <c r="A831" s="1" t="n"/>
      <c r="B831" s="1" t="n"/>
      <c r="C831" s="2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  <c r="AR831" s="1" t="n"/>
      <c r="AS831" s="1" t="n"/>
      <c r="AT831" s="1" t="n"/>
      <c r="AU831" s="1" t="n"/>
      <c r="AV831" s="1" t="n"/>
      <c r="AW831" s="1" t="n"/>
      <c r="AX831" s="1" t="n"/>
      <c r="AY831" s="1" t="n"/>
      <c r="AZ831" s="1" t="n"/>
      <c r="BA831" s="1" t="n"/>
    </row>
    <row r="832" ht="16.5" customHeight="1" s="220">
      <c r="A832" s="1" t="n"/>
      <c r="B832" s="1" t="n"/>
      <c r="C832" s="2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  <c r="AR832" s="1" t="n"/>
      <c r="AS832" s="1" t="n"/>
      <c r="AT832" s="1" t="n"/>
      <c r="AU832" s="1" t="n"/>
      <c r="AV832" s="1" t="n"/>
      <c r="AW832" s="1" t="n"/>
      <c r="AX832" s="1" t="n"/>
      <c r="AY832" s="1" t="n"/>
      <c r="AZ832" s="1" t="n"/>
      <c r="BA832" s="1" t="n"/>
    </row>
    <row r="833" ht="16.5" customHeight="1" s="220">
      <c r="A833" s="1" t="n"/>
      <c r="B833" s="1" t="n"/>
      <c r="C833" s="2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  <c r="AR833" s="1" t="n"/>
      <c r="AS833" s="1" t="n"/>
      <c r="AT833" s="1" t="n"/>
      <c r="AU833" s="1" t="n"/>
      <c r="AV833" s="1" t="n"/>
      <c r="AW833" s="1" t="n"/>
      <c r="AX833" s="1" t="n"/>
      <c r="AY833" s="1" t="n"/>
      <c r="AZ833" s="1" t="n"/>
      <c r="BA833" s="1" t="n"/>
    </row>
    <row r="834" ht="16.5" customHeight="1" s="220">
      <c r="A834" s="1" t="n"/>
      <c r="B834" s="1" t="n"/>
      <c r="C834" s="2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  <c r="AR834" s="1" t="n"/>
      <c r="AS834" s="1" t="n"/>
      <c r="AT834" s="1" t="n"/>
      <c r="AU834" s="1" t="n"/>
      <c r="AV834" s="1" t="n"/>
      <c r="AW834" s="1" t="n"/>
      <c r="AX834" s="1" t="n"/>
      <c r="AY834" s="1" t="n"/>
      <c r="AZ834" s="1" t="n"/>
      <c r="BA834" s="1" t="n"/>
    </row>
    <row r="835" ht="16.5" customHeight="1" s="220">
      <c r="A835" s="1" t="n"/>
      <c r="B835" s="1" t="n"/>
      <c r="C835" s="2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  <c r="AR835" s="1" t="n"/>
      <c r="AS835" s="1" t="n"/>
      <c r="AT835" s="1" t="n"/>
      <c r="AU835" s="1" t="n"/>
      <c r="AV835" s="1" t="n"/>
      <c r="AW835" s="1" t="n"/>
      <c r="AX835" s="1" t="n"/>
      <c r="AY835" s="1" t="n"/>
      <c r="AZ835" s="1" t="n"/>
      <c r="BA835" s="1" t="n"/>
    </row>
    <row r="836" ht="16.5" customHeight="1" s="220">
      <c r="A836" s="1" t="n"/>
      <c r="B836" s="1" t="n"/>
      <c r="C836" s="2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  <c r="AR836" s="1" t="n"/>
      <c r="AS836" s="1" t="n"/>
      <c r="AT836" s="1" t="n"/>
      <c r="AU836" s="1" t="n"/>
      <c r="AV836" s="1" t="n"/>
      <c r="AW836" s="1" t="n"/>
      <c r="AX836" s="1" t="n"/>
      <c r="AY836" s="1" t="n"/>
      <c r="AZ836" s="1" t="n"/>
      <c r="BA836" s="1" t="n"/>
    </row>
    <row r="837" ht="16.5" customHeight="1" s="220">
      <c r="A837" s="1" t="n"/>
      <c r="B837" s="1" t="n"/>
      <c r="C837" s="2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  <c r="AR837" s="1" t="n"/>
      <c r="AS837" s="1" t="n"/>
      <c r="AT837" s="1" t="n"/>
      <c r="AU837" s="1" t="n"/>
      <c r="AV837" s="1" t="n"/>
      <c r="AW837" s="1" t="n"/>
      <c r="AX837" s="1" t="n"/>
      <c r="AY837" s="1" t="n"/>
      <c r="AZ837" s="1" t="n"/>
      <c r="BA837" s="1" t="n"/>
    </row>
    <row r="838" ht="16.5" customHeight="1" s="220">
      <c r="A838" s="1" t="n"/>
      <c r="B838" s="1" t="n"/>
      <c r="C838" s="2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  <c r="AR838" s="1" t="n"/>
      <c r="AS838" s="1" t="n"/>
      <c r="AT838" s="1" t="n"/>
      <c r="AU838" s="1" t="n"/>
      <c r="AV838" s="1" t="n"/>
      <c r="AW838" s="1" t="n"/>
      <c r="AX838" s="1" t="n"/>
      <c r="AY838" s="1" t="n"/>
      <c r="AZ838" s="1" t="n"/>
      <c r="BA838" s="1" t="n"/>
    </row>
    <row r="839" ht="16.5" customHeight="1" s="220">
      <c r="A839" s="1" t="n"/>
      <c r="B839" s="1" t="n"/>
      <c r="C839" s="2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  <c r="AR839" s="1" t="n"/>
      <c r="AS839" s="1" t="n"/>
      <c r="AT839" s="1" t="n"/>
      <c r="AU839" s="1" t="n"/>
      <c r="AV839" s="1" t="n"/>
      <c r="AW839" s="1" t="n"/>
      <c r="AX839" s="1" t="n"/>
      <c r="AY839" s="1" t="n"/>
      <c r="AZ839" s="1" t="n"/>
      <c r="BA839" s="1" t="n"/>
    </row>
    <row r="840" ht="16.5" customHeight="1" s="220">
      <c r="A840" s="1" t="n"/>
      <c r="B840" s="1" t="n"/>
      <c r="C840" s="2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  <c r="AR840" s="1" t="n"/>
      <c r="AS840" s="1" t="n"/>
      <c r="AT840" s="1" t="n"/>
      <c r="AU840" s="1" t="n"/>
      <c r="AV840" s="1" t="n"/>
      <c r="AW840" s="1" t="n"/>
      <c r="AX840" s="1" t="n"/>
      <c r="AY840" s="1" t="n"/>
      <c r="AZ840" s="1" t="n"/>
      <c r="BA840" s="1" t="n"/>
    </row>
    <row r="841" ht="16.5" customHeight="1" s="220">
      <c r="A841" s="1" t="n"/>
      <c r="B841" s="1" t="n"/>
      <c r="C841" s="2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  <c r="AR841" s="1" t="n"/>
      <c r="AS841" s="1" t="n"/>
      <c r="AT841" s="1" t="n"/>
      <c r="AU841" s="1" t="n"/>
      <c r="AV841" s="1" t="n"/>
      <c r="AW841" s="1" t="n"/>
      <c r="AX841" s="1" t="n"/>
      <c r="AY841" s="1" t="n"/>
      <c r="AZ841" s="1" t="n"/>
      <c r="BA841" s="1" t="n"/>
    </row>
    <row r="842" ht="16.5" customHeight="1" s="220">
      <c r="A842" s="1" t="n"/>
      <c r="B842" s="1" t="n"/>
      <c r="C842" s="2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  <c r="AR842" s="1" t="n"/>
      <c r="AS842" s="1" t="n"/>
      <c r="AT842" s="1" t="n"/>
      <c r="AU842" s="1" t="n"/>
      <c r="AV842" s="1" t="n"/>
      <c r="AW842" s="1" t="n"/>
      <c r="AX842" s="1" t="n"/>
      <c r="AY842" s="1" t="n"/>
      <c r="AZ842" s="1" t="n"/>
      <c r="BA842" s="1" t="n"/>
    </row>
    <row r="843" ht="16.5" customHeight="1" s="220">
      <c r="A843" s="1" t="n"/>
      <c r="B843" s="1" t="n"/>
      <c r="C843" s="2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  <c r="AR843" s="1" t="n"/>
      <c r="AS843" s="1" t="n"/>
      <c r="AT843" s="1" t="n"/>
      <c r="AU843" s="1" t="n"/>
      <c r="AV843" s="1" t="n"/>
      <c r="AW843" s="1" t="n"/>
      <c r="AX843" s="1" t="n"/>
      <c r="AY843" s="1" t="n"/>
      <c r="AZ843" s="1" t="n"/>
      <c r="BA843" s="1" t="n"/>
    </row>
    <row r="844" ht="16.5" customHeight="1" s="220">
      <c r="A844" s="1" t="n"/>
      <c r="B844" s="1" t="n"/>
      <c r="C844" s="2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  <c r="AR844" s="1" t="n"/>
      <c r="AS844" s="1" t="n"/>
      <c r="AT844" s="1" t="n"/>
      <c r="AU844" s="1" t="n"/>
      <c r="AV844" s="1" t="n"/>
      <c r="AW844" s="1" t="n"/>
      <c r="AX844" s="1" t="n"/>
      <c r="AY844" s="1" t="n"/>
      <c r="AZ844" s="1" t="n"/>
      <c r="BA844" s="1" t="n"/>
    </row>
    <row r="845" ht="16.5" customHeight="1" s="220">
      <c r="A845" s="1" t="n"/>
      <c r="B845" s="1" t="n"/>
      <c r="C845" s="2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  <c r="AR845" s="1" t="n"/>
      <c r="AS845" s="1" t="n"/>
      <c r="AT845" s="1" t="n"/>
      <c r="AU845" s="1" t="n"/>
      <c r="AV845" s="1" t="n"/>
      <c r="AW845" s="1" t="n"/>
      <c r="AX845" s="1" t="n"/>
      <c r="AY845" s="1" t="n"/>
      <c r="AZ845" s="1" t="n"/>
      <c r="BA845" s="1" t="n"/>
    </row>
    <row r="846" ht="16.5" customHeight="1" s="220">
      <c r="A846" s="1" t="n"/>
      <c r="B846" s="1" t="n"/>
      <c r="C846" s="2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  <c r="AR846" s="1" t="n"/>
      <c r="AS846" s="1" t="n"/>
      <c r="AT846" s="1" t="n"/>
      <c r="AU846" s="1" t="n"/>
      <c r="AV846" s="1" t="n"/>
      <c r="AW846" s="1" t="n"/>
      <c r="AX846" s="1" t="n"/>
      <c r="AY846" s="1" t="n"/>
      <c r="AZ846" s="1" t="n"/>
      <c r="BA846" s="1" t="n"/>
    </row>
    <row r="847" ht="16.5" customHeight="1" s="220">
      <c r="A847" s="1" t="n"/>
      <c r="B847" s="1" t="n"/>
      <c r="C847" s="2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  <c r="AR847" s="1" t="n"/>
      <c r="AS847" s="1" t="n"/>
      <c r="AT847" s="1" t="n"/>
      <c r="AU847" s="1" t="n"/>
      <c r="AV847" s="1" t="n"/>
      <c r="AW847" s="1" t="n"/>
      <c r="AX847" s="1" t="n"/>
      <c r="AY847" s="1" t="n"/>
      <c r="AZ847" s="1" t="n"/>
      <c r="BA847" s="1" t="n"/>
    </row>
    <row r="848" ht="16.5" customHeight="1" s="220">
      <c r="A848" s="1" t="n"/>
      <c r="B848" s="1" t="n"/>
      <c r="C848" s="2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  <c r="AR848" s="1" t="n"/>
      <c r="AS848" s="1" t="n"/>
      <c r="AT848" s="1" t="n"/>
      <c r="AU848" s="1" t="n"/>
      <c r="AV848" s="1" t="n"/>
      <c r="AW848" s="1" t="n"/>
      <c r="AX848" s="1" t="n"/>
      <c r="AY848" s="1" t="n"/>
      <c r="AZ848" s="1" t="n"/>
      <c r="BA848" s="1" t="n"/>
    </row>
    <row r="849" ht="16.5" customHeight="1" s="220">
      <c r="A849" s="1" t="n"/>
      <c r="B849" s="1" t="n"/>
      <c r="C849" s="2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  <c r="AR849" s="1" t="n"/>
      <c r="AS849" s="1" t="n"/>
      <c r="AT849" s="1" t="n"/>
      <c r="AU849" s="1" t="n"/>
      <c r="AV849" s="1" t="n"/>
      <c r="AW849" s="1" t="n"/>
      <c r="AX849" s="1" t="n"/>
      <c r="AY849" s="1" t="n"/>
      <c r="AZ849" s="1" t="n"/>
      <c r="BA849" s="1" t="n"/>
    </row>
    <row r="850" ht="16.5" customHeight="1" s="220">
      <c r="A850" s="1" t="n"/>
      <c r="B850" s="1" t="n"/>
      <c r="C850" s="2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  <c r="AR850" s="1" t="n"/>
      <c r="AS850" s="1" t="n"/>
      <c r="AT850" s="1" t="n"/>
      <c r="AU850" s="1" t="n"/>
      <c r="AV850" s="1" t="n"/>
      <c r="AW850" s="1" t="n"/>
      <c r="AX850" s="1" t="n"/>
      <c r="AY850" s="1" t="n"/>
      <c r="AZ850" s="1" t="n"/>
      <c r="BA850" s="1" t="n"/>
    </row>
    <row r="851" ht="16.5" customHeight="1" s="220">
      <c r="A851" s="1" t="n"/>
      <c r="B851" s="1" t="n"/>
      <c r="C851" s="2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  <c r="AR851" s="1" t="n"/>
      <c r="AS851" s="1" t="n"/>
      <c r="AT851" s="1" t="n"/>
      <c r="AU851" s="1" t="n"/>
      <c r="AV851" s="1" t="n"/>
      <c r="AW851" s="1" t="n"/>
      <c r="AX851" s="1" t="n"/>
      <c r="AY851" s="1" t="n"/>
      <c r="AZ851" s="1" t="n"/>
      <c r="BA851" s="1" t="n"/>
    </row>
    <row r="852" ht="16.5" customHeight="1" s="220">
      <c r="A852" s="1" t="n"/>
      <c r="B852" s="1" t="n"/>
      <c r="C852" s="2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  <c r="AR852" s="1" t="n"/>
      <c r="AS852" s="1" t="n"/>
      <c r="AT852" s="1" t="n"/>
      <c r="AU852" s="1" t="n"/>
      <c r="AV852" s="1" t="n"/>
      <c r="AW852" s="1" t="n"/>
      <c r="AX852" s="1" t="n"/>
      <c r="AY852" s="1" t="n"/>
      <c r="AZ852" s="1" t="n"/>
      <c r="BA852" s="1" t="n"/>
    </row>
    <row r="853" ht="16.5" customHeight="1" s="220">
      <c r="A853" s="1" t="n"/>
      <c r="B853" s="1" t="n"/>
      <c r="C853" s="2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  <c r="AR853" s="1" t="n"/>
      <c r="AS853" s="1" t="n"/>
      <c r="AT853" s="1" t="n"/>
      <c r="AU853" s="1" t="n"/>
      <c r="AV853" s="1" t="n"/>
      <c r="AW853" s="1" t="n"/>
      <c r="AX853" s="1" t="n"/>
      <c r="AY853" s="1" t="n"/>
      <c r="AZ853" s="1" t="n"/>
      <c r="BA853" s="1" t="n"/>
    </row>
    <row r="854" ht="16.5" customHeight="1" s="220">
      <c r="A854" s="1" t="n"/>
      <c r="B854" s="1" t="n"/>
      <c r="C854" s="2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  <c r="AR854" s="1" t="n"/>
      <c r="AS854" s="1" t="n"/>
      <c r="AT854" s="1" t="n"/>
      <c r="AU854" s="1" t="n"/>
      <c r="AV854" s="1" t="n"/>
      <c r="AW854" s="1" t="n"/>
      <c r="AX854" s="1" t="n"/>
      <c r="AY854" s="1" t="n"/>
      <c r="AZ854" s="1" t="n"/>
      <c r="BA854" s="1" t="n"/>
    </row>
    <row r="855" ht="16.5" customHeight="1" s="220">
      <c r="A855" s="1" t="n"/>
      <c r="B855" s="1" t="n"/>
      <c r="C855" s="2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  <c r="AR855" s="1" t="n"/>
      <c r="AS855" s="1" t="n"/>
      <c r="AT855" s="1" t="n"/>
      <c r="AU855" s="1" t="n"/>
      <c r="AV855" s="1" t="n"/>
      <c r="AW855" s="1" t="n"/>
      <c r="AX855" s="1" t="n"/>
      <c r="AY855" s="1" t="n"/>
      <c r="AZ855" s="1" t="n"/>
      <c r="BA855" s="1" t="n"/>
    </row>
    <row r="856" ht="16.5" customHeight="1" s="220">
      <c r="A856" s="1" t="n"/>
      <c r="B856" s="1" t="n"/>
      <c r="C856" s="2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  <c r="AR856" s="1" t="n"/>
      <c r="AS856" s="1" t="n"/>
      <c r="AT856" s="1" t="n"/>
      <c r="AU856" s="1" t="n"/>
      <c r="AV856" s="1" t="n"/>
      <c r="AW856" s="1" t="n"/>
      <c r="AX856" s="1" t="n"/>
      <c r="AY856" s="1" t="n"/>
      <c r="AZ856" s="1" t="n"/>
      <c r="BA856" s="1" t="n"/>
    </row>
    <row r="857" ht="16.5" customHeight="1" s="220">
      <c r="A857" s="1" t="n"/>
      <c r="B857" s="1" t="n"/>
      <c r="C857" s="2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  <c r="AR857" s="1" t="n"/>
      <c r="AS857" s="1" t="n"/>
      <c r="AT857" s="1" t="n"/>
      <c r="AU857" s="1" t="n"/>
      <c r="AV857" s="1" t="n"/>
      <c r="AW857" s="1" t="n"/>
      <c r="AX857" s="1" t="n"/>
      <c r="AY857" s="1" t="n"/>
      <c r="AZ857" s="1" t="n"/>
      <c r="BA857" s="1" t="n"/>
    </row>
    <row r="858" ht="16.5" customHeight="1" s="220">
      <c r="A858" s="1" t="n"/>
      <c r="B858" s="1" t="n"/>
      <c r="C858" s="2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  <c r="AR858" s="1" t="n"/>
      <c r="AS858" s="1" t="n"/>
      <c r="AT858" s="1" t="n"/>
      <c r="AU858" s="1" t="n"/>
      <c r="AV858" s="1" t="n"/>
      <c r="AW858" s="1" t="n"/>
      <c r="AX858" s="1" t="n"/>
      <c r="AY858" s="1" t="n"/>
      <c r="AZ858" s="1" t="n"/>
      <c r="BA858" s="1" t="n"/>
    </row>
    <row r="859" ht="16.5" customHeight="1" s="220">
      <c r="A859" s="1" t="n"/>
      <c r="B859" s="1" t="n"/>
      <c r="C859" s="2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  <c r="AR859" s="1" t="n"/>
      <c r="AS859" s="1" t="n"/>
      <c r="AT859" s="1" t="n"/>
      <c r="AU859" s="1" t="n"/>
      <c r="AV859" s="1" t="n"/>
      <c r="AW859" s="1" t="n"/>
      <c r="AX859" s="1" t="n"/>
      <c r="AY859" s="1" t="n"/>
      <c r="AZ859" s="1" t="n"/>
      <c r="BA859" s="1" t="n"/>
    </row>
    <row r="860" ht="16.5" customHeight="1" s="220">
      <c r="A860" s="1" t="n"/>
      <c r="B860" s="1" t="n"/>
      <c r="C860" s="2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  <c r="AW860" s="1" t="n"/>
      <c r="AX860" s="1" t="n"/>
      <c r="AY860" s="1" t="n"/>
      <c r="AZ860" s="1" t="n"/>
      <c r="BA860" s="1" t="n"/>
    </row>
    <row r="861" ht="16.5" customHeight="1" s="220">
      <c r="A861" s="1" t="n"/>
      <c r="B861" s="1" t="n"/>
      <c r="C861" s="2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  <c r="AX861" s="1" t="n"/>
      <c r="AY861" s="1" t="n"/>
      <c r="AZ861" s="1" t="n"/>
      <c r="BA861" s="1" t="n"/>
    </row>
    <row r="862" ht="16.5" customHeight="1" s="220">
      <c r="A862" s="1" t="n"/>
      <c r="B862" s="1" t="n"/>
      <c r="C862" s="2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  <c r="AW862" s="1" t="n"/>
      <c r="AX862" s="1" t="n"/>
      <c r="AY862" s="1" t="n"/>
      <c r="AZ862" s="1" t="n"/>
      <c r="BA862" s="1" t="n"/>
    </row>
    <row r="863" ht="16.5" customHeight="1" s="220">
      <c r="A863" s="1" t="n"/>
      <c r="B863" s="1" t="n"/>
      <c r="C863" s="2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  <c r="AX863" s="1" t="n"/>
      <c r="AY863" s="1" t="n"/>
      <c r="AZ863" s="1" t="n"/>
      <c r="BA863" s="1" t="n"/>
    </row>
    <row r="864" ht="16.5" customHeight="1" s="220">
      <c r="A864" s="1" t="n"/>
      <c r="B864" s="1" t="n"/>
      <c r="C864" s="2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  <c r="AS864" s="1" t="n"/>
      <c r="AT864" s="1" t="n"/>
      <c r="AU864" s="1" t="n"/>
      <c r="AV864" s="1" t="n"/>
      <c r="AW864" s="1" t="n"/>
      <c r="AX864" s="1" t="n"/>
      <c r="AY864" s="1" t="n"/>
      <c r="AZ864" s="1" t="n"/>
      <c r="BA864" s="1" t="n"/>
    </row>
    <row r="865" ht="16.5" customHeight="1" s="220">
      <c r="A865" s="1" t="n"/>
      <c r="B865" s="1" t="n"/>
      <c r="C865" s="2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  <c r="AX865" s="1" t="n"/>
      <c r="AY865" s="1" t="n"/>
      <c r="AZ865" s="1" t="n"/>
      <c r="BA865" s="1" t="n"/>
    </row>
    <row r="866" ht="16.5" customHeight="1" s="220">
      <c r="A866" s="1" t="n"/>
      <c r="B866" s="1" t="n"/>
      <c r="C866" s="2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  <c r="AS866" s="1" t="n"/>
      <c r="AT866" s="1" t="n"/>
      <c r="AU866" s="1" t="n"/>
      <c r="AV866" s="1" t="n"/>
      <c r="AW866" s="1" t="n"/>
      <c r="AX866" s="1" t="n"/>
      <c r="AY866" s="1" t="n"/>
      <c r="AZ866" s="1" t="n"/>
      <c r="BA866" s="1" t="n"/>
    </row>
    <row r="867" ht="16.5" customHeight="1" s="220">
      <c r="A867" s="1" t="n"/>
      <c r="B867" s="1" t="n"/>
      <c r="C867" s="2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  <c r="AX867" s="1" t="n"/>
      <c r="AY867" s="1" t="n"/>
      <c r="AZ867" s="1" t="n"/>
      <c r="BA867" s="1" t="n"/>
    </row>
    <row r="868" ht="16.5" customHeight="1" s="220">
      <c r="A868" s="1" t="n"/>
      <c r="B868" s="1" t="n"/>
      <c r="C868" s="2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  <c r="AS868" s="1" t="n"/>
      <c r="AT868" s="1" t="n"/>
      <c r="AU868" s="1" t="n"/>
      <c r="AV868" s="1" t="n"/>
      <c r="AW868" s="1" t="n"/>
      <c r="AX868" s="1" t="n"/>
      <c r="AY868" s="1" t="n"/>
      <c r="AZ868" s="1" t="n"/>
      <c r="BA868" s="1" t="n"/>
    </row>
    <row r="869" ht="16.5" customHeight="1" s="220">
      <c r="A869" s="1" t="n"/>
      <c r="B869" s="1" t="n"/>
      <c r="C869" s="2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  <c r="AX869" s="1" t="n"/>
      <c r="AY869" s="1" t="n"/>
      <c r="AZ869" s="1" t="n"/>
      <c r="BA869" s="1" t="n"/>
    </row>
    <row r="870" ht="16.5" customHeight="1" s="220">
      <c r="A870" s="1" t="n"/>
      <c r="B870" s="1" t="n"/>
      <c r="C870" s="2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  <c r="AS870" s="1" t="n"/>
      <c r="AT870" s="1" t="n"/>
      <c r="AU870" s="1" t="n"/>
      <c r="AV870" s="1" t="n"/>
      <c r="AW870" s="1" t="n"/>
      <c r="AX870" s="1" t="n"/>
      <c r="AY870" s="1" t="n"/>
      <c r="AZ870" s="1" t="n"/>
      <c r="BA870" s="1" t="n"/>
    </row>
    <row r="871" ht="16.5" customHeight="1" s="220">
      <c r="A871" s="1" t="n"/>
      <c r="B871" s="1" t="n"/>
      <c r="C871" s="2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  <c r="AW871" s="1" t="n"/>
      <c r="AX871" s="1" t="n"/>
      <c r="AY871" s="1" t="n"/>
      <c r="AZ871" s="1" t="n"/>
      <c r="BA871" s="1" t="n"/>
    </row>
    <row r="872" ht="16.5" customHeight="1" s="220">
      <c r="A872" s="1" t="n"/>
      <c r="B872" s="1" t="n"/>
      <c r="C872" s="2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  <c r="AS872" s="1" t="n"/>
      <c r="AT872" s="1" t="n"/>
      <c r="AU872" s="1" t="n"/>
      <c r="AV872" s="1" t="n"/>
      <c r="AW872" s="1" t="n"/>
      <c r="AX872" s="1" t="n"/>
      <c r="AY872" s="1" t="n"/>
      <c r="AZ872" s="1" t="n"/>
      <c r="BA872" s="1" t="n"/>
    </row>
    <row r="873" ht="16.5" customHeight="1" s="220">
      <c r="A873" s="1" t="n"/>
      <c r="B873" s="1" t="n"/>
      <c r="C873" s="2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  <c r="AW873" s="1" t="n"/>
      <c r="AX873" s="1" t="n"/>
      <c r="AY873" s="1" t="n"/>
      <c r="AZ873" s="1" t="n"/>
      <c r="BA873" s="1" t="n"/>
    </row>
    <row r="874" ht="16.5" customHeight="1" s="220">
      <c r="A874" s="1" t="n"/>
      <c r="B874" s="1" t="n"/>
      <c r="C874" s="2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  <c r="AS874" s="1" t="n"/>
      <c r="AT874" s="1" t="n"/>
      <c r="AU874" s="1" t="n"/>
      <c r="AV874" s="1" t="n"/>
      <c r="AW874" s="1" t="n"/>
      <c r="AX874" s="1" t="n"/>
      <c r="AY874" s="1" t="n"/>
      <c r="AZ874" s="1" t="n"/>
      <c r="BA874" s="1" t="n"/>
    </row>
    <row r="875" ht="16.5" customHeight="1" s="220">
      <c r="A875" s="1" t="n"/>
      <c r="B875" s="1" t="n"/>
      <c r="C875" s="2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  <c r="AX875" s="1" t="n"/>
      <c r="AY875" s="1" t="n"/>
      <c r="AZ875" s="1" t="n"/>
      <c r="BA875" s="1" t="n"/>
    </row>
    <row r="876" ht="16.5" customHeight="1" s="220">
      <c r="A876" s="1" t="n"/>
      <c r="B876" s="1" t="n"/>
      <c r="C876" s="2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  <c r="AS876" s="1" t="n"/>
      <c r="AT876" s="1" t="n"/>
      <c r="AU876" s="1" t="n"/>
      <c r="AV876" s="1" t="n"/>
      <c r="AW876" s="1" t="n"/>
      <c r="AX876" s="1" t="n"/>
      <c r="AY876" s="1" t="n"/>
      <c r="AZ876" s="1" t="n"/>
      <c r="BA876" s="1" t="n"/>
    </row>
    <row r="877" ht="16.5" customHeight="1" s="220">
      <c r="A877" s="1" t="n"/>
      <c r="B877" s="1" t="n"/>
      <c r="C877" s="2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  <c r="AW877" s="1" t="n"/>
      <c r="AX877" s="1" t="n"/>
      <c r="AY877" s="1" t="n"/>
      <c r="AZ877" s="1" t="n"/>
      <c r="BA877" s="1" t="n"/>
    </row>
    <row r="878" ht="16.5" customHeight="1" s="220">
      <c r="A878" s="1" t="n"/>
      <c r="B878" s="1" t="n"/>
      <c r="C878" s="2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  <c r="AS878" s="1" t="n"/>
      <c r="AT878" s="1" t="n"/>
      <c r="AU878" s="1" t="n"/>
      <c r="AV878" s="1" t="n"/>
      <c r="AW878" s="1" t="n"/>
      <c r="AX878" s="1" t="n"/>
      <c r="AY878" s="1" t="n"/>
      <c r="AZ878" s="1" t="n"/>
      <c r="BA878" s="1" t="n"/>
    </row>
    <row r="879" ht="16.5" customHeight="1" s="220">
      <c r="A879" s="1" t="n"/>
      <c r="B879" s="1" t="n"/>
      <c r="C879" s="2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  <c r="AX879" s="1" t="n"/>
      <c r="AY879" s="1" t="n"/>
      <c r="AZ879" s="1" t="n"/>
      <c r="BA879" s="1" t="n"/>
    </row>
    <row r="880" ht="16.5" customHeight="1" s="220">
      <c r="A880" s="1" t="n"/>
      <c r="B880" s="1" t="n"/>
      <c r="C880" s="2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  <c r="AS880" s="1" t="n"/>
      <c r="AT880" s="1" t="n"/>
      <c r="AU880" s="1" t="n"/>
      <c r="AV880" s="1" t="n"/>
      <c r="AW880" s="1" t="n"/>
      <c r="AX880" s="1" t="n"/>
      <c r="AY880" s="1" t="n"/>
      <c r="AZ880" s="1" t="n"/>
      <c r="BA880" s="1" t="n"/>
    </row>
    <row r="881" ht="16.5" customHeight="1" s="220">
      <c r="A881" s="1" t="n"/>
      <c r="B881" s="1" t="n"/>
      <c r="C881" s="2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  <c r="AW881" s="1" t="n"/>
      <c r="AX881" s="1" t="n"/>
      <c r="AY881" s="1" t="n"/>
      <c r="AZ881" s="1" t="n"/>
      <c r="BA881" s="1" t="n"/>
    </row>
    <row r="882" ht="16.5" customHeight="1" s="220">
      <c r="A882" s="1" t="n"/>
      <c r="B882" s="1" t="n"/>
      <c r="C882" s="2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  <c r="AS882" s="1" t="n"/>
      <c r="AT882" s="1" t="n"/>
      <c r="AU882" s="1" t="n"/>
      <c r="AV882" s="1" t="n"/>
      <c r="AW882" s="1" t="n"/>
      <c r="AX882" s="1" t="n"/>
      <c r="AY882" s="1" t="n"/>
      <c r="AZ882" s="1" t="n"/>
      <c r="BA882" s="1" t="n"/>
    </row>
    <row r="883" ht="16.5" customHeight="1" s="220">
      <c r="A883" s="1" t="n"/>
      <c r="B883" s="1" t="n"/>
      <c r="C883" s="2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  <c r="AW883" s="1" t="n"/>
      <c r="AX883" s="1" t="n"/>
      <c r="AY883" s="1" t="n"/>
      <c r="AZ883" s="1" t="n"/>
      <c r="BA883" s="1" t="n"/>
    </row>
    <row r="884" ht="16.5" customHeight="1" s="220">
      <c r="A884" s="1" t="n"/>
      <c r="B884" s="1" t="n"/>
      <c r="C884" s="2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  <c r="AS884" s="1" t="n"/>
      <c r="AT884" s="1" t="n"/>
      <c r="AU884" s="1" t="n"/>
      <c r="AV884" s="1" t="n"/>
      <c r="AW884" s="1" t="n"/>
      <c r="AX884" s="1" t="n"/>
      <c r="AY884" s="1" t="n"/>
      <c r="AZ884" s="1" t="n"/>
      <c r="BA884" s="1" t="n"/>
    </row>
    <row r="885" ht="16.5" customHeight="1" s="220">
      <c r="A885" s="1" t="n"/>
      <c r="B885" s="1" t="n"/>
      <c r="C885" s="2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  <c r="AX885" s="1" t="n"/>
      <c r="AY885" s="1" t="n"/>
      <c r="AZ885" s="1" t="n"/>
      <c r="BA885" s="1" t="n"/>
    </row>
    <row r="886" ht="16.5" customHeight="1" s="220">
      <c r="A886" s="1" t="n"/>
      <c r="B886" s="1" t="n"/>
      <c r="C886" s="2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  <c r="AS886" s="1" t="n"/>
      <c r="AT886" s="1" t="n"/>
      <c r="AU886" s="1" t="n"/>
      <c r="AV886" s="1" t="n"/>
      <c r="AW886" s="1" t="n"/>
      <c r="AX886" s="1" t="n"/>
      <c r="AY886" s="1" t="n"/>
      <c r="AZ886" s="1" t="n"/>
      <c r="BA886" s="1" t="n"/>
    </row>
    <row r="887" ht="16.5" customHeight="1" s="220">
      <c r="A887" s="1" t="n"/>
      <c r="B887" s="1" t="n"/>
      <c r="C887" s="2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  <c r="AR887" s="1" t="n"/>
      <c r="AS887" s="1" t="n"/>
      <c r="AT887" s="1" t="n"/>
      <c r="AU887" s="1" t="n"/>
      <c r="AV887" s="1" t="n"/>
      <c r="AW887" s="1" t="n"/>
      <c r="AX887" s="1" t="n"/>
      <c r="AY887" s="1" t="n"/>
      <c r="AZ887" s="1" t="n"/>
      <c r="BA887" s="1" t="n"/>
    </row>
    <row r="888" ht="16.5" customHeight="1" s="220">
      <c r="A888" s="1" t="n"/>
      <c r="B888" s="1" t="n"/>
      <c r="C888" s="2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Q888" s="1" t="n"/>
      <c r="AR888" s="1" t="n"/>
      <c r="AS888" s="1" t="n"/>
      <c r="AT888" s="1" t="n"/>
      <c r="AU888" s="1" t="n"/>
      <c r="AV888" s="1" t="n"/>
      <c r="AW888" s="1" t="n"/>
      <c r="AX888" s="1" t="n"/>
      <c r="AY888" s="1" t="n"/>
      <c r="AZ888" s="1" t="n"/>
      <c r="BA888" s="1" t="n"/>
    </row>
    <row r="889" ht="16.5" customHeight="1" s="220">
      <c r="A889" s="1" t="n"/>
      <c r="B889" s="1" t="n"/>
      <c r="C889" s="2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  <c r="AR889" s="1" t="n"/>
      <c r="AS889" s="1" t="n"/>
      <c r="AT889" s="1" t="n"/>
      <c r="AU889" s="1" t="n"/>
      <c r="AV889" s="1" t="n"/>
      <c r="AW889" s="1" t="n"/>
      <c r="AX889" s="1" t="n"/>
      <c r="AY889" s="1" t="n"/>
      <c r="AZ889" s="1" t="n"/>
      <c r="BA889" s="1" t="n"/>
    </row>
    <row r="890" ht="16.5" customHeight="1" s="220">
      <c r="A890" s="1" t="n"/>
      <c r="B890" s="1" t="n"/>
      <c r="C890" s="2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Q890" s="1" t="n"/>
      <c r="AR890" s="1" t="n"/>
      <c r="AS890" s="1" t="n"/>
      <c r="AT890" s="1" t="n"/>
      <c r="AU890" s="1" t="n"/>
      <c r="AV890" s="1" t="n"/>
      <c r="AW890" s="1" t="n"/>
      <c r="AX890" s="1" t="n"/>
      <c r="AY890" s="1" t="n"/>
      <c r="AZ890" s="1" t="n"/>
      <c r="BA890" s="1" t="n"/>
    </row>
    <row r="891" ht="16.5" customHeight="1" s="220">
      <c r="A891" s="1" t="n"/>
      <c r="B891" s="1" t="n"/>
      <c r="C891" s="2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  <c r="AR891" s="1" t="n"/>
      <c r="AS891" s="1" t="n"/>
      <c r="AT891" s="1" t="n"/>
      <c r="AU891" s="1" t="n"/>
      <c r="AV891" s="1" t="n"/>
      <c r="AW891" s="1" t="n"/>
      <c r="AX891" s="1" t="n"/>
      <c r="AY891" s="1" t="n"/>
      <c r="AZ891" s="1" t="n"/>
      <c r="BA891" s="1" t="n"/>
    </row>
    <row r="892" ht="16.5" customHeight="1" s="220">
      <c r="A892" s="1" t="n"/>
      <c r="B892" s="1" t="n"/>
      <c r="C892" s="2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Q892" s="1" t="n"/>
      <c r="AR892" s="1" t="n"/>
      <c r="AS892" s="1" t="n"/>
      <c r="AT892" s="1" t="n"/>
      <c r="AU892" s="1" t="n"/>
      <c r="AV892" s="1" t="n"/>
      <c r="AW892" s="1" t="n"/>
      <c r="AX892" s="1" t="n"/>
      <c r="AY892" s="1" t="n"/>
      <c r="AZ892" s="1" t="n"/>
      <c r="BA892" s="1" t="n"/>
    </row>
    <row r="893" ht="16.5" customHeight="1" s="220">
      <c r="A893" s="1" t="n"/>
      <c r="B893" s="1" t="n"/>
      <c r="C893" s="2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  <c r="AR893" s="1" t="n"/>
      <c r="AS893" s="1" t="n"/>
      <c r="AT893" s="1" t="n"/>
      <c r="AU893" s="1" t="n"/>
      <c r="AV893" s="1" t="n"/>
      <c r="AW893" s="1" t="n"/>
      <c r="AX893" s="1" t="n"/>
      <c r="AY893" s="1" t="n"/>
      <c r="AZ893" s="1" t="n"/>
      <c r="BA893" s="1" t="n"/>
    </row>
    <row r="894" ht="16.5" customHeight="1" s="220">
      <c r="A894" s="1" t="n"/>
      <c r="B894" s="1" t="n"/>
      <c r="C894" s="2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Q894" s="1" t="n"/>
      <c r="AR894" s="1" t="n"/>
      <c r="AS894" s="1" t="n"/>
      <c r="AT894" s="1" t="n"/>
      <c r="AU894" s="1" t="n"/>
      <c r="AV894" s="1" t="n"/>
      <c r="AW894" s="1" t="n"/>
      <c r="AX894" s="1" t="n"/>
      <c r="AY894" s="1" t="n"/>
      <c r="AZ894" s="1" t="n"/>
      <c r="BA894" s="1" t="n"/>
    </row>
    <row r="895" ht="16.5" customHeight="1" s="220">
      <c r="A895" s="1" t="n"/>
      <c r="B895" s="1" t="n"/>
      <c r="C895" s="2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  <c r="AR895" s="1" t="n"/>
      <c r="AS895" s="1" t="n"/>
      <c r="AT895" s="1" t="n"/>
      <c r="AU895" s="1" t="n"/>
      <c r="AV895" s="1" t="n"/>
      <c r="AW895" s="1" t="n"/>
      <c r="AX895" s="1" t="n"/>
      <c r="AY895" s="1" t="n"/>
      <c r="AZ895" s="1" t="n"/>
      <c r="BA895" s="1" t="n"/>
    </row>
    <row r="896" ht="16.5" customHeight="1" s="220">
      <c r="A896" s="1" t="n"/>
      <c r="B896" s="1" t="n"/>
      <c r="C896" s="2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Q896" s="1" t="n"/>
      <c r="AR896" s="1" t="n"/>
      <c r="AS896" s="1" t="n"/>
      <c r="AT896" s="1" t="n"/>
      <c r="AU896" s="1" t="n"/>
      <c r="AV896" s="1" t="n"/>
      <c r="AW896" s="1" t="n"/>
      <c r="AX896" s="1" t="n"/>
      <c r="AY896" s="1" t="n"/>
      <c r="AZ896" s="1" t="n"/>
      <c r="BA896" s="1" t="n"/>
    </row>
    <row r="897" ht="16.5" customHeight="1" s="220">
      <c r="A897" s="1" t="n"/>
      <c r="B897" s="1" t="n"/>
      <c r="C897" s="2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  <c r="AR897" s="1" t="n"/>
      <c r="AS897" s="1" t="n"/>
      <c r="AT897" s="1" t="n"/>
      <c r="AU897" s="1" t="n"/>
      <c r="AV897" s="1" t="n"/>
      <c r="AW897" s="1" t="n"/>
      <c r="AX897" s="1" t="n"/>
      <c r="AY897" s="1" t="n"/>
      <c r="AZ897" s="1" t="n"/>
      <c r="BA897" s="1" t="n"/>
    </row>
    <row r="898" ht="16.5" customHeight="1" s="220">
      <c r="A898" s="1" t="n"/>
      <c r="B898" s="1" t="n"/>
      <c r="C898" s="2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Q898" s="1" t="n"/>
      <c r="AR898" s="1" t="n"/>
      <c r="AS898" s="1" t="n"/>
      <c r="AT898" s="1" t="n"/>
      <c r="AU898" s="1" t="n"/>
      <c r="AV898" s="1" t="n"/>
      <c r="AW898" s="1" t="n"/>
      <c r="AX898" s="1" t="n"/>
      <c r="AY898" s="1" t="n"/>
      <c r="AZ898" s="1" t="n"/>
      <c r="BA898" s="1" t="n"/>
    </row>
    <row r="899" ht="16.5" customHeight="1" s="220">
      <c r="A899" s="1" t="n"/>
      <c r="B899" s="1" t="n"/>
      <c r="C899" s="2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  <c r="AR899" s="1" t="n"/>
      <c r="AS899" s="1" t="n"/>
      <c r="AT899" s="1" t="n"/>
      <c r="AU899" s="1" t="n"/>
      <c r="AV899" s="1" t="n"/>
      <c r="AW899" s="1" t="n"/>
      <c r="AX899" s="1" t="n"/>
      <c r="AY899" s="1" t="n"/>
      <c r="AZ899" s="1" t="n"/>
      <c r="BA899" s="1" t="n"/>
    </row>
    <row r="900" ht="16.5" customHeight="1" s="220">
      <c r="A900" s="1" t="n"/>
      <c r="B900" s="1" t="n"/>
      <c r="C900" s="2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Q900" s="1" t="n"/>
      <c r="AR900" s="1" t="n"/>
      <c r="AS900" s="1" t="n"/>
      <c r="AT900" s="1" t="n"/>
      <c r="AU900" s="1" t="n"/>
      <c r="AV900" s="1" t="n"/>
      <c r="AW900" s="1" t="n"/>
      <c r="AX900" s="1" t="n"/>
      <c r="AY900" s="1" t="n"/>
      <c r="AZ900" s="1" t="n"/>
      <c r="BA900" s="1" t="n"/>
    </row>
    <row r="901" ht="16.5" customHeight="1" s="220">
      <c r="A901" s="1" t="n"/>
      <c r="B901" s="1" t="n"/>
      <c r="C901" s="2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  <c r="AR901" s="1" t="n"/>
      <c r="AS901" s="1" t="n"/>
      <c r="AT901" s="1" t="n"/>
      <c r="AU901" s="1" t="n"/>
      <c r="AV901" s="1" t="n"/>
      <c r="AW901" s="1" t="n"/>
      <c r="AX901" s="1" t="n"/>
      <c r="AY901" s="1" t="n"/>
      <c r="AZ901" s="1" t="n"/>
      <c r="BA901" s="1" t="n"/>
    </row>
    <row r="902" ht="16.5" customHeight="1" s="220">
      <c r="A902" s="1" t="n"/>
      <c r="B902" s="1" t="n"/>
      <c r="C902" s="2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Q902" s="1" t="n"/>
      <c r="AR902" s="1" t="n"/>
      <c r="AS902" s="1" t="n"/>
      <c r="AT902" s="1" t="n"/>
      <c r="AU902" s="1" t="n"/>
      <c r="AV902" s="1" t="n"/>
      <c r="AW902" s="1" t="n"/>
      <c r="AX902" s="1" t="n"/>
      <c r="AY902" s="1" t="n"/>
      <c r="AZ902" s="1" t="n"/>
      <c r="BA902" s="1" t="n"/>
    </row>
    <row r="903" ht="16.5" customHeight="1" s="220">
      <c r="A903" s="1" t="n"/>
      <c r="B903" s="1" t="n"/>
      <c r="C903" s="2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  <c r="AR903" s="1" t="n"/>
      <c r="AS903" s="1" t="n"/>
      <c r="AT903" s="1" t="n"/>
      <c r="AU903" s="1" t="n"/>
      <c r="AV903" s="1" t="n"/>
      <c r="AW903" s="1" t="n"/>
      <c r="AX903" s="1" t="n"/>
      <c r="AY903" s="1" t="n"/>
      <c r="AZ903" s="1" t="n"/>
      <c r="BA903" s="1" t="n"/>
    </row>
    <row r="904" ht="16.5" customHeight="1" s="220">
      <c r="A904" s="1" t="n"/>
      <c r="B904" s="1" t="n"/>
      <c r="C904" s="2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Q904" s="1" t="n"/>
      <c r="AR904" s="1" t="n"/>
      <c r="AS904" s="1" t="n"/>
      <c r="AT904" s="1" t="n"/>
      <c r="AU904" s="1" t="n"/>
      <c r="AV904" s="1" t="n"/>
      <c r="AW904" s="1" t="n"/>
      <c r="AX904" s="1" t="n"/>
      <c r="AY904" s="1" t="n"/>
      <c r="AZ904" s="1" t="n"/>
      <c r="BA904" s="1" t="n"/>
    </row>
    <row r="905" ht="16.5" customHeight="1" s="220">
      <c r="A905" s="1" t="n"/>
      <c r="B905" s="1" t="n"/>
      <c r="C905" s="2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  <c r="AR905" s="1" t="n"/>
      <c r="AS905" s="1" t="n"/>
      <c r="AT905" s="1" t="n"/>
      <c r="AU905" s="1" t="n"/>
      <c r="AV905" s="1" t="n"/>
      <c r="AW905" s="1" t="n"/>
      <c r="AX905" s="1" t="n"/>
      <c r="AY905" s="1" t="n"/>
      <c r="AZ905" s="1" t="n"/>
      <c r="BA905" s="1" t="n"/>
    </row>
    <row r="906" ht="16.5" customHeight="1" s="220">
      <c r="A906" s="1" t="n"/>
      <c r="B906" s="1" t="n"/>
      <c r="C906" s="2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Q906" s="1" t="n"/>
      <c r="AR906" s="1" t="n"/>
      <c r="AS906" s="1" t="n"/>
      <c r="AT906" s="1" t="n"/>
      <c r="AU906" s="1" t="n"/>
      <c r="AV906" s="1" t="n"/>
      <c r="AW906" s="1" t="n"/>
      <c r="AX906" s="1" t="n"/>
      <c r="AY906" s="1" t="n"/>
      <c r="AZ906" s="1" t="n"/>
      <c r="BA906" s="1" t="n"/>
    </row>
    <row r="907" ht="16.5" customHeight="1" s="220">
      <c r="A907" s="1" t="n"/>
      <c r="B907" s="1" t="n"/>
      <c r="C907" s="2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  <c r="AR907" s="1" t="n"/>
      <c r="AS907" s="1" t="n"/>
      <c r="AT907" s="1" t="n"/>
      <c r="AU907" s="1" t="n"/>
      <c r="AV907" s="1" t="n"/>
      <c r="AW907" s="1" t="n"/>
      <c r="AX907" s="1" t="n"/>
      <c r="AY907" s="1" t="n"/>
      <c r="AZ907" s="1" t="n"/>
      <c r="BA907" s="1" t="n"/>
    </row>
    <row r="908" ht="16.5" customHeight="1" s="220">
      <c r="A908" s="1" t="n"/>
      <c r="B908" s="1" t="n"/>
      <c r="C908" s="2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Q908" s="1" t="n"/>
      <c r="AR908" s="1" t="n"/>
      <c r="AS908" s="1" t="n"/>
      <c r="AT908" s="1" t="n"/>
      <c r="AU908" s="1" t="n"/>
      <c r="AV908" s="1" t="n"/>
      <c r="AW908" s="1" t="n"/>
      <c r="AX908" s="1" t="n"/>
      <c r="AY908" s="1" t="n"/>
      <c r="AZ908" s="1" t="n"/>
      <c r="BA908" s="1" t="n"/>
    </row>
    <row r="909" ht="16.5" customHeight="1" s="220">
      <c r="A909" s="1" t="n"/>
      <c r="B909" s="1" t="n"/>
      <c r="C909" s="2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  <c r="AR909" s="1" t="n"/>
      <c r="AS909" s="1" t="n"/>
      <c r="AT909" s="1" t="n"/>
      <c r="AU909" s="1" t="n"/>
      <c r="AV909" s="1" t="n"/>
      <c r="AW909" s="1" t="n"/>
      <c r="AX909" s="1" t="n"/>
      <c r="AY909" s="1" t="n"/>
      <c r="AZ909" s="1" t="n"/>
      <c r="BA909" s="1" t="n"/>
    </row>
    <row r="910" ht="16.5" customHeight="1" s="220">
      <c r="A910" s="1" t="n"/>
      <c r="B910" s="1" t="n"/>
      <c r="C910" s="2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Q910" s="1" t="n"/>
      <c r="AR910" s="1" t="n"/>
      <c r="AS910" s="1" t="n"/>
      <c r="AT910" s="1" t="n"/>
      <c r="AU910" s="1" t="n"/>
      <c r="AV910" s="1" t="n"/>
      <c r="AW910" s="1" t="n"/>
      <c r="AX910" s="1" t="n"/>
      <c r="AY910" s="1" t="n"/>
      <c r="AZ910" s="1" t="n"/>
      <c r="BA910" s="1" t="n"/>
    </row>
    <row r="911" ht="16.5" customHeight="1" s="220">
      <c r="A911" s="1" t="n"/>
      <c r="B911" s="1" t="n"/>
      <c r="C911" s="2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  <c r="AR911" s="1" t="n"/>
      <c r="AS911" s="1" t="n"/>
      <c r="AT911" s="1" t="n"/>
      <c r="AU911" s="1" t="n"/>
      <c r="AV911" s="1" t="n"/>
      <c r="AW911" s="1" t="n"/>
      <c r="AX911" s="1" t="n"/>
      <c r="AY911" s="1" t="n"/>
      <c r="AZ911" s="1" t="n"/>
      <c r="BA911" s="1" t="n"/>
    </row>
    <row r="912" ht="16.5" customHeight="1" s="220">
      <c r="A912" s="1" t="n"/>
      <c r="B912" s="1" t="n"/>
      <c r="C912" s="2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Q912" s="1" t="n"/>
      <c r="AR912" s="1" t="n"/>
      <c r="AS912" s="1" t="n"/>
      <c r="AT912" s="1" t="n"/>
      <c r="AU912" s="1" t="n"/>
      <c r="AV912" s="1" t="n"/>
      <c r="AW912" s="1" t="n"/>
      <c r="AX912" s="1" t="n"/>
      <c r="AY912" s="1" t="n"/>
      <c r="AZ912" s="1" t="n"/>
      <c r="BA912" s="1" t="n"/>
    </row>
    <row r="913" ht="16.5" customHeight="1" s="220">
      <c r="A913" s="1" t="n"/>
      <c r="B913" s="1" t="n"/>
      <c r="C913" s="2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  <c r="AR913" s="1" t="n"/>
      <c r="AS913" s="1" t="n"/>
      <c r="AT913" s="1" t="n"/>
      <c r="AU913" s="1" t="n"/>
      <c r="AV913" s="1" t="n"/>
      <c r="AW913" s="1" t="n"/>
      <c r="AX913" s="1" t="n"/>
      <c r="AY913" s="1" t="n"/>
      <c r="AZ913" s="1" t="n"/>
      <c r="BA913" s="1" t="n"/>
    </row>
    <row r="914" ht="16.5" customHeight="1" s="220">
      <c r="A914" s="1" t="n"/>
      <c r="B914" s="1" t="n"/>
      <c r="C914" s="2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Q914" s="1" t="n"/>
      <c r="AR914" s="1" t="n"/>
      <c r="AS914" s="1" t="n"/>
      <c r="AT914" s="1" t="n"/>
      <c r="AU914" s="1" t="n"/>
      <c r="AV914" s="1" t="n"/>
      <c r="AW914" s="1" t="n"/>
      <c r="AX914" s="1" t="n"/>
      <c r="AY914" s="1" t="n"/>
      <c r="AZ914" s="1" t="n"/>
      <c r="BA914" s="1" t="n"/>
    </row>
    <row r="915" ht="16.5" customHeight="1" s="220">
      <c r="A915" s="1" t="n"/>
      <c r="B915" s="1" t="n"/>
      <c r="C915" s="2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  <c r="AR915" s="1" t="n"/>
      <c r="AS915" s="1" t="n"/>
      <c r="AT915" s="1" t="n"/>
      <c r="AU915" s="1" t="n"/>
      <c r="AV915" s="1" t="n"/>
      <c r="AW915" s="1" t="n"/>
      <c r="AX915" s="1" t="n"/>
      <c r="AY915" s="1" t="n"/>
      <c r="AZ915" s="1" t="n"/>
      <c r="BA915" s="1" t="n"/>
    </row>
    <row r="916" ht="16.5" customHeight="1" s="220">
      <c r="A916" s="1" t="n"/>
      <c r="B916" s="1" t="n"/>
      <c r="C916" s="2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Q916" s="1" t="n"/>
      <c r="AR916" s="1" t="n"/>
      <c r="AS916" s="1" t="n"/>
      <c r="AT916" s="1" t="n"/>
      <c r="AU916" s="1" t="n"/>
      <c r="AV916" s="1" t="n"/>
      <c r="AW916" s="1" t="n"/>
      <c r="AX916" s="1" t="n"/>
      <c r="AY916" s="1" t="n"/>
      <c r="AZ916" s="1" t="n"/>
      <c r="BA916" s="1" t="n"/>
    </row>
    <row r="917" ht="16.5" customHeight="1" s="220">
      <c r="A917" s="1" t="n"/>
      <c r="B917" s="1" t="n"/>
      <c r="C917" s="2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  <c r="AR917" s="1" t="n"/>
      <c r="AS917" s="1" t="n"/>
      <c r="AT917" s="1" t="n"/>
      <c r="AU917" s="1" t="n"/>
      <c r="AV917" s="1" t="n"/>
      <c r="AW917" s="1" t="n"/>
      <c r="AX917" s="1" t="n"/>
      <c r="AY917" s="1" t="n"/>
      <c r="AZ917" s="1" t="n"/>
      <c r="BA917" s="1" t="n"/>
    </row>
    <row r="918" ht="16.5" customHeight="1" s="220">
      <c r="A918" s="1" t="n"/>
      <c r="B918" s="1" t="n"/>
      <c r="C918" s="2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Q918" s="1" t="n"/>
      <c r="AR918" s="1" t="n"/>
      <c r="AS918" s="1" t="n"/>
      <c r="AT918" s="1" t="n"/>
      <c r="AU918" s="1" t="n"/>
      <c r="AV918" s="1" t="n"/>
      <c r="AW918" s="1" t="n"/>
      <c r="AX918" s="1" t="n"/>
      <c r="AY918" s="1" t="n"/>
      <c r="AZ918" s="1" t="n"/>
      <c r="BA918" s="1" t="n"/>
    </row>
    <row r="919" ht="16.5" customHeight="1" s="220">
      <c r="A919" s="1" t="n"/>
      <c r="B919" s="1" t="n"/>
      <c r="C919" s="2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  <c r="AR919" s="1" t="n"/>
      <c r="AS919" s="1" t="n"/>
      <c r="AT919" s="1" t="n"/>
      <c r="AU919" s="1" t="n"/>
      <c r="AV919" s="1" t="n"/>
      <c r="AW919" s="1" t="n"/>
      <c r="AX919" s="1" t="n"/>
      <c r="AY919" s="1" t="n"/>
      <c r="AZ919" s="1" t="n"/>
      <c r="BA919" s="1" t="n"/>
    </row>
    <row r="920" ht="16.5" customHeight="1" s="220">
      <c r="A920" s="1" t="n"/>
      <c r="B920" s="1" t="n"/>
      <c r="C920" s="2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Q920" s="1" t="n"/>
      <c r="AR920" s="1" t="n"/>
      <c r="AS920" s="1" t="n"/>
      <c r="AT920" s="1" t="n"/>
      <c r="AU920" s="1" t="n"/>
      <c r="AV920" s="1" t="n"/>
      <c r="AW920" s="1" t="n"/>
      <c r="AX920" s="1" t="n"/>
      <c r="AY920" s="1" t="n"/>
      <c r="AZ920" s="1" t="n"/>
      <c r="BA920" s="1" t="n"/>
    </row>
    <row r="921" ht="16.5" customHeight="1" s="220">
      <c r="A921" s="1" t="n"/>
      <c r="B921" s="1" t="n"/>
      <c r="C921" s="2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  <c r="AR921" s="1" t="n"/>
      <c r="AS921" s="1" t="n"/>
      <c r="AT921" s="1" t="n"/>
      <c r="AU921" s="1" t="n"/>
      <c r="AV921" s="1" t="n"/>
      <c r="AW921" s="1" t="n"/>
      <c r="AX921" s="1" t="n"/>
      <c r="AY921" s="1" t="n"/>
      <c r="AZ921" s="1" t="n"/>
      <c r="BA921" s="1" t="n"/>
    </row>
    <row r="922" ht="16.5" customHeight="1" s="220">
      <c r="A922" s="1" t="n"/>
      <c r="B922" s="1" t="n"/>
      <c r="C922" s="2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Q922" s="1" t="n"/>
      <c r="AR922" s="1" t="n"/>
      <c r="AS922" s="1" t="n"/>
      <c r="AT922" s="1" t="n"/>
      <c r="AU922" s="1" t="n"/>
      <c r="AV922" s="1" t="n"/>
      <c r="AW922" s="1" t="n"/>
      <c r="AX922" s="1" t="n"/>
      <c r="AY922" s="1" t="n"/>
      <c r="AZ922" s="1" t="n"/>
      <c r="BA922" s="1" t="n"/>
    </row>
    <row r="923" ht="16.5" customHeight="1" s="220">
      <c r="A923" s="1" t="n"/>
      <c r="B923" s="1" t="n"/>
      <c r="C923" s="2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  <c r="AR923" s="1" t="n"/>
      <c r="AS923" s="1" t="n"/>
      <c r="AT923" s="1" t="n"/>
      <c r="AU923" s="1" t="n"/>
      <c r="AV923" s="1" t="n"/>
      <c r="AW923" s="1" t="n"/>
      <c r="AX923" s="1" t="n"/>
      <c r="AY923" s="1" t="n"/>
      <c r="AZ923" s="1" t="n"/>
      <c r="BA923" s="1" t="n"/>
    </row>
    <row r="924" ht="16.5" customHeight="1" s="220">
      <c r="A924" s="1" t="n"/>
      <c r="B924" s="1" t="n"/>
      <c r="C924" s="2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Q924" s="1" t="n"/>
      <c r="AR924" s="1" t="n"/>
      <c r="AS924" s="1" t="n"/>
      <c r="AT924" s="1" t="n"/>
      <c r="AU924" s="1" t="n"/>
      <c r="AV924" s="1" t="n"/>
      <c r="AW924" s="1" t="n"/>
      <c r="AX924" s="1" t="n"/>
      <c r="AY924" s="1" t="n"/>
      <c r="AZ924" s="1" t="n"/>
      <c r="BA924" s="1" t="n"/>
    </row>
    <row r="925" ht="16.5" customHeight="1" s="220">
      <c r="A925" s="1" t="n"/>
      <c r="B925" s="1" t="n"/>
      <c r="C925" s="2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  <c r="AR925" s="1" t="n"/>
      <c r="AS925" s="1" t="n"/>
      <c r="AT925" s="1" t="n"/>
      <c r="AU925" s="1" t="n"/>
      <c r="AV925" s="1" t="n"/>
      <c r="AW925" s="1" t="n"/>
      <c r="AX925" s="1" t="n"/>
      <c r="AY925" s="1" t="n"/>
      <c r="AZ925" s="1" t="n"/>
      <c r="BA925" s="1" t="n"/>
    </row>
    <row r="926" ht="16.5" customHeight="1" s="220">
      <c r="A926" s="1" t="n"/>
      <c r="B926" s="1" t="n"/>
      <c r="C926" s="2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Q926" s="1" t="n"/>
      <c r="AR926" s="1" t="n"/>
      <c r="AS926" s="1" t="n"/>
      <c r="AT926" s="1" t="n"/>
      <c r="AU926" s="1" t="n"/>
      <c r="AV926" s="1" t="n"/>
      <c r="AW926" s="1" t="n"/>
      <c r="AX926" s="1" t="n"/>
      <c r="AY926" s="1" t="n"/>
      <c r="AZ926" s="1" t="n"/>
      <c r="BA926" s="1" t="n"/>
    </row>
    <row r="927" ht="16.5" customHeight="1" s="220">
      <c r="A927" s="1" t="n"/>
      <c r="B927" s="1" t="n"/>
      <c r="C927" s="2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  <c r="AR927" s="1" t="n"/>
      <c r="AS927" s="1" t="n"/>
      <c r="AT927" s="1" t="n"/>
      <c r="AU927" s="1" t="n"/>
      <c r="AV927" s="1" t="n"/>
      <c r="AW927" s="1" t="n"/>
      <c r="AX927" s="1" t="n"/>
      <c r="AY927" s="1" t="n"/>
      <c r="AZ927" s="1" t="n"/>
      <c r="BA927" s="1" t="n"/>
    </row>
    <row r="928" ht="16.5" customHeight="1" s="220">
      <c r="A928" s="1" t="n"/>
      <c r="B928" s="1" t="n"/>
      <c r="C928" s="2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Q928" s="1" t="n"/>
      <c r="AR928" s="1" t="n"/>
      <c r="AS928" s="1" t="n"/>
      <c r="AT928" s="1" t="n"/>
      <c r="AU928" s="1" t="n"/>
      <c r="AV928" s="1" t="n"/>
      <c r="AW928" s="1" t="n"/>
      <c r="AX928" s="1" t="n"/>
      <c r="AY928" s="1" t="n"/>
      <c r="AZ928" s="1" t="n"/>
      <c r="BA928" s="1" t="n"/>
    </row>
    <row r="929" ht="16.5" customHeight="1" s="220">
      <c r="A929" s="1" t="n"/>
      <c r="B929" s="1" t="n"/>
      <c r="C929" s="2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  <c r="AR929" s="1" t="n"/>
      <c r="AS929" s="1" t="n"/>
      <c r="AT929" s="1" t="n"/>
      <c r="AU929" s="1" t="n"/>
      <c r="AV929" s="1" t="n"/>
      <c r="AW929" s="1" t="n"/>
      <c r="AX929" s="1" t="n"/>
      <c r="AY929" s="1" t="n"/>
      <c r="AZ929" s="1" t="n"/>
      <c r="BA929" s="1" t="n"/>
    </row>
    <row r="930" ht="16.5" customHeight="1" s="220">
      <c r="A930" s="1" t="n"/>
      <c r="B930" s="1" t="n"/>
      <c r="C930" s="2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Q930" s="1" t="n"/>
      <c r="AR930" s="1" t="n"/>
      <c r="AS930" s="1" t="n"/>
      <c r="AT930" s="1" t="n"/>
      <c r="AU930" s="1" t="n"/>
      <c r="AV930" s="1" t="n"/>
      <c r="AW930" s="1" t="n"/>
      <c r="AX930" s="1" t="n"/>
      <c r="AY930" s="1" t="n"/>
      <c r="AZ930" s="1" t="n"/>
      <c r="BA930" s="1" t="n"/>
    </row>
    <row r="931" ht="16.5" customHeight="1" s="220">
      <c r="A931" s="1" t="n"/>
      <c r="B931" s="1" t="n"/>
      <c r="C931" s="2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  <c r="AR931" s="1" t="n"/>
      <c r="AS931" s="1" t="n"/>
      <c r="AT931" s="1" t="n"/>
      <c r="AU931" s="1" t="n"/>
      <c r="AV931" s="1" t="n"/>
      <c r="AW931" s="1" t="n"/>
      <c r="AX931" s="1" t="n"/>
      <c r="AY931" s="1" t="n"/>
      <c r="AZ931" s="1" t="n"/>
      <c r="BA931" s="1" t="n"/>
    </row>
    <row r="932" ht="16.5" customHeight="1" s="220">
      <c r="A932" s="1" t="n"/>
      <c r="B932" s="1" t="n"/>
      <c r="C932" s="2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Q932" s="1" t="n"/>
      <c r="AR932" s="1" t="n"/>
      <c r="AS932" s="1" t="n"/>
      <c r="AT932" s="1" t="n"/>
      <c r="AU932" s="1" t="n"/>
      <c r="AV932" s="1" t="n"/>
      <c r="AW932" s="1" t="n"/>
      <c r="AX932" s="1" t="n"/>
      <c r="AY932" s="1" t="n"/>
      <c r="AZ932" s="1" t="n"/>
      <c r="BA932" s="1" t="n"/>
    </row>
    <row r="933" ht="16.5" customHeight="1" s="220">
      <c r="A933" s="1" t="n"/>
      <c r="B933" s="1" t="n"/>
      <c r="C933" s="2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  <c r="AR933" s="1" t="n"/>
      <c r="AS933" s="1" t="n"/>
      <c r="AT933" s="1" t="n"/>
      <c r="AU933" s="1" t="n"/>
      <c r="AV933" s="1" t="n"/>
      <c r="AW933" s="1" t="n"/>
      <c r="AX933" s="1" t="n"/>
      <c r="AY933" s="1" t="n"/>
      <c r="AZ933" s="1" t="n"/>
      <c r="BA933" s="1" t="n"/>
    </row>
    <row r="934" ht="16.5" customHeight="1" s="220">
      <c r="A934" s="1" t="n"/>
      <c r="B934" s="1" t="n"/>
      <c r="C934" s="2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Q934" s="1" t="n"/>
      <c r="AR934" s="1" t="n"/>
      <c r="AS934" s="1" t="n"/>
      <c r="AT934" s="1" t="n"/>
      <c r="AU934" s="1" t="n"/>
      <c r="AV934" s="1" t="n"/>
      <c r="AW934" s="1" t="n"/>
      <c r="AX934" s="1" t="n"/>
      <c r="AY934" s="1" t="n"/>
      <c r="AZ934" s="1" t="n"/>
      <c r="BA934" s="1" t="n"/>
    </row>
    <row r="935" ht="16.5" customHeight="1" s="220">
      <c r="A935" s="1" t="n"/>
      <c r="B935" s="1" t="n"/>
      <c r="C935" s="2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  <c r="AR935" s="1" t="n"/>
      <c r="AS935" s="1" t="n"/>
      <c r="AT935" s="1" t="n"/>
      <c r="AU935" s="1" t="n"/>
      <c r="AV935" s="1" t="n"/>
      <c r="AW935" s="1" t="n"/>
      <c r="AX935" s="1" t="n"/>
      <c r="AY935" s="1" t="n"/>
      <c r="AZ935" s="1" t="n"/>
      <c r="BA935" s="1" t="n"/>
    </row>
    <row r="936" ht="16.5" customHeight="1" s="220">
      <c r="A936" s="1" t="n"/>
      <c r="B936" s="1" t="n"/>
      <c r="C936" s="2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Q936" s="1" t="n"/>
      <c r="AR936" s="1" t="n"/>
      <c r="AS936" s="1" t="n"/>
      <c r="AT936" s="1" t="n"/>
      <c r="AU936" s="1" t="n"/>
      <c r="AV936" s="1" t="n"/>
      <c r="AW936" s="1" t="n"/>
      <c r="AX936" s="1" t="n"/>
      <c r="AY936" s="1" t="n"/>
      <c r="AZ936" s="1" t="n"/>
      <c r="BA936" s="1" t="n"/>
    </row>
    <row r="937" ht="16.5" customHeight="1" s="220">
      <c r="A937" s="1" t="n"/>
      <c r="B937" s="1" t="n"/>
      <c r="C937" s="2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  <c r="AR937" s="1" t="n"/>
      <c r="AS937" s="1" t="n"/>
      <c r="AT937" s="1" t="n"/>
      <c r="AU937" s="1" t="n"/>
      <c r="AV937" s="1" t="n"/>
      <c r="AW937" s="1" t="n"/>
      <c r="AX937" s="1" t="n"/>
      <c r="AY937" s="1" t="n"/>
      <c r="AZ937" s="1" t="n"/>
      <c r="BA937" s="1" t="n"/>
    </row>
    <row r="938" ht="16.5" customHeight="1" s="220">
      <c r="A938" s="1" t="n"/>
      <c r="B938" s="1" t="n"/>
      <c r="C938" s="2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Q938" s="1" t="n"/>
      <c r="AR938" s="1" t="n"/>
      <c r="AS938" s="1" t="n"/>
      <c r="AT938" s="1" t="n"/>
      <c r="AU938" s="1" t="n"/>
      <c r="AV938" s="1" t="n"/>
      <c r="AW938" s="1" t="n"/>
      <c r="AX938" s="1" t="n"/>
      <c r="AY938" s="1" t="n"/>
      <c r="AZ938" s="1" t="n"/>
      <c r="BA938" s="1" t="n"/>
    </row>
    <row r="939" ht="16.5" customHeight="1" s="220">
      <c r="A939" s="1" t="n"/>
      <c r="B939" s="1" t="n"/>
      <c r="C939" s="2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  <c r="AR939" s="1" t="n"/>
      <c r="AS939" s="1" t="n"/>
      <c r="AT939" s="1" t="n"/>
      <c r="AU939" s="1" t="n"/>
      <c r="AV939" s="1" t="n"/>
      <c r="AW939" s="1" t="n"/>
      <c r="AX939" s="1" t="n"/>
      <c r="AY939" s="1" t="n"/>
      <c r="AZ939" s="1" t="n"/>
      <c r="BA939" s="1" t="n"/>
    </row>
    <row r="940" ht="16.5" customHeight="1" s="220">
      <c r="A940" s="1" t="n"/>
      <c r="B940" s="1" t="n"/>
      <c r="C940" s="2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Q940" s="1" t="n"/>
      <c r="AR940" s="1" t="n"/>
      <c r="AS940" s="1" t="n"/>
      <c r="AT940" s="1" t="n"/>
      <c r="AU940" s="1" t="n"/>
      <c r="AV940" s="1" t="n"/>
      <c r="AW940" s="1" t="n"/>
      <c r="AX940" s="1" t="n"/>
      <c r="AY940" s="1" t="n"/>
      <c r="AZ940" s="1" t="n"/>
      <c r="BA940" s="1" t="n"/>
    </row>
    <row r="941" ht="16.5" customHeight="1" s="220">
      <c r="A941" s="1" t="n"/>
      <c r="B941" s="1" t="n"/>
      <c r="C941" s="2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  <c r="AR941" s="1" t="n"/>
      <c r="AS941" s="1" t="n"/>
      <c r="AT941" s="1" t="n"/>
      <c r="AU941" s="1" t="n"/>
      <c r="AV941" s="1" t="n"/>
      <c r="AW941" s="1" t="n"/>
      <c r="AX941" s="1" t="n"/>
      <c r="AY941" s="1" t="n"/>
      <c r="AZ941" s="1" t="n"/>
      <c r="BA941" s="1" t="n"/>
    </row>
    <row r="942" ht="16.5" customHeight="1" s="220">
      <c r="A942" s="1" t="n"/>
      <c r="B942" s="1" t="n"/>
      <c r="C942" s="2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Q942" s="1" t="n"/>
      <c r="AR942" s="1" t="n"/>
      <c r="AS942" s="1" t="n"/>
      <c r="AT942" s="1" t="n"/>
      <c r="AU942" s="1" t="n"/>
      <c r="AV942" s="1" t="n"/>
      <c r="AW942" s="1" t="n"/>
      <c r="AX942" s="1" t="n"/>
      <c r="AY942" s="1" t="n"/>
      <c r="AZ942" s="1" t="n"/>
      <c r="BA942" s="1" t="n"/>
    </row>
    <row r="943" ht="16.5" customHeight="1" s="220">
      <c r="A943" s="1" t="n"/>
      <c r="B943" s="1" t="n"/>
      <c r="C943" s="2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  <c r="AR943" s="1" t="n"/>
      <c r="AS943" s="1" t="n"/>
      <c r="AT943" s="1" t="n"/>
      <c r="AU943" s="1" t="n"/>
      <c r="AV943" s="1" t="n"/>
      <c r="AW943" s="1" t="n"/>
      <c r="AX943" s="1" t="n"/>
      <c r="AY943" s="1" t="n"/>
      <c r="AZ943" s="1" t="n"/>
      <c r="BA943" s="1" t="n"/>
    </row>
    <row r="944" ht="16.5" customHeight="1" s="220">
      <c r="A944" s="1" t="n"/>
      <c r="B944" s="1" t="n"/>
      <c r="C944" s="2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Q944" s="1" t="n"/>
      <c r="AR944" s="1" t="n"/>
      <c r="AS944" s="1" t="n"/>
      <c r="AT944" s="1" t="n"/>
      <c r="AU944" s="1" t="n"/>
      <c r="AV944" s="1" t="n"/>
      <c r="AW944" s="1" t="n"/>
      <c r="AX944" s="1" t="n"/>
      <c r="AY944" s="1" t="n"/>
      <c r="AZ944" s="1" t="n"/>
      <c r="BA944" s="1" t="n"/>
    </row>
    <row r="945" ht="16.5" customHeight="1" s="220">
      <c r="A945" s="1" t="n"/>
      <c r="B945" s="1" t="n"/>
      <c r="C945" s="2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  <c r="AR945" s="1" t="n"/>
      <c r="AS945" s="1" t="n"/>
      <c r="AT945" s="1" t="n"/>
      <c r="AU945" s="1" t="n"/>
      <c r="AV945" s="1" t="n"/>
      <c r="AW945" s="1" t="n"/>
      <c r="AX945" s="1" t="n"/>
      <c r="AY945" s="1" t="n"/>
      <c r="AZ945" s="1" t="n"/>
      <c r="BA945" s="1" t="n"/>
    </row>
    <row r="946" ht="16.5" customHeight="1" s="220">
      <c r="A946" s="1" t="n"/>
      <c r="B946" s="1" t="n"/>
      <c r="C946" s="2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Q946" s="1" t="n"/>
      <c r="AR946" s="1" t="n"/>
      <c r="AS946" s="1" t="n"/>
      <c r="AT946" s="1" t="n"/>
      <c r="AU946" s="1" t="n"/>
      <c r="AV946" s="1" t="n"/>
      <c r="AW946" s="1" t="n"/>
      <c r="AX946" s="1" t="n"/>
      <c r="AY946" s="1" t="n"/>
      <c r="AZ946" s="1" t="n"/>
      <c r="BA946" s="1" t="n"/>
    </row>
    <row r="947" ht="16.5" customHeight="1" s="220">
      <c r="A947" s="1" t="n"/>
      <c r="B947" s="1" t="n"/>
      <c r="C947" s="2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  <c r="AR947" s="1" t="n"/>
      <c r="AS947" s="1" t="n"/>
      <c r="AT947" s="1" t="n"/>
      <c r="AU947" s="1" t="n"/>
      <c r="AV947" s="1" t="n"/>
      <c r="AW947" s="1" t="n"/>
      <c r="AX947" s="1" t="n"/>
      <c r="AY947" s="1" t="n"/>
      <c r="AZ947" s="1" t="n"/>
      <c r="BA947" s="1" t="n"/>
    </row>
    <row r="948" ht="16.5" customHeight="1" s="220">
      <c r="A948" s="1" t="n"/>
      <c r="B948" s="1" t="n"/>
      <c r="C948" s="2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Q948" s="1" t="n"/>
      <c r="AR948" s="1" t="n"/>
      <c r="AS948" s="1" t="n"/>
      <c r="AT948" s="1" t="n"/>
      <c r="AU948" s="1" t="n"/>
      <c r="AV948" s="1" t="n"/>
      <c r="AW948" s="1" t="n"/>
      <c r="AX948" s="1" t="n"/>
      <c r="AY948" s="1" t="n"/>
      <c r="AZ948" s="1" t="n"/>
      <c r="BA948" s="1" t="n"/>
    </row>
    <row r="949" ht="16.5" customHeight="1" s="220">
      <c r="A949" s="1" t="n"/>
      <c r="B949" s="1" t="n"/>
      <c r="C949" s="2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  <c r="AR949" s="1" t="n"/>
      <c r="AS949" s="1" t="n"/>
      <c r="AT949" s="1" t="n"/>
      <c r="AU949" s="1" t="n"/>
      <c r="AV949" s="1" t="n"/>
      <c r="AW949" s="1" t="n"/>
      <c r="AX949" s="1" t="n"/>
      <c r="AY949" s="1" t="n"/>
      <c r="AZ949" s="1" t="n"/>
      <c r="BA949" s="1" t="n"/>
    </row>
    <row r="950" ht="16.5" customHeight="1" s="220">
      <c r="A950" s="1" t="n"/>
      <c r="B950" s="1" t="n"/>
      <c r="C950" s="2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Q950" s="1" t="n"/>
      <c r="AR950" s="1" t="n"/>
      <c r="AS950" s="1" t="n"/>
      <c r="AT950" s="1" t="n"/>
      <c r="AU950" s="1" t="n"/>
      <c r="AV950" s="1" t="n"/>
      <c r="AW950" s="1" t="n"/>
      <c r="AX950" s="1" t="n"/>
      <c r="AY950" s="1" t="n"/>
      <c r="AZ950" s="1" t="n"/>
      <c r="BA950" s="1" t="n"/>
    </row>
    <row r="951" ht="16.5" customHeight="1" s="220">
      <c r="A951" s="1" t="n"/>
      <c r="B951" s="1" t="n"/>
      <c r="C951" s="2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  <c r="AR951" s="1" t="n"/>
      <c r="AS951" s="1" t="n"/>
      <c r="AT951" s="1" t="n"/>
      <c r="AU951" s="1" t="n"/>
      <c r="AV951" s="1" t="n"/>
      <c r="AW951" s="1" t="n"/>
      <c r="AX951" s="1" t="n"/>
      <c r="AY951" s="1" t="n"/>
      <c r="AZ951" s="1" t="n"/>
      <c r="BA951" s="1" t="n"/>
    </row>
    <row r="952" ht="16.5" customHeight="1" s="220">
      <c r="A952" s="1" t="n"/>
      <c r="B952" s="1" t="n"/>
      <c r="C952" s="2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Q952" s="1" t="n"/>
      <c r="AR952" s="1" t="n"/>
      <c r="AS952" s="1" t="n"/>
      <c r="AT952" s="1" t="n"/>
      <c r="AU952" s="1" t="n"/>
      <c r="AV952" s="1" t="n"/>
      <c r="AW952" s="1" t="n"/>
      <c r="AX952" s="1" t="n"/>
      <c r="AY952" s="1" t="n"/>
      <c r="AZ952" s="1" t="n"/>
      <c r="BA952" s="1" t="n"/>
    </row>
    <row r="953" ht="16.5" customHeight="1" s="220">
      <c r="A953" s="1" t="n"/>
      <c r="B953" s="1" t="n"/>
      <c r="C953" s="2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  <c r="AR953" s="1" t="n"/>
      <c r="AS953" s="1" t="n"/>
      <c r="AT953" s="1" t="n"/>
      <c r="AU953" s="1" t="n"/>
      <c r="AV953" s="1" t="n"/>
      <c r="AW953" s="1" t="n"/>
      <c r="AX953" s="1" t="n"/>
      <c r="AY953" s="1" t="n"/>
      <c r="AZ953" s="1" t="n"/>
      <c r="BA953" s="1" t="n"/>
    </row>
    <row r="954" ht="16.5" customHeight="1" s="220">
      <c r="A954" s="1" t="n"/>
      <c r="B954" s="1" t="n"/>
      <c r="C954" s="2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Q954" s="1" t="n"/>
      <c r="AR954" s="1" t="n"/>
      <c r="AS954" s="1" t="n"/>
      <c r="AT954" s="1" t="n"/>
      <c r="AU954" s="1" t="n"/>
      <c r="AV954" s="1" t="n"/>
      <c r="AW954" s="1" t="n"/>
      <c r="AX954" s="1" t="n"/>
      <c r="AY954" s="1" t="n"/>
      <c r="AZ954" s="1" t="n"/>
      <c r="BA954" s="1" t="n"/>
    </row>
    <row r="955" ht="16.5" customHeight="1" s="220">
      <c r="A955" s="1" t="n"/>
      <c r="B955" s="1" t="n"/>
      <c r="C955" s="2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  <c r="AR955" s="1" t="n"/>
      <c r="AS955" s="1" t="n"/>
      <c r="AT955" s="1" t="n"/>
      <c r="AU955" s="1" t="n"/>
      <c r="AV955" s="1" t="n"/>
      <c r="AW955" s="1" t="n"/>
      <c r="AX955" s="1" t="n"/>
      <c r="AY955" s="1" t="n"/>
      <c r="AZ955" s="1" t="n"/>
      <c r="BA955" s="1" t="n"/>
    </row>
    <row r="956" ht="16.5" customHeight="1" s="220">
      <c r="A956" s="1" t="n"/>
      <c r="B956" s="1" t="n"/>
      <c r="C956" s="2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Q956" s="1" t="n"/>
      <c r="AR956" s="1" t="n"/>
      <c r="AS956" s="1" t="n"/>
      <c r="AT956" s="1" t="n"/>
      <c r="AU956" s="1" t="n"/>
      <c r="AV956" s="1" t="n"/>
      <c r="AW956" s="1" t="n"/>
      <c r="AX956" s="1" t="n"/>
      <c r="AY956" s="1" t="n"/>
      <c r="AZ956" s="1" t="n"/>
      <c r="BA956" s="1" t="n"/>
    </row>
    <row r="957" ht="16.5" customHeight="1" s="220">
      <c r="A957" s="1" t="n"/>
      <c r="B957" s="1" t="n"/>
      <c r="C957" s="2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  <c r="AR957" s="1" t="n"/>
      <c r="AS957" s="1" t="n"/>
      <c r="AT957" s="1" t="n"/>
      <c r="AU957" s="1" t="n"/>
      <c r="AV957" s="1" t="n"/>
      <c r="AW957" s="1" t="n"/>
      <c r="AX957" s="1" t="n"/>
      <c r="AY957" s="1" t="n"/>
      <c r="AZ957" s="1" t="n"/>
      <c r="BA957" s="1" t="n"/>
    </row>
    <row r="958" ht="16.5" customHeight="1" s="220">
      <c r="A958" s="1" t="n"/>
      <c r="B958" s="1" t="n"/>
      <c r="C958" s="2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Q958" s="1" t="n"/>
      <c r="AR958" s="1" t="n"/>
      <c r="AS958" s="1" t="n"/>
      <c r="AT958" s="1" t="n"/>
      <c r="AU958" s="1" t="n"/>
      <c r="AV958" s="1" t="n"/>
      <c r="AW958" s="1" t="n"/>
      <c r="AX958" s="1" t="n"/>
      <c r="AY958" s="1" t="n"/>
      <c r="AZ958" s="1" t="n"/>
      <c r="BA958" s="1" t="n"/>
    </row>
    <row r="959" ht="16.5" customHeight="1" s="220">
      <c r="A959" s="1" t="n"/>
      <c r="B959" s="1" t="n"/>
      <c r="C959" s="2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  <c r="AR959" s="1" t="n"/>
      <c r="AS959" s="1" t="n"/>
      <c r="AT959" s="1" t="n"/>
      <c r="AU959" s="1" t="n"/>
      <c r="AV959" s="1" t="n"/>
      <c r="AW959" s="1" t="n"/>
      <c r="AX959" s="1" t="n"/>
      <c r="AY959" s="1" t="n"/>
      <c r="AZ959" s="1" t="n"/>
      <c r="BA959" s="1" t="n"/>
    </row>
    <row r="960" ht="16.5" customHeight="1" s="220">
      <c r="A960" s="1" t="n"/>
      <c r="B960" s="1" t="n"/>
      <c r="C960" s="2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Q960" s="1" t="n"/>
      <c r="AR960" s="1" t="n"/>
      <c r="AS960" s="1" t="n"/>
      <c r="AT960" s="1" t="n"/>
      <c r="AU960" s="1" t="n"/>
      <c r="AV960" s="1" t="n"/>
      <c r="AW960" s="1" t="n"/>
      <c r="AX960" s="1" t="n"/>
      <c r="AY960" s="1" t="n"/>
      <c r="AZ960" s="1" t="n"/>
      <c r="BA960" s="1" t="n"/>
    </row>
    <row r="961" ht="16.5" customHeight="1" s="220">
      <c r="A961" s="1" t="n"/>
      <c r="B961" s="1" t="n"/>
      <c r="C961" s="2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  <c r="AR961" s="1" t="n"/>
      <c r="AS961" s="1" t="n"/>
      <c r="AT961" s="1" t="n"/>
      <c r="AU961" s="1" t="n"/>
      <c r="AV961" s="1" t="n"/>
      <c r="AW961" s="1" t="n"/>
      <c r="AX961" s="1" t="n"/>
      <c r="AY961" s="1" t="n"/>
      <c r="AZ961" s="1" t="n"/>
      <c r="BA961" s="1" t="n"/>
    </row>
    <row r="962" ht="16.5" customHeight="1" s="220">
      <c r="A962" s="1" t="n"/>
      <c r="B962" s="1" t="n"/>
      <c r="C962" s="2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Q962" s="1" t="n"/>
      <c r="AR962" s="1" t="n"/>
      <c r="AS962" s="1" t="n"/>
      <c r="AT962" s="1" t="n"/>
      <c r="AU962" s="1" t="n"/>
      <c r="AV962" s="1" t="n"/>
      <c r="AW962" s="1" t="n"/>
      <c r="AX962" s="1" t="n"/>
      <c r="AY962" s="1" t="n"/>
      <c r="AZ962" s="1" t="n"/>
      <c r="BA962" s="1" t="n"/>
    </row>
    <row r="963" ht="16.5" customHeight="1" s="220">
      <c r="A963" s="1" t="n"/>
      <c r="B963" s="1" t="n"/>
      <c r="C963" s="2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  <c r="AR963" s="1" t="n"/>
      <c r="AS963" s="1" t="n"/>
      <c r="AT963" s="1" t="n"/>
      <c r="AU963" s="1" t="n"/>
      <c r="AV963" s="1" t="n"/>
      <c r="AW963" s="1" t="n"/>
      <c r="AX963" s="1" t="n"/>
      <c r="AY963" s="1" t="n"/>
      <c r="AZ963" s="1" t="n"/>
      <c r="BA963" s="1" t="n"/>
    </row>
    <row r="964" ht="16.5" customHeight="1" s="220">
      <c r="A964" s="1" t="n"/>
      <c r="B964" s="1" t="n"/>
      <c r="C964" s="2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Q964" s="1" t="n"/>
      <c r="AR964" s="1" t="n"/>
      <c r="AS964" s="1" t="n"/>
      <c r="AT964" s="1" t="n"/>
      <c r="AU964" s="1" t="n"/>
      <c r="AV964" s="1" t="n"/>
      <c r="AW964" s="1" t="n"/>
      <c r="AX964" s="1" t="n"/>
      <c r="AY964" s="1" t="n"/>
      <c r="AZ964" s="1" t="n"/>
      <c r="BA964" s="1" t="n"/>
    </row>
    <row r="965" ht="16.5" customHeight="1" s="220">
      <c r="A965" s="1" t="n"/>
      <c r="B965" s="1" t="n"/>
      <c r="C965" s="2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  <c r="AR965" s="1" t="n"/>
      <c r="AS965" s="1" t="n"/>
      <c r="AT965" s="1" t="n"/>
      <c r="AU965" s="1" t="n"/>
      <c r="AV965" s="1" t="n"/>
      <c r="AW965" s="1" t="n"/>
      <c r="AX965" s="1" t="n"/>
      <c r="AY965" s="1" t="n"/>
      <c r="AZ965" s="1" t="n"/>
      <c r="BA965" s="1" t="n"/>
    </row>
    <row r="966" ht="16.5" customHeight="1" s="220">
      <c r="A966" s="1" t="n"/>
      <c r="B966" s="1" t="n"/>
      <c r="C966" s="2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Q966" s="1" t="n"/>
      <c r="AR966" s="1" t="n"/>
      <c r="AS966" s="1" t="n"/>
      <c r="AT966" s="1" t="n"/>
      <c r="AU966" s="1" t="n"/>
      <c r="AV966" s="1" t="n"/>
      <c r="AW966" s="1" t="n"/>
      <c r="AX966" s="1" t="n"/>
      <c r="AY966" s="1" t="n"/>
      <c r="AZ966" s="1" t="n"/>
      <c r="BA966" s="1" t="n"/>
    </row>
    <row r="967" ht="16.5" customHeight="1" s="220">
      <c r="A967" s="1" t="n"/>
      <c r="B967" s="1" t="n"/>
      <c r="C967" s="2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  <c r="AR967" s="1" t="n"/>
      <c r="AS967" s="1" t="n"/>
      <c r="AT967" s="1" t="n"/>
      <c r="AU967" s="1" t="n"/>
      <c r="AV967" s="1" t="n"/>
      <c r="AW967" s="1" t="n"/>
      <c r="AX967" s="1" t="n"/>
      <c r="AY967" s="1" t="n"/>
      <c r="AZ967" s="1" t="n"/>
      <c r="BA967" s="1" t="n"/>
    </row>
    <row r="968" ht="16.5" customHeight="1" s="220">
      <c r="A968" s="1" t="n"/>
      <c r="B968" s="1" t="n"/>
      <c r="C968" s="2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Q968" s="1" t="n"/>
      <c r="AR968" s="1" t="n"/>
      <c r="AS968" s="1" t="n"/>
      <c r="AT968" s="1" t="n"/>
      <c r="AU968" s="1" t="n"/>
      <c r="AV968" s="1" t="n"/>
      <c r="AW968" s="1" t="n"/>
      <c r="AX968" s="1" t="n"/>
      <c r="AY968" s="1" t="n"/>
      <c r="AZ968" s="1" t="n"/>
      <c r="BA968" s="1" t="n"/>
    </row>
    <row r="969" ht="16.5" customHeight="1" s="220">
      <c r="A969" s="1" t="n"/>
      <c r="B969" s="1" t="n"/>
      <c r="C969" s="2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  <c r="AR969" s="1" t="n"/>
      <c r="AS969" s="1" t="n"/>
      <c r="AT969" s="1" t="n"/>
      <c r="AU969" s="1" t="n"/>
      <c r="AV969" s="1" t="n"/>
      <c r="AW969" s="1" t="n"/>
      <c r="AX969" s="1" t="n"/>
      <c r="AY969" s="1" t="n"/>
      <c r="AZ969" s="1" t="n"/>
      <c r="BA969" s="1" t="n"/>
    </row>
    <row r="970" ht="16.5" customHeight="1" s="220">
      <c r="A970" s="1" t="n"/>
      <c r="B970" s="1" t="n"/>
      <c r="C970" s="2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Q970" s="1" t="n"/>
      <c r="AR970" s="1" t="n"/>
      <c r="AS970" s="1" t="n"/>
      <c r="AT970" s="1" t="n"/>
      <c r="AU970" s="1" t="n"/>
      <c r="AV970" s="1" t="n"/>
      <c r="AW970" s="1" t="n"/>
      <c r="AX970" s="1" t="n"/>
      <c r="AY970" s="1" t="n"/>
      <c r="AZ970" s="1" t="n"/>
      <c r="BA970" s="1" t="n"/>
    </row>
    <row r="971" ht="16.5" customHeight="1" s="220">
      <c r="A971" s="1" t="n"/>
      <c r="B971" s="1" t="n"/>
      <c r="C971" s="2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  <c r="AR971" s="1" t="n"/>
      <c r="AS971" s="1" t="n"/>
      <c r="AT971" s="1" t="n"/>
      <c r="AU971" s="1" t="n"/>
      <c r="AV971" s="1" t="n"/>
      <c r="AW971" s="1" t="n"/>
      <c r="AX971" s="1" t="n"/>
      <c r="AY971" s="1" t="n"/>
      <c r="AZ971" s="1" t="n"/>
      <c r="BA971" s="1" t="n"/>
    </row>
    <row r="972" ht="16.5" customHeight="1" s="220">
      <c r="A972" s="1" t="n"/>
      <c r="B972" s="1" t="n"/>
      <c r="C972" s="2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Q972" s="1" t="n"/>
      <c r="AR972" s="1" t="n"/>
      <c r="AS972" s="1" t="n"/>
      <c r="AT972" s="1" t="n"/>
      <c r="AU972" s="1" t="n"/>
      <c r="AV972" s="1" t="n"/>
      <c r="AW972" s="1" t="n"/>
      <c r="AX972" s="1" t="n"/>
      <c r="AY972" s="1" t="n"/>
      <c r="AZ972" s="1" t="n"/>
      <c r="BA972" s="1" t="n"/>
    </row>
    <row r="973" ht="16.5" customHeight="1" s="220">
      <c r="A973" s="1" t="n"/>
      <c r="B973" s="1" t="n"/>
      <c r="C973" s="2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  <c r="AR973" s="1" t="n"/>
      <c r="AS973" s="1" t="n"/>
      <c r="AT973" s="1" t="n"/>
      <c r="AU973" s="1" t="n"/>
      <c r="AV973" s="1" t="n"/>
      <c r="AW973" s="1" t="n"/>
      <c r="AX973" s="1" t="n"/>
      <c r="AY973" s="1" t="n"/>
      <c r="AZ973" s="1" t="n"/>
      <c r="BA973" s="1" t="n"/>
    </row>
    <row r="974" ht="16.5" customHeight="1" s="220">
      <c r="A974" s="1" t="n"/>
      <c r="B974" s="1" t="n"/>
      <c r="C974" s="2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Q974" s="1" t="n"/>
      <c r="AR974" s="1" t="n"/>
      <c r="AS974" s="1" t="n"/>
      <c r="AT974" s="1" t="n"/>
      <c r="AU974" s="1" t="n"/>
      <c r="AV974" s="1" t="n"/>
      <c r="AW974" s="1" t="n"/>
      <c r="AX974" s="1" t="n"/>
      <c r="AY974" s="1" t="n"/>
      <c r="AZ974" s="1" t="n"/>
      <c r="BA974" s="1" t="n"/>
    </row>
    <row r="975" ht="16.5" customHeight="1" s="220">
      <c r="A975" s="1" t="n"/>
      <c r="B975" s="1" t="n"/>
      <c r="C975" s="2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  <c r="AR975" s="1" t="n"/>
      <c r="AS975" s="1" t="n"/>
      <c r="AT975" s="1" t="n"/>
      <c r="AU975" s="1" t="n"/>
      <c r="AV975" s="1" t="n"/>
      <c r="AW975" s="1" t="n"/>
      <c r="AX975" s="1" t="n"/>
      <c r="AY975" s="1" t="n"/>
      <c r="AZ975" s="1" t="n"/>
      <c r="BA975" s="1" t="n"/>
    </row>
    <row r="976" ht="16.5" customHeight="1" s="220">
      <c r="A976" s="1" t="n"/>
      <c r="B976" s="1" t="n"/>
      <c r="C976" s="2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Q976" s="1" t="n"/>
      <c r="AR976" s="1" t="n"/>
      <c r="AS976" s="1" t="n"/>
      <c r="AT976" s="1" t="n"/>
      <c r="AU976" s="1" t="n"/>
      <c r="AV976" s="1" t="n"/>
      <c r="AW976" s="1" t="n"/>
      <c r="AX976" s="1" t="n"/>
      <c r="AY976" s="1" t="n"/>
      <c r="AZ976" s="1" t="n"/>
      <c r="BA976" s="1" t="n"/>
    </row>
    <row r="977" ht="16.5" customHeight="1" s="220">
      <c r="A977" s="1" t="n"/>
      <c r="B977" s="1" t="n"/>
      <c r="C977" s="2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  <c r="AR977" s="1" t="n"/>
      <c r="AS977" s="1" t="n"/>
      <c r="AT977" s="1" t="n"/>
      <c r="AU977" s="1" t="n"/>
      <c r="AV977" s="1" t="n"/>
      <c r="AW977" s="1" t="n"/>
      <c r="AX977" s="1" t="n"/>
      <c r="AY977" s="1" t="n"/>
      <c r="AZ977" s="1" t="n"/>
      <c r="BA977" s="1" t="n"/>
    </row>
    <row r="978" ht="16.5" customHeight="1" s="220">
      <c r="A978" s="1" t="n"/>
      <c r="B978" s="1" t="n"/>
      <c r="C978" s="2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Q978" s="1" t="n"/>
      <c r="AR978" s="1" t="n"/>
      <c r="AS978" s="1" t="n"/>
      <c r="AT978" s="1" t="n"/>
      <c r="AU978" s="1" t="n"/>
      <c r="AV978" s="1" t="n"/>
      <c r="AW978" s="1" t="n"/>
      <c r="AX978" s="1" t="n"/>
      <c r="AY978" s="1" t="n"/>
      <c r="AZ978" s="1" t="n"/>
      <c r="BA978" s="1" t="n"/>
    </row>
    <row r="979" ht="16.5" customHeight="1" s="220">
      <c r="A979" s="1" t="n"/>
      <c r="B979" s="1" t="n"/>
      <c r="C979" s="2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  <c r="AR979" s="1" t="n"/>
      <c r="AS979" s="1" t="n"/>
      <c r="AT979" s="1" t="n"/>
      <c r="AU979" s="1" t="n"/>
      <c r="AV979" s="1" t="n"/>
      <c r="AW979" s="1" t="n"/>
      <c r="AX979" s="1" t="n"/>
      <c r="AY979" s="1" t="n"/>
      <c r="AZ979" s="1" t="n"/>
      <c r="BA979" s="1" t="n"/>
    </row>
    <row r="980" ht="16.5" customHeight="1" s="220">
      <c r="A980" s="1" t="n"/>
      <c r="B980" s="1" t="n"/>
      <c r="C980" s="2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Q980" s="1" t="n"/>
      <c r="AR980" s="1" t="n"/>
      <c r="AS980" s="1" t="n"/>
      <c r="AT980" s="1" t="n"/>
      <c r="AU980" s="1" t="n"/>
      <c r="AV980" s="1" t="n"/>
      <c r="AW980" s="1" t="n"/>
      <c r="AX980" s="1" t="n"/>
      <c r="AY980" s="1" t="n"/>
      <c r="AZ980" s="1" t="n"/>
      <c r="BA980" s="1" t="n"/>
    </row>
    <row r="981" ht="16.5" customHeight="1" s="220">
      <c r="A981" s="1" t="n"/>
      <c r="B981" s="1" t="n"/>
      <c r="C981" s="2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  <c r="AR981" s="1" t="n"/>
      <c r="AS981" s="1" t="n"/>
      <c r="AT981" s="1" t="n"/>
      <c r="AU981" s="1" t="n"/>
      <c r="AV981" s="1" t="n"/>
      <c r="AW981" s="1" t="n"/>
      <c r="AX981" s="1" t="n"/>
      <c r="AY981" s="1" t="n"/>
      <c r="AZ981" s="1" t="n"/>
      <c r="BA981" s="1" t="n"/>
    </row>
    <row r="982" ht="16.5" customHeight="1" s="220">
      <c r="A982" s="1" t="n"/>
      <c r="B982" s="1" t="n"/>
      <c r="C982" s="2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Q982" s="1" t="n"/>
      <c r="AR982" s="1" t="n"/>
      <c r="AS982" s="1" t="n"/>
      <c r="AT982" s="1" t="n"/>
      <c r="AU982" s="1" t="n"/>
      <c r="AV982" s="1" t="n"/>
      <c r="AW982" s="1" t="n"/>
      <c r="AX982" s="1" t="n"/>
      <c r="AY982" s="1" t="n"/>
      <c r="AZ982" s="1" t="n"/>
      <c r="BA982" s="1" t="n"/>
    </row>
    <row r="983" ht="16.5" customHeight="1" s="220">
      <c r="A983" s="1" t="n"/>
      <c r="B983" s="1" t="n"/>
      <c r="C983" s="2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  <c r="AR983" s="1" t="n"/>
      <c r="AS983" s="1" t="n"/>
      <c r="AT983" s="1" t="n"/>
      <c r="AU983" s="1" t="n"/>
      <c r="AV983" s="1" t="n"/>
      <c r="AW983" s="1" t="n"/>
      <c r="AX983" s="1" t="n"/>
      <c r="AY983" s="1" t="n"/>
      <c r="AZ983" s="1" t="n"/>
      <c r="BA983" s="1" t="n"/>
    </row>
    <row r="984" ht="16.5" customHeight="1" s="220">
      <c r="A984" s="1" t="n"/>
      <c r="B984" s="1" t="n"/>
      <c r="C984" s="2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Q984" s="1" t="n"/>
      <c r="AR984" s="1" t="n"/>
      <c r="AS984" s="1" t="n"/>
      <c r="AT984" s="1" t="n"/>
      <c r="AU984" s="1" t="n"/>
      <c r="AV984" s="1" t="n"/>
      <c r="AW984" s="1" t="n"/>
      <c r="AX984" s="1" t="n"/>
      <c r="AY984" s="1" t="n"/>
      <c r="AZ984" s="1" t="n"/>
      <c r="BA984" s="1" t="n"/>
    </row>
    <row r="985" ht="16.5" customHeight="1" s="220">
      <c r="A985" s="1" t="n"/>
      <c r="B985" s="1" t="n"/>
      <c r="C985" s="2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  <c r="AR985" s="1" t="n"/>
      <c r="AS985" s="1" t="n"/>
      <c r="AT985" s="1" t="n"/>
      <c r="AU985" s="1" t="n"/>
      <c r="AV985" s="1" t="n"/>
      <c r="AW985" s="1" t="n"/>
      <c r="AX985" s="1" t="n"/>
      <c r="AY985" s="1" t="n"/>
      <c r="AZ985" s="1" t="n"/>
      <c r="BA985" s="1" t="n"/>
    </row>
    <row r="986" ht="16.5" customHeight="1" s="220">
      <c r="A986" s="1" t="n"/>
      <c r="B986" s="1" t="n"/>
      <c r="C986" s="2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Q986" s="1" t="n"/>
      <c r="AR986" s="1" t="n"/>
      <c r="AS986" s="1" t="n"/>
      <c r="AT986" s="1" t="n"/>
      <c r="AU986" s="1" t="n"/>
      <c r="AV986" s="1" t="n"/>
      <c r="AW986" s="1" t="n"/>
      <c r="AX986" s="1" t="n"/>
      <c r="AY986" s="1" t="n"/>
      <c r="AZ986" s="1" t="n"/>
      <c r="BA986" s="1" t="n"/>
    </row>
    <row r="987" ht="16.5" customHeight="1" s="220">
      <c r="A987" s="1" t="n"/>
      <c r="B987" s="1" t="n"/>
      <c r="C987" s="2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  <c r="AR987" s="1" t="n"/>
      <c r="AS987" s="1" t="n"/>
      <c r="AT987" s="1" t="n"/>
      <c r="AU987" s="1" t="n"/>
      <c r="AV987" s="1" t="n"/>
      <c r="AW987" s="1" t="n"/>
      <c r="AX987" s="1" t="n"/>
      <c r="AY987" s="1" t="n"/>
      <c r="AZ987" s="1" t="n"/>
      <c r="BA987" s="1" t="n"/>
    </row>
    <row r="988" ht="16.5" customHeight="1" s="220">
      <c r="A988" s="1" t="n"/>
      <c r="B988" s="1" t="n"/>
      <c r="C988" s="2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Q988" s="1" t="n"/>
      <c r="AR988" s="1" t="n"/>
      <c r="AS988" s="1" t="n"/>
      <c r="AT988" s="1" t="n"/>
      <c r="AU988" s="1" t="n"/>
      <c r="AV988" s="1" t="n"/>
      <c r="AW988" s="1" t="n"/>
      <c r="AX988" s="1" t="n"/>
      <c r="AY988" s="1" t="n"/>
      <c r="AZ988" s="1" t="n"/>
      <c r="BA988" s="1" t="n"/>
    </row>
    <row r="989" ht="16.5" customHeight="1" s="220">
      <c r="A989" s="1" t="n"/>
      <c r="B989" s="1" t="n"/>
      <c r="C989" s="2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  <c r="AR989" s="1" t="n"/>
      <c r="AS989" s="1" t="n"/>
      <c r="AT989" s="1" t="n"/>
      <c r="AU989" s="1" t="n"/>
      <c r="AV989" s="1" t="n"/>
      <c r="AW989" s="1" t="n"/>
      <c r="AX989" s="1" t="n"/>
      <c r="AY989" s="1" t="n"/>
      <c r="AZ989" s="1" t="n"/>
      <c r="BA989" s="1" t="n"/>
    </row>
    <row r="990" ht="16.5" customHeight="1" s="220">
      <c r="A990" s="1" t="n"/>
      <c r="B990" s="1" t="n"/>
      <c r="C990" s="2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  <c r="AQ990" s="1" t="n"/>
      <c r="AR990" s="1" t="n"/>
      <c r="AS990" s="1" t="n"/>
      <c r="AT990" s="1" t="n"/>
      <c r="AU990" s="1" t="n"/>
      <c r="AV990" s="1" t="n"/>
      <c r="AW990" s="1" t="n"/>
      <c r="AX990" s="1" t="n"/>
      <c r="AY990" s="1" t="n"/>
      <c r="AZ990" s="1" t="n"/>
      <c r="BA990" s="1" t="n"/>
    </row>
    <row r="991" ht="16.5" customHeight="1" s="220">
      <c r="A991" s="1" t="n"/>
      <c r="B991" s="1" t="n"/>
      <c r="C991" s="2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  <c r="AR991" s="1" t="n"/>
      <c r="AS991" s="1" t="n"/>
      <c r="AT991" s="1" t="n"/>
      <c r="AU991" s="1" t="n"/>
      <c r="AV991" s="1" t="n"/>
      <c r="AW991" s="1" t="n"/>
      <c r="AX991" s="1" t="n"/>
      <c r="AY991" s="1" t="n"/>
      <c r="AZ991" s="1" t="n"/>
      <c r="BA991" s="1" t="n"/>
    </row>
    <row r="992" ht="16.5" customHeight="1" s="220">
      <c r="A992" s="1" t="n"/>
      <c r="B992" s="1" t="n"/>
      <c r="C992" s="2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  <c r="AQ992" s="1" t="n"/>
      <c r="AR992" s="1" t="n"/>
      <c r="AS992" s="1" t="n"/>
      <c r="AT992" s="1" t="n"/>
      <c r="AU992" s="1" t="n"/>
      <c r="AV992" s="1" t="n"/>
      <c r="AW992" s="1" t="n"/>
      <c r="AX992" s="1" t="n"/>
      <c r="AY992" s="1" t="n"/>
      <c r="AZ992" s="1" t="n"/>
      <c r="BA992" s="1" t="n"/>
    </row>
    <row r="993" ht="16.5" customHeight="1" s="220">
      <c r="A993" s="1" t="n"/>
      <c r="B993" s="1" t="n"/>
      <c r="C993" s="2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Q993" s="1" t="n"/>
      <c r="AR993" s="1" t="n"/>
      <c r="AS993" s="1" t="n"/>
      <c r="AT993" s="1" t="n"/>
      <c r="AU993" s="1" t="n"/>
      <c r="AV993" s="1" t="n"/>
      <c r="AW993" s="1" t="n"/>
      <c r="AX993" s="1" t="n"/>
      <c r="AY993" s="1" t="n"/>
      <c r="AZ993" s="1" t="n"/>
      <c r="BA993" s="1" t="n"/>
    </row>
    <row r="994" ht="16.5" customHeight="1" s="220">
      <c r="A994" s="1" t="n"/>
      <c r="B994" s="1" t="n"/>
      <c r="C994" s="2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Q994" s="1" t="n"/>
      <c r="AR994" s="1" t="n"/>
      <c r="AS994" s="1" t="n"/>
      <c r="AT994" s="1" t="n"/>
      <c r="AU994" s="1" t="n"/>
      <c r="AV994" s="1" t="n"/>
      <c r="AW994" s="1" t="n"/>
      <c r="AX994" s="1" t="n"/>
      <c r="AY994" s="1" t="n"/>
      <c r="AZ994" s="1" t="n"/>
      <c r="BA994" s="1" t="n"/>
    </row>
    <row r="995" ht="16.5" customHeight="1" s="220">
      <c r="A995" s="1" t="n"/>
      <c r="B995" s="1" t="n"/>
      <c r="C995" s="2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  <c r="AR995" s="1" t="n"/>
      <c r="AS995" s="1" t="n"/>
      <c r="AT995" s="1" t="n"/>
      <c r="AU995" s="1" t="n"/>
      <c r="AV995" s="1" t="n"/>
      <c r="AW995" s="1" t="n"/>
      <c r="AX995" s="1" t="n"/>
      <c r="AY995" s="1" t="n"/>
      <c r="AZ995" s="1" t="n"/>
      <c r="BA995" s="1" t="n"/>
    </row>
    <row r="996" ht="16.5" customHeight="1" s="220">
      <c r="A996" s="1" t="n"/>
      <c r="B996" s="1" t="n"/>
      <c r="C996" s="2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Q996" s="1" t="n"/>
      <c r="AR996" s="1" t="n"/>
      <c r="AS996" s="1" t="n"/>
      <c r="AT996" s="1" t="n"/>
      <c r="AU996" s="1" t="n"/>
      <c r="AV996" s="1" t="n"/>
      <c r="AW996" s="1" t="n"/>
      <c r="AX996" s="1" t="n"/>
      <c r="AY996" s="1" t="n"/>
      <c r="AZ996" s="1" t="n"/>
      <c r="BA996" s="1" t="n"/>
    </row>
    <row r="997" ht="16.5" customHeight="1" s="220">
      <c r="A997" s="1" t="n"/>
      <c r="B997" s="1" t="n"/>
      <c r="C997" s="2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  <c r="AR997" s="1" t="n"/>
      <c r="AS997" s="1" t="n"/>
      <c r="AT997" s="1" t="n"/>
      <c r="AU997" s="1" t="n"/>
      <c r="AV997" s="1" t="n"/>
      <c r="AW997" s="1" t="n"/>
      <c r="AX997" s="1" t="n"/>
      <c r="AY997" s="1" t="n"/>
      <c r="AZ997" s="1" t="n"/>
      <c r="BA997" s="1" t="n"/>
    </row>
    <row r="998" ht="16.5" customHeight="1" s="220">
      <c r="A998" s="1" t="n"/>
      <c r="B998" s="1" t="n"/>
      <c r="C998" s="2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  <c r="AQ998" s="1" t="n"/>
      <c r="AR998" s="1" t="n"/>
      <c r="AS998" s="1" t="n"/>
      <c r="AT998" s="1" t="n"/>
      <c r="AU998" s="1" t="n"/>
      <c r="AV998" s="1" t="n"/>
      <c r="AW998" s="1" t="n"/>
      <c r="AX998" s="1" t="n"/>
      <c r="AY998" s="1" t="n"/>
      <c r="AZ998" s="1" t="n"/>
      <c r="BA998" s="1" t="n"/>
    </row>
    <row r="999" ht="16.5" customHeight="1" s="220">
      <c r="A999" s="1" t="n"/>
      <c r="B999" s="1" t="n"/>
      <c r="C999" s="2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Q999" s="1" t="n"/>
      <c r="AR999" s="1" t="n"/>
      <c r="AS999" s="1" t="n"/>
      <c r="AT999" s="1" t="n"/>
      <c r="AU999" s="1" t="n"/>
      <c r="AV999" s="1" t="n"/>
      <c r="AW999" s="1" t="n"/>
      <c r="AX999" s="1" t="n"/>
      <c r="AY999" s="1" t="n"/>
      <c r="AZ999" s="1" t="n"/>
      <c r="BA999" s="1" t="n"/>
    </row>
    <row r="1000" ht="16.5" customHeight="1" s="220">
      <c r="A1000" s="1" t="n"/>
      <c r="B1000" s="1" t="n"/>
      <c r="C1000" s="2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  <c r="AQ1000" s="1" t="n"/>
      <c r="AR1000" s="1" t="n"/>
      <c r="AS1000" s="1" t="n"/>
      <c r="AT1000" s="1" t="n"/>
      <c r="AU1000" s="1" t="n"/>
      <c r="AV1000" s="1" t="n"/>
      <c r="AW1000" s="1" t="n"/>
      <c r="AX1000" s="1" t="n"/>
      <c r="AY1000" s="1" t="n"/>
      <c r="AZ1000" s="1" t="n"/>
      <c r="BA1000" s="1" t="n"/>
    </row>
  </sheetData>
  <mergeCells count="48">
    <mergeCell ref="F4:G4"/>
    <mergeCell ref="Y5:AA5"/>
    <mergeCell ref="Q5:S5"/>
    <mergeCell ref="AY3:AZ3"/>
    <mergeCell ref="B3:C3"/>
    <mergeCell ref="V33:W33"/>
    <mergeCell ref="N4:O4"/>
    <mergeCell ref="AY33:AZ33"/>
    <mergeCell ref="R4:S4"/>
    <mergeCell ref="F3:G3"/>
    <mergeCell ref="AT3:AU3"/>
    <mergeCell ref="V4:W4"/>
    <mergeCell ref="AE3:AF3"/>
    <mergeCell ref="N3:O3"/>
    <mergeCell ref="AY4:AZ4"/>
    <mergeCell ref="A5:C5"/>
    <mergeCell ref="AT33:AU33"/>
    <mergeCell ref="AO3:AP3"/>
    <mergeCell ref="I5:K5"/>
    <mergeCell ref="F33:G33"/>
    <mergeCell ref="AO33:AP33"/>
    <mergeCell ref="N33:O33"/>
    <mergeCell ref="AE33:AF33"/>
    <mergeCell ref="AT4:AU4"/>
    <mergeCell ref="Z3:AA3"/>
    <mergeCell ref="J4:K4"/>
    <mergeCell ref="AJ3:AK3"/>
    <mergeCell ref="U5:W5"/>
    <mergeCell ref="AX5:AZ5"/>
    <mergeCell ref="AI5:AK5"/>
    <mergeCell ref="AJ33:AK33"/>
    <mergeCell ref="Z33:AA33"/>
    <mergeCell ref="AS5:AU5"/>
    <mergeCell ref="R3:S3"/>
    <mergeCell ref="AO4:AP4"/>
    <mergeCell ref="J3:K3"/>
    <mergeCell ref="AJ4:AK4"/>
    <mergeCell ref="Z4:AA4"/>
    <mergeCell ref="AD5:AF5"/>
    <mergeCell ref="B33:C33"/>
    <mergeCell ref="E5:G5"/>
    <mergeCell ref="AN5:AP5"/>
    <mergeCell ref="M5:O5"/>
    <mergeCell ref="J33:K33"/>
    <mergeCell ref="R33:S33"/>
    <mergeCell ref="B4:C4"/>
    <mergeCell ref="V3:W3"/>
    <mergeCell ref="AE4:AF4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CCFF"/>
    <outlinePr summaryBelow="1" summaryRight="1"/>
    <pageSetUpPr/>
  </sheetPr>
  <dimension ref="A1:BA1000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32.5" customWidth="1" style="220" min="1" max="1"/>
    <col width="76.13" customWidth="1" style="220" min="2" max="2"/>
    <col width="43.5" customWidth="1" style="220" min="3" max="3"/>
    <col width="23.5" customWidth="1" style="220" min="4" max="4"/>
    <col hidden="1" width="33" customWidth="1" style="220" min="5" max="5"/>
    <col hidden="1" width="56.75" customWidth="1" style="220" min="6" max="6"/>
    <col hidden="1" width="33.88" customWidth="1" style="220" min="7" max="7"/>
    <col hidden="1" width="28" customWidth="1" style="220" min="8" max="8"/>
    <col width="33" customWidth="1" style="220" min="9" max="9"/>
    <col width="56.75" customWidth="1" style="220" min="10" max="10"/>
    <col width="30.13" customWidth="1" style="220" min="11" max="11"/>
    <col width="28" customWidth="1" style="220" min="12" max="12"/>
    <col width="33.13" customWidth="1" style="220" min="13" max="13"/>
    <col width="56.75" customWidth="1" style="220" min="14" max="14"/>
    <col width="30.13" customWidth="1" style="220" min="15" max="15"/>
    <col width="41.75" customWidth="1" style="220" min="16" max="16"/>
    <col hidden="1" width="28.13" customWidth="1" style="220" min="17" max="17"/>
    <col hidden="1" width="56.75" customWidth="1" style="220" min="18" max="18"/>
    <col hidden="1" width="30.13" customWidth="1" style="220" min="19" max="19"/>
    <col hidden="1" width="27.38" customWidth="1" style="220" min="20" max="20"/>
    <col width="33.38" customWidth="1" style="220" min="21" max="21"/>
    <col width="56.75" customWidth="1" style="220" min="22" max="22"/>
    <col width="30.13" customWidth="1" style="220" min="23" max="23"/>
    <col width="47.63" customWidth="1" style="220" min="24" max="24"/>
    <col width="33.88" customWidth="1" style="220" min="25" max="25"/>
    <col width="56.75" customWidth="1" style="220" min="26" max="26"/>
    <col width="30.13" customWidth="1" style="220" min="27" max="27"/>
    <col width="22.88" customWidth="1" style="220" min="28" max="28"/>
    <col width="8.880000000000001" customWidth="1" style="220" min="29" max="29"/>
    <col width="32.75" customWidth="1" style="220" min="30" max="30"/>
    <col width="56.75" customWidth="1" style="220" min="31" max="31"/>
    <col width="30.13" customWidth="1" style="220" min="32" max="32"/>
    <col width="22.88" customWidth="1" style="220" min="33" max="33"/>
    <col width="8.880000000000001" customWidth="1" style="220" min="34" max="34"/>
    <col hidden="1" width="31.88" customWidth="1" style="220" min="35" max="35"/>
    <col hidden="1" width="52.63" customWidth="1" style="220" min="36" max="36"/>
    <col hidden="1" width="20" customWidth="1" style="220" min="37" max="37"/>
    <col hidden="1" width="19.25" customWidth="1" style="220" min="38" max="38"/>
    <col hidden="1" width="15.88" customWidth="1" style="220" min="39" max="39"/>
    <col hidden="1" width="31.88" customWidth="1" style="220" min="40" max="40"/>
    <col hidden="1" width="52.63" customWidth="1" style="220" min="41" max="41"/>
    <col hidden="1" width="24.5" customWidth="1" style="220" min="42" max="42"/>
    <col hidden="1" width="22.63" customWidth="1" style="220" min="43" max="43"/>
    <col hidden="1" width="8" customWidth="1" style="220" min="44" max="44"/>
    <col hidden="1" width="31.88" customWidth="1" style="220" min="45" max="45"/>
    <col hidden="1" width="52.63" customWidth="1" style="220" min="46" max="46"/>
    <col hidden="1" width="19.5" customWidth="1" style="220" min="47" max="47"/>
    <col hidden="1" width="11.5" customWidth="1" style="220" min="48" max="48"/>
    <col width="8.880000000000001" customWidth="1" style="220" min="49" max="49"/>
    <col hidden="1" width="31.88" customWidth="1" style="220" min="50" max="50"/>
    <col hidden="1" width="52.63" customWidth="1" style="220" min="51" max="51"/>
    <col hidden="1" width="19.5" customWidth="1" style="220" min="52" max="52"/>
    <col hidden="1" width="8" customWidth="1" style="220" min="53" max="53"/>
  </cols>
  <sheetData>
    <row r="1" ht="16.5" customHeight="1" s="220">
      <c r="A1" s="1" t="n"/>
      <c r="B1" s="1" t="n"/>
      <c r="C1" s="2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</row>
    <row r="2" ht="17.25" customHeight="1" s="220">
      <c r="A2" s="1" t="n"/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</row>
    <row r="3" ht="23.25" customHeight="1" s="220">
      <c r="A3" s="3" t="inlineStr">
        <is>
          <t>MONTH/YEAR:</t>
        </is>
      </c>
      <c r="B3" s="221" t="n">
        <v>46023</v>
      </c>
      <c r="C3" s="222" t="n"/>
      <c r="D3" s="1" t="n"/>
      <c r="E3" s="3" t="inlineStr">
        <is>
          <t>MONTH/YEAR:</t>
        </is>
      </c>
      <c r="F3" s="221">
        <f>B3</f>
        <v/>
      </c>
      <c r="G3" s="222" t="n"/>
      <c r="H3" s="1" t="n"/>
      <c r="I3" s="3" t="inlineStr">
        <is>
          <t>MONTH/YEAR:</t>
        </is>
      </c>
      <c r="J3" s="221">
        <f>B3</f>
        <v/>
      </c>
      <c r="K3" s="222" t="n"/>
      <c r="L3" s="1" t="n"/>
      <c r="M3" s="3" t="inlineStr">
        <is>
          <t>MONTH/YEAR:</t>
        </is>
      </c>
      <c r="N3" s="221">
        <f>B3</f>
        <v/>
      </c>
      <c r="O3" s="222" t="n"/>
      <c r="P3" s="1" t="n"/>
      <c r="Q3" s="3" t="inlineStr">
        <is>
          <t>MONTH/YEAR:</t>
        </is>
      </c>
      <c r="R3" s="221">
        <f>B3</f>
        <v/>
      </c>
      <c r="S3" s="222" t="n"/>
      <c r="T3" s="1" t="n"/>
      <c r="U3" s="3" t="inlineStr">
        <is>
          <t>MONTH/YEAR:</t>
        </is>
      </c>
      <c r="V3" s="221">
        <f>B3</f>
        <v/>
      </c>
      <c r="W3" s="222" t="n"/>
      <c r="X3" s="1" t="n"/>
      <c r="Y3" s="3" t="inlineStr">
        <is>
          <t>MONTH/YEAR:</t>
        </is>
      </c>
      <c r="Z3" s="221">
        <f>B3</f>
        <v/>
      </c>
      <c r="AA3" s="222" t="n"/>
      <c r="AB3" s="1" t="n"/>
      <c r="AC3" s="1" t="n"/>
      <c r="AD3" s="3" t="inlineStr">
        <is>
          <t>MONTH/YEAR:</t>
        </is>
      </c>
      <c r="AE3" s="221">
        <f>B3</f>
        <v/>
      </c>
      <c r="AF3" s="222" t="n"/>
      <c r="AG3" s="1" t="n"/>
      <c r="AH3" s="1" t="n"/>
      <c r="AI3" s="3" t="inlineStr">
        <is>
          <t>MONTH/YEAR:</t>
        </is>
      </c>
      <c r="AJ3" s="221">
        <f>AE3</f>
        <v/>
      </c>
      <c r="AK3" s="222" t="n"/>
      <c r="AL3" s="1" t="n"/>
      <c r="AM3" s="1" t="n"/>
      <c r="AN3" s="3" t="inlineStr">
        <is>
          <t>MONTH/YEAR:</t>
        </is>
      </c>
      <c r="AO3" s="221">
        <f>AE3</f>
        <v/>
      </c>
      <c r="AP3" s="222" t="n"/>
      <c r="AQ3" s="1" t="n"/>
      <c r="AR3" s="1" t="n"/>
      <c r="AS3" s="3" t="inlineStr">
        <is>
          <t>MONTH/YEAR:</t>
        </is>
      </c>
      <c r="AT3" s="221">
        <f>AO3</f>
        <v/>
      </c>
      <c r="AU3" s="222" t="n"/>
      <c r="AV3" s="1" t="n"/>
      <c r="AW3" s="1" t="n"/>
      <c r="AX3" s="3" t="inlineStr">
        <is>
          <t>MONTH/YEAR:</t>
        </is>
      </c>
      <c r="AY3" s="221">
        <f>V3</f>
        <v/>
      </c>
      <c r="AZ3" s="222" t="n"/>
      <c r="BA3" s="1" t="n"/>
    </row>
    <row r="4" ht="31.5" customHeight="1" s="220">
      <c r="A4" s="6" t="inlineStr">
        <is>
          <t>BRANCH:</t>
        </is>
      </c>
      <c r="B4" s="223" t="inlineStr">
        <is>
          <t>CASA DENTAL BEDOK PTE LTD</t>
        </is>
      </c>
      <c r="C4" s="224" t="n"/>
      <c r="D4" s="1" t="n"/>
      <c r="E4" s="6" t="inlineStr">
        <is>
          <t>BRANCH:</t>
        </is>
      </c>
      <c r="F4" s="223">
        <f>B4</f>
        <v/>
      </c>
      <c r="G4" s="224" t="n"/>
      <c r="H4" s="1" t="n"/>
      <c r="I4" s="6" t="inlineStr">
        <is>
          <t>BRANCH:</t>
        </is>
      </c>
      <c r="J4" s="223">
        <f>B4</f>
        <v/>
      </c>
      <c r="K4" s="224" t="n"/>
      <c r="L4" s="1" t="n"/>
      <c r="M4" s="6" t="inlineStr">
        <is>
          <t>BRANCH:</t>
        </is>
      </c>
      <c r="N4" s="223">
        <f>B4</f>
        <v/>
      </c>
      <c r="O4" s="224" t="n"/>
      <c r="P4" s="1" t="n"/>
      <c r="Q4" s="6" t="inlineStr">
        <is>
          <t>BRANCH:</t>
        </is>
      </c>
      <c r="R4" s="223" t="inlineStr">
        <is>
          <t>CASA DENTAL AMK PTE LTD</t>
        </is>
      </c>
      <c r="S4" s="224" t="n"/>
      <c r="T4" s="1" t="n"/>
      <c r="U4" s="199" t="inlineStr">
        <is>
          <t>BRANCH:</t>
        </is>
      </c>
      <c r="V4" s="235">
        <f>B4</f>
        <v/>
      </c>
      <c r="W4" s="236" t="n"/>
      <c r="X4" s="1" t="n"/>
      <c r="Y4" s="6" t="inlineStr">
        <is>
          <t>BRANCH:</t>
        </is>
      </c>
      <c r="Z4" s="223">
        <f>B4</f>
        <v/>
      </c>
      <c r="AA4" s="224" t="n"/>
      <c r="AB4" s="1" t="n"/>
      <c r="AC4" s="1" t="n"/>
      <c r="AD4" s="6" t="inlineStr">
        <is>
          <t>BRANCH:</t>
        </is>
      </c>
      <c r="AE4" s="223">
        <f>B4</f>
        <v/>
      </c>
      <c r="AF4" s="224" t="n"/>
      <c r="AG4" s="1" t="n"/>
      <c r="AH4" s="1" t="n"/>
      <c r="AI4" s="6" t="inlineStr">
        <is>
          <t>BRANCH:</t>
        </is>
      </c>
      <c r="AJ4" s="223" t="inlineStr">
        <is>
          <t>CASA DENTAL AMK PTE LTD</t>
        </is>
      </c>
      <c r="AK4" s="224" t="n"/>
      <c r="AL4" s="1" t="n"/>
      <c r="AM4" s="1" t="n"/>
      <c r="AN4" s="6" t="inlineStr">
        <is>
          <t>BRANCH:</t>
        </is>
      </c>
      <c r="AO4" s="223">
        <f>AE4</f>
        <v/>
      </c>
      <c r="AP4" s="224" t="n"/>
      <c r="AQ4" s="1" t="n"/>
      <c r="AR4" s="1" t="n"/>
      <c r="AS4" s="6" t="inlineStr">
        <is>
          <t>BRANCH:</t>
        </is>
      </c>
      <c r="AT4" s="223">
        <f>AO4</f>
        <v/>
      </c>
      <c r="AU4" s="224" t="n"/>
      <c r="AV4" s="1" t="n"/>
      <c r="AW4" s="1" t="n"/>
      <c r="AX4" s="6" t="inlineStr">
        <is>
          <t>BRANCH:</t>
        </is>
      </c>
      <c r="AY4" s="223">
        <f>V4</f>
        <v/>
      </c>
      <c r="AZ4" s="224" t="n"/>
      <c r="BA4" s="1" t="n"/>
    </row>
    <row r="5" ht="34.5" customHeight="1" s="220">
      <c r="A5" s="225" t="inlineStr">
        <is>
          <t>ALL PROVIDERS SETTLEMENT</t>
        </is>
      </c>
      <c r="C5" s="226" t="n"/>
      <c r="D5" s="1" t="n"/>
      <c r="E5" s="227" t="inlineStr">
        <is>
          <t>DR CHAN KC</t>
        </is>
      </c>
      <c r="F5" s="228" t="n"/>
      <c r="G5" s="229" t="n"/>
      <c r="H5" s="1" t="n"/>
      <c r="I5" s="227" t="inlineStr">
        <is>
          <t>DR KEEFE SIM</t>
        </is>
      </c>
      <c r="J5" s="228" t="n"/>
      <c r="K5" s="229" t="n"/>
      <c r="L5" s="1" t="n"/>
      <c r="M5" s="227" t="inlineStr">
        <is>
          <t>DR NG WAN TING</t>
        </is>
      </c>
      <c r="N5" s="228" t="n"/>
      <c r="O5" s="229" t="n"/>
      <c r="P5" s="1" t="n"/>
      <c r="Q5" s="227" t="inlineStr">
        <is>
          <t xml:space="preserve">DR KALIE </t>
        </is>
      </c>
      <c r="R5" s="228" t="n"/>
      <c r="S5" s="229" t="n"/>
      <c r="T5" s="1" t="n"/>
      <c r="U5" s="237" t="inlineStr">
        <is>
          <t>DR BRANDON ONG</t>
        </is>
      </c>
      <c r="V5" s="238" t="n"/>
      <c r="W5" s="231" t="n"/>
      <c r="X5" s="1" t="n"/>
      <c r="Y5" s="227" t="inlineStr">
        <is>
          <t>DR KAREN LEONG</t>
        </is>
      </c>
      <c r="Z5" s="228" t="n"/>
      <c r="AA5" s="229" t="n"/>
      <c r="AB5" s="1" t="n"/>
      <c r="AC5" s="1" t="n"/>
      <c r="AD5" s="227" t="inlineStr">
        <is>
          <t>DR CHAN KC</t>
        </is>
      </c>
      <c r="AE5" s="228" t="n"/>
      <c r="AF5" s="229" t="n"/>
      <c r="AG5" s="1" t="n"/>
      <c r="AH5" s="1" t="n"/>
      <c r="AI5" s="227" t="inlineStr">
        <is>
          <t>DR ANDREW YIN</t>
        </is>
      </c>
      <c r="AJ5" s="228" t="n"/>
      <c r="AK5" s="229" t="n"/>
      <c r="AL5" s="1" t="n"/>
      <c r="AM5" s="1" t="n"/>
      <c r="AN5" s="233" t="inlineStr">
        <is>
          <t>DR YVETTE CHOW</t>
        </is>
      </c>
      <c r="AO5" s="228" t="n"/>
      <c r="AP5" s="229" t="n"/>
      <c r="AQ5" s="1" t="n"/>
      <c r="AR5" s="1" t="n"/>
      <c r="AS5" s="234" t="inlineStr">
        <is>
          <t>DR PETER KEITH</t>
        </is>
      </c>
      <c r="AT5" s="228" t="n"/>
      <c r="AU5" s="229" t="n"/>
      <c r="AV5" s="1" t="n"/>
      <c r="AW5" s="1" t="n"/>
      <c r="AX5" s="227" t="inlineStr">
        <is>
          <t>DR ROLAND FOO</t>
        </is>
      </c>
      <c r="AY5" s="228" t="n"/>
      <c r="AZ5" s="229" t="n"/>
      <c r="BA5" s="1" t="n"/>
    </row>
    <row r="6" ht="18.75" customHeight="1" s="220">
      <c r="A6" s="14" t="n"/>
      <c r="B6" s="15" t="n"/>
      <c r="C6" s="16" t="inlineStr">
        <is>
          <t>ADMIN CHARGES</t>
        </is>
      </c>
      <c r="D6" s="17" t="n"/>
      <c r="E6" s="18" t="n"/>
      <c r="F6" s="15" t="n"/>
      <c r="G6" s="16" t="inlineStr">
        <is>
          <t>ADMIN CHARGES</t>
        </is>
      </c>
      <c r="H6" s="17" t="n"/>
      <c r="I6" s="19" t="n"/>
      <c r="J6" s="15" t="inlineStr">
        <is>
          <t>TOTALS</t>
        </is>
      </c>
      <c r="K6" s="20" t="inlineStr">
        <is>
          <t>ADMIN CHARGES</t>
        </is>
      </c>
      <c r="L6" s="17" t="n"/>
      <c r="M6" s="21" t="n"/>
      <c r="N6" s="22" t="n"/>
      <c r="O6" s="16" t="inlineStr">
        <is>
          <t>ADMIN CHARGES</t>
        </is>
      </c>
      <c r="P6" s="1" t="n"/>
      <c r="Q6" s="23" t="n"/>
      <c r="R6" s="24" t="n"/>
      <c r="S6" s="25" t="inlineStr">
        <is>
          <t>ADMIN CHARGES</t>
        </is>
      </c>
      <c r="T6" s="1" t="n"/>
      <c r="U6" s="204" t="n"/>
      <c r="V6" s="164" t="n"/>
      <c r="W6" s="205" t="inlineStr">
        <is>
          <t>ADMIN CHARGES</t>
        </is>
      </c>
      <c r="X6" s="28" t="n"/>
      <c r="Y6" s="14" t="n"/>
      <c r="Z6" s="29" t="n"/>
      <c r="AA6" s="22" t="inlineStr">
        <is>
          <t>ADMIN CHARGES</t>
        </is>
      </c>
      <c r="AB6" s="1" t="n"/>
      <c r="AC6" s="1" t="n"/>
      <c r="AD6" s="26" t="n"/>
      <c r="AE6" s="27" t="n"/>
      <c r="AF6" s="27" t="inlineStr">
        <is>
          <t>ADMIN CHARGES</t>
        </is>
      </c>
      <c r="AG6" s="30" t="n"/>
      <c r="AH6" s="1" t="n"/>
      <c r="AI6" s="23" t="n"/>
      <c r="AJ6" s="25" t="n"/>
      <c r="AK6" s="25" t="inlineStr">
        <is>
          <t>ADMIN CHARGES</t>
        </is>
      </c>
      <c r="AL6" s="1" t="n"/>
      <c r="AM6" s="1" t="n"/>
      <c r="AN6" s="26" t="n"/>
      <c r="AO6" s="27" t="n"/>
      <c r="AP6" s="27" t="inlineStr">
        <is>
          <t>ADMIN CHARGES</t>
        </is>
      </c>
      <c r="AQ6" s="30" t="n"/>
      <c r="AR6" s="1" t="n"/>
      <c r="AS6" s="26" t="n"/>
      <c r="AT6" s="27" t="n"/>
      <c r="AU6" s="27" t="inlineStr">
        <is>
          <t>ADMIN CHARGES</t>
        </is>
      </c>
      <c r="AV6" s="30" t="n"/>
      <c r="AW6" s="1" t="n"/>
      <c r="AX6" s="26" t="n"/>
      <c r="AY6" s="27" t="n"/>
      <c r="AZ6" s="27" t="inlineStr">
        <is>
          <t>ADMIN CHARGES</t>
        </is>
      </c>
      <c r="BA6" s="30" t="n"/>
    </row>
    <row r="7" ht="27.75" customHeight="1" s="220">
      <c r="A7" s="31" t="inlineStr">
        <is>
          <t>AIA</t>
        </is>
      </c>
      <c r="B7" s="174" t="n"/>
      <c r="C7" s="33">
        <f>B7*0.05*1.09</f>
        <v/>
      </c>
      <c r="D7" s="34" t="n"/>
      <c r="E7" s="35" t="inlineStr">
        <is>
          <t>AIA</t>
        </is>
      </c>
      <c r="F7" s="36" t="n"/>
      <c r="G7" s="33">
        <f>F7*0.05*1.09</f>
        <v/>
      </c>
      <c r="H7" s="37" t="n"/>
      <c r="I7" s="35" t="inlineStr">
        <is>
          <t>AIA</t>
        </is>
      </c>
      <c r="J7" s="174" t="n"/>
      <c r="K7" s="33">
        <f>J7*0.05*1.09</f>
        <v/>
      </c>
      <c r="L7" s="37" t="n"/>
      <c r="M7" s="41" t="inlineStr">
        <is>
          <t>AIA</t>
        </is>
      </c>
      <c r="N7" s="173" t="n"/>
      <c r="O7" s="33">
        <f>N7*0.05*1.09</f>
        <v/>
      </c>
      <c r="P7" s="38" t="n"/>
      <c r="Q7" s="31" t="inlineStr">
        <is>
          <t>AIA</t>
        </is>
      </c>
      <c r="R7" s="39" t="n"/>
      <c r="S7" s="40">
        <f>R7*0.05*1.09</f>
        <v/>
      </c>
      <c r="T7" s="38" t="n"/>
      <c r="U7" s="41" t="inlineStr">
        <is>
          <t>AIA</t>
        </is>
      </c>
      <c r="V7" s="173" t="n"/>
      <c r="W7" s="43">
        <f>V7*0.05*1.09</f>
        <v/>
      </c>
      <c r="X7" s="193" t="n"/>
      <c r="Y7" s="35" t="inlineStr">
        <is>
          <t>AIA</t>
        </is>
      </c>
      <c r="Z7" s="174" t="n"/>
      <c r="AA7" s="45">
        <f>Z7*0.05*1.09</f>
        <v/>
      </c>
      <c r="AB7" s="46" t="n"/>
      <c r="AC7" s="46" t="n"/>
      <c r="AD7" s="41" t="inlineStr">
        <is>
          <t>AIA</t>
        </is>
      </c>
      <c r="AE7" s="173" t="n"/>
      <c r="AF7" s="43">
        <f>AE7*0.05*1.09</f>
        <v/>
      </c>
      <c r="AG7" s="48" t="n"/>
      <c r="AH7" s="46" t="n"/>
      <c r="AI7" s="31" t="inlineStr">
        <is>
          <t>AIA</t>
        </is>
      </c>
      <c r="AJ7" s="39" t="n"/>
      <c r="AK7" s="40">
        <f>AJ7*0.05*1.09</f>
        <v/>
      </c>
      <c r="AL7" s="46" t="n"/>
      <c r="AM7" s="46" t="n"/>
      <c r="AN7" s="41" t="inlineStr">
        <is>
          <t>AIA</t>
        </is>
      </c>
      <c r="AO7" s="174" t="n"/>
      <c r="AP7" s="43">
        <f>AO7*0.05*1.09</f>
        <v/>
      </c>
      <c r="AQ7" s="48" t="n"/>
      <c r="AR7" s="46" t="n"/>
      <c r="AS7" s="41" t="inlineStr">
        <is>
          <t>AIA</t>
        </is>
      </c>
      <c r="AT7" s="174" t="n"/>
      <c r="AU7" s="43">
        <f>AT7*0.05*1.09</f>
        <v/>
      </c>
      <c r="AV7" s="48" t="n"/>
      <c r="AW7" s="46" t="n"/>
      <c r="AX7" s="41" t="inlineStr">
        <is>
          <t>AIA</t>
        </is>
      </c>
      <c r="AY7" s="173" t="n"/>
      <c r="AZ7" s="43">
        <f>AY7*0.05*1.09</f>
        <v/>
      </c>
      <c r="BA7" s="48" t="n"/>
    </row>
    <row r="8" ht="27.75" customHeight="1" s="220">
      <c r="A8" s="31" t="inlineStr">
        <is>
          <t>ALLIANCE</t>
        </is>
      </c>
      <c r="B8" s="174" t="n"/>
      <c r="C8" s="33">
        <f>B8*0.05*1.09</f>
        <v/>
      </c>
      <c r="D8" s="34" t="n"/>
      <c r="E8" s="35" t="inlineStr">
        <is>
          <t>ALLIANCE</t>
        </is>
      </c>
      <c r="F8" s="36" t="n"/>
      <c r="G8" s="33">
        <f>F8*0.05*1.09</f>
        <v/>
      </c>
      <c r="H8" s="37" t="n"/>
      <c r="I8" s="35" t="inlineStr">
        <is>
          <t>ALLIANCE</t>
        </is>
      </c>
      <c r="J8" s="174" t="n"/>
      <c r="K8" s="33">
        <f>J8*0.05*1.09</f>
        <v/>
      </c>
      <c r="L8" s="37" t="n"/>
      <c r="M8" s="41" t="inlineStr">
        <is>
          <t>ALLIANCE</t>
        </is>
      </c>
      <c r="N8" s="173" t="n"/>
      <c r="O8" s="33">
        <f>N8*0.05*1.09</f>
        <v/>
      </c>
      <c r="P8" s="38" t="n"/>
      <c r="Q8" s="31" t="n"/>
      <c r="R8" s="39" t="n"/>
      <c r="S8" s="40" t="n"/>
      <c r="T8" s="38" t="n"/>
      <c r="U8" s="41" t="inlineStr">
        <is>
          <t>ALLIANCE</t>
        </is>
      </c>
      <c r="V8" s="173" t="n"/>
      <c r="W8" s="43">
        <f>V8*0.05*1.09</f>
        <v/>
      </c>
      <c r="X8" s="193" t="n"/>
      <c r="Y8" s="35" t="inlineStr">
        <is>
          <t>ALLIANCE</t>
        </is>
      </c>
      <c r="Z8" s="174" t="n"/>
      <c r="AA8" s="45">
        <f>Z8*0.05*1.09</f>
        <v/>
      </c>
      <c r="AB8" s="46" t="n"/>
      <c r="AC8" s="46" t="n"/>
      <c r="AD8" s="41" t="inlineStr">
        <is>
          <t>ALLIANCE</t>
        </is>
      </c>
      <c r="AE8" s="173" t="n"/>
      <c r="AF8" s="43">
        <f>AE8*0.05*1.09</f>
        <v/>
      </c>
      <c r="AG8" s="48" t="n"/>
      <c r="AH8" s="46" t="n"/>
      <c r="AI8" s="31" t="n"/>
      <c r="AJ8" s="39" t="n"/>
      <c r="AK8" s="40" t="n"/>
      <c r="AL8" s="46" t="n"/>
      <c r="AM8" s="46" t="n"/>
      <c r="AN8" s="41" t="inlineStr">
        <is>
          <t>ALLIANCE</t>
        </is>
      </c>
      <c r="AO8" s="174" t="n"/>
      <c r="AP8" s="43">
        <f>AO8*0.05*1.09</f>
        <v/>
      </c>
      <c r="AQ8" s="48" t="n"/>
      <c r="AR8" s="46" t="n"/>
      <c r="AS8" s="41" t="inlineStr">
        <is>
          <t>ALLIANCE</t>
        </is>
      </c>
      <c r="AT8" s="174" t="n"/>
      <c r="AU8" s="43">
        <f>AT8*0.05*1.09</f>
        <v/>
      </c>
      <c r="AV8" s="48" t="n"/>
      <c r="AW8" s="46" t="n"/>
      <c r="AX8" s="41" t="inlineStr">
        <is>
          <t>ALLIANCE</t>
        </is>
      </c>
      <c r="AY8" s="173" t="n"/>
      <c r="AZ8" s="43">
        <f>AY8*0.05*1.09</f>
        <v/>
      </c>
      <c r="BA8" s="48" t="n"/>
    </row>
    <row r="9" ht="27.75" customHeight="1" s="220">
      <c r="A9" s="31" t="inlineStr">
        <is>
          <t>AMEX</t>
        </is>
      </c>
      <c r="B9" s="174" t="n"/>
      <c r="C9" s="33">
        <f>B9*0.0195</f>
        <v/>
      </c>
      <c r="D9" s="34" t="n"/>
      <c r="E9" s="35" t="inlineStr">
        <is>
          <t>AMEX</t>
        </is>
      </c>
      <c r="F9" s="36" t="n"/>
      <c r="G9" s="33">
        <f>F9*0.0195</f>
        <v/>
      </c>
      <c r="H9" s="34" t="n"/>
      <c r="I9" s="35" t="inlineStr">
        <is>
          <t>AMEX</t>
        </is>
      </c>
      <c r="J9" s="174" t="n"/>
      <c r="K9" s="33">
        <f>J9*0.0195</f>
        <v/>
      </c>
      <c r="L9" s="34" t="n"/>
      <c r="M9" s="41" t="inlineStr">
        <is>
          <t>AMEX</t>
        </is>
      </c>
      <c r="N9" s="173" t="n"/>
      <c r="O9" s="33">
        <f>N9*0.0195</f>
        <v/>
      </c>
      <c r="P9" s="46" t="n"/>
      <c r="Q9" s="31" t="inlineStr">
        <is>
          <t>AMEX</t>
        </is>
      </c>
      <c r="R9" s="39" t="n"/>
      <c r="S9" s="40">
        <f>R9*0.0195</f>
        <v/>
      </c>
      <c r="T9" s="46" t="n"/>
      <c r="U9" s="41" t="inlineStr">
        <is>
          <t>AMEX</t>
        </is>
      </c>
      <c r="V9" s="173" t="n"/>
      <c r="W9" s="43">
        <f>V9*0.0195</f>
        <v/>
      </c>
      <c r="X9" s="48" t="n"/>
      <c r="Y9" s="35" t="inlineStr">
        <is>
          <t>AMEX</t>
        </is>
      </c>
      <c r="Z9" s="174" t="n"/>
      <c r="AA9" s="45">
        <f>Z9*0.0195</f>
        <v/>
      </c>
      <c r="AB9" s="46" t="n"/>
      <c r="AC9" s="46" t="n"/>
      <c r="AD9" s="41" t="inlineStr">
        <is>
          <t>AMEX</t>
        </is>
      </c>
      <c r="AE9" s="173" t="n"/>
      <c r="AF9" s="43">
        <f>AE9*0.0195</f>
        <v/>
      </c>
      <c r="AG9" s="48" t="n"/>
      <c r="AH9" s="46" t="n"/>
      <c r="AI9" s="31" t="inlineStr">
        <is>
          <t>AMEX</t>
        </is>
      </c>
      <c r="AJ9" s="39" t="n"/>
      <c r="AK9" s="40">
        <f>AJ9*0.0195</f>
        <v/>
      </c>
      <c r="AL9" s="46" t="n"/>
      <c r="AM9" s="46" t="n"/>
      <c r="AN9" s="41" t="inlineStr">
        <is>
          <t>AMEX</t>
        </is>
      </c>
      <c r="AO9" s="173" t="n"/>
      <c r="AP9" s="43">
        <f>AO9*0.0195</f>
        <v/>
      </c>
      <c r="AQ9" s="48" t="n"/>
      <c r="AR9" s="46" t="n"/>
      <c r="AS9" s="41" t="inlineStr">
        <is>
          <t>AMEX</t>
        </is>
      </c>
      <c r="AT9" s="173" t="n"/>
      <c r="AU9" s="43">
        <f>AT9*0.0195</f>
        <v/>
      </c>
      <c r="AV9" s="48" t="n"/>
      <c r="AW9" s="46" t="n"/>
      <c r="AX9" s="41" t="inlineStr">
        <is>
          <t>AMEX</t>
        </is>
      </c>
      <c r="AY9" s="173" t="n"/>
      <c r="AZ9" s="43">
        <f>AY9*0.0195</f>
        <v/>
      </c>
      <c r="BA9" s="48" t="n"/>
    </row>
    <row r="10" ht="27.75" customHeight="1" s="220">
      <c r="A10" s="31" t="inlineStr">
        <is>
          <t>BABYBONUS</t>
        </is>
      </c>
      <c r="B10" s="173" t="n"/>
      <c r="C10" s="33">
        <f>B10*0.008</f>
        <v/>
      </c>
      <c r="D10" s="34" t="n"/>
      <c r="E10" s="35" t="inlineStr">
        <is>
          <t>BABYBONUS</t>
        </is>
      </c>
      <c r="F10" s="50" t="n"/>
      <c r="G10" s="33">
        <f>F10*0.008</f>
        <v/>
      </c>
      <c r="H10" s="34" t="n"/>
      <c r="I10" s="35" t="inlineStr">
        <is>
          <t>BABYBONUS</t>
        </is>
      </c>
      <c r="J10" s="50" t="n"/>
      <c r="K10" s="33">
        <f>J10*0.008</f>
        <v/>
      </c>
      <c r="L10" s="34" t="n"/>
      <c r="M10" s="41" t="inlineStr">
        <is>
          <t>BABYBONUS</t>
        </is>
      </c>
      <c r="N10" s="36" t="n"/>
      <c r="O10" s="33">
        <f>N10*0.008</f>
        <v/>
      </c>
      <c r="P10" s="46" t="n"/>
      <c r="Q10" s="31" t="n"/>
      <c r="R10" s="39" t="n"/>
      <c r="S10" s="40" t="n"/>
      <c r="T10" s="46" t="n"/>
      <c r="U10" s="41" t="inlineStr">
        <is>
          <t>BABYBONUS</t>
        </is>
      </c>
      <c r="V10" s="51" t="n"/>
      <c r="W10" s="33">
        <f>V10*0.008</f>
        <v/>
      </c>
      <c r="X10" s="48" t="n"/>
      <c r="Y10" s="35" t="inlineStr">
        <is>
          <t>BABYBONUS</t>
        </is>
      </c>
      <c r="Z10" s="36" t="n"/>
      <c r="AA10" s="45">
        <f>Z10*0.008</f>
        <v/>
      </c>
      <c r="AB10" s="46" t="n"/>
      <c r="AC10" s="46" t="n"/>
      <c r="AD10" s="41" t="inlineStr">
        <is>
          <t>BABYBONUS</t>
        </is>
      </c>
      <c r="AE10" s="36" t="n"/>
      <c r="AF10" s="43">
        <f>AE10*0.008</f>
        <v/>
      </c>
      <c r="AG10" s="48" t="n"/>
      <c r="AH10" s="46" t="n"/>
      <c r="AI10" s="31" t="n"/>
      <c r="AJ10" s="39" t="n"/>
      <c r="AK10" s="40" t="n"/>
      <c r="AL10" s="46" t="n"/>
      <c r="AM10" s="46" t="n"/>
      <c r="AN10" s="41" t="inlineStr">
        <is>
          <t>BABYBONUS</t>
        </is>
      </c>
      <c r="AO10" s="36" t="n"/>
      <c r="AP10" s="43">
        <f>AO10*0.008</f>
        <v/>
      </c>
      <c r="AQ10" s="48" t="n"/>
      <c r="AR10" s="46" t="n"/>
      <c r="AS10" s="41" t="inlineStr">
        <is>
          <t>BABYBONUS</t>
        </is>
      </c>
      <c r="AT10" s="36" t="n"/>
      <c r="AU10" s="43">
        <f>AT10*0.008</f>
        <v/>
      </c>
      <c r="AV10" s="48" t="n"/>
      <c r="AW10" s="46" t="n"/>
      <c r="AX10" s="41" t="inlineStr">
        <is>
          <t>BABYBONUS</t>
        </is>
      </c>
      <c r="AY10" s="36" t="n"/>
      <c r="AZ10" s="43">
        <f>AY10*0.008</f>
        <v/>
      </c>
      <c r="BA10" s="48" t="n"/>
    </row>
    <row r="11" ht="27.75" customHeight="1" s="220">
      <c r="A11" s="31" t="inlineStr">
        <is>
          <t>CASH</t>
        </is>
      </c>
      <c r="B11" s="174" t="n"/>
      <c r="C11" s="33" t="n"/>
      <c r="D11" s="34" t="n"/>
      <c r="E11" s="35" t="inlineStr">
        <is>
          <t>CASH</t>
        </is>
      </c>
      <c r="F11" s="36" t="n"/>
      <c r="G11" s="33" t="n"/>
      <c r="H11" s="34" t="n"/>
      <c r="I11" s="35" t="inlineStr">
        <is>
          <t>CASH</t>
        </is>
      </c>
      <c r="J11" s="174" t="n"/>
      <c r="K11" s="33" t="n"/>
      <c r="L11" s="34" t="n"/>
      <c r="M11" s="41" t="inlineStr">
        <is>
          <t>CASH</t>
        </is>
      </c>
      <c r="N11" s="173" t="n"/>
      <c r="O11" s="33" t="n"/>
      <c r="P11" s="46" t="n"/>
      <c r="Q11" s="31" t="inlineStr">
        <is>
          <t>ALLIANCE</t>
        </is>
      </c>
      <c r="R11" s="39" t="n"/>
      <c r="S11" s="40">
        <f>R11*0.05*1.09</f>
        <v/>
      </c>
      <c r="T11" s="46" t="n"/>
      <c r="U11" s="41" t="inlineStr">
        <is>
          <t>CASH</t>
        </is>
      </c>
      <c r="V11" s="173" t="n"/>
      <c r="W11" s="33" t="n"/>
      <c r="X11" s="48" t="n"/>
      <c r="Y11" s="35" t="inlineStr">
        <is>
          <t>CASH</t>
        </is>
      </c>
      <c r="Z11" s="174" t="n"/>
      <c r="AA11" s="45" t="n"/>
      <c r="AB11" s="46" t="n"/>
      <c r="AC11" s="46" t="n"/>
      <c r="AD11" s="41" t="inlineStr">
        <is>
          <t>CASH</t>
        </is>
      </c>
      <c r="AE11" s="173" t="n"/>
      <c r="AF11" s="43" t="n"/>
      <c r="AG11" s="48" t="n"/>
      <c r="AH11" s="46" t="n"/>
      <c r="AI11" s="31" t="inlineStr">
        <is>
          <t>ALLIANCE</t>
        </is>
      </c>
      <c r="AJ11" s="39" t="n"/>
      <c r="AK11" s="40">
        <f>AJ11*0.05*1.09</f>
        <v/>
      </c>
      <c r="AL11" s="46" t="n"/>
      <c r="AM11" s="46" t="n"/>
      <c r="AN11" s="41" t="inlineStr">
        <is>
          <t>CASH</t>
        </is>
      </c>
      <c r="AO11" s="174" t="n"/>
      <c r="AP11" s="43" t="n"/>
      <c r="AQ11" s="48" t="n"/>
      <c r="AR11" s="46" t="n"/>
      <c r="AS11" s="41" t="inlineStr">
        <is>
          <t>CASH</t>
        </is>
      </c>
      <c r="AT11" s="173" t="n"/>
      <c r="AU11" s="43" t="n"/>
      <c r="AV11" s="48" t="n"/>
      <c r="AW11" s="46" t="n"/>
      <c r="AX11" s="41" t="inlineStr">
        <is>
          <t>CASH</t>
        </is>
      </c>
      <c r="AY11" s="173" t="n"/>
      <c r="AZ11" s="43" t="n"/>
      <c r="BA11" s="48" t="n"/>
    </row>
    <row r="12" ht="27.75" customHeight="1" s="220">
      <c r="A12" s="31" t="inlineStr">
        <is>
          <t>CASA VOUCHER</t>
        </is>
      </c>
      <c r="B12" s="32" t="n"/>
      <c r="C12" s="33" t="n"/>
      <c r="D12" s="34" t="n"/>
      <c r="E12" s="35" t="inlineStr">
        <is>
          <t>CASA VOUCHER</t>
        </is>
      </c>
      <c r="F12" s="36" t="n"/>
      <c r="G12" s="33" t="n"/>
      <c r="H12" s="34" t="n"/>
      <c r="I12" s="35" t="inlineStr">
        <is>
          <t>CASA VOUCHER</t>
        </is>
      </c>
      <c r="J12" s="36" t="n"/>
      <c r="K12" s="33" t="n"/>
      <c r="L12" s="34" t="n"/>
      <c r="M12" s="41" t="inlineStr">
        <is>
          <t>CASA VOUCHER</t>
        </is>
      </c>
      <c r="N12" s="36" t="n"/>
      <c r="O12" s="33" t="n"/>
      <c r="P12" s="46" t="n"/>
      <c r="Q12" s="31" t="inlineStr">
        <is>
          <t>CASH</t>
        </is>
      </c>
      <c r="R12" s="39" t="n"/>
      <c r="S12" s="40" t="n"/>
      <c r="T12" s="46" t="n"/>
      <c r="U12" s="41" t="inlineStr">
        <is>
          <t>CASA VOUCHER</t>
        </is>
      </c>
      <c r="V12" s="51" t="n"/>
      <c r="W12" s="33" t="n"/>
      <c r="X12" s="48" t="n"/>
      <c r="Y12" s="35" t="inlineStr">
        <is>
          <t>CASA VOUCHER</t>
        </is>
      </c>
      <c r="Z12" s="36" t="n"/>
      <c r="AA12" s="45" t="n"/>
      <c r="AB12" s="46" t="n"/>
      <c r="AC12" s="46" t="n"/>
      <c r="AD12" s="41" t="inlineStr">
        <is>
          <t>CASA VOUCHER</t>
        </is>
      </c>
      <c r="AE12" s="36" t="n"/>
      <c r="AF12" s="43" t="n"/>
      <c r="AG12" s="48" t="n"/>
      <c r="AH12" s="46" t="n"/>
      <c r="AI12" s="31" t="inlineStr">
        <is>
          <t>CASH</t>
        </is>
      </c>
      <c r="AJ12" s="39" t="n"/>
      <c r="AK12" s="40" t="n"/>
      <c r="AL12" s="46" t="n"/>
      <c r="AM12" s="46" t="n"/>
      <c r="AN12" s="41" t="inlineStr">
        <is>
          <t>CASA VOUCHER</t>
        </is>
      </c>
      <c r="AO12" s="36" t="n"/>
      <c r="AP12" s="43" t="n"/>
      <c r="AQ12" s="48" t="n"/>
      <c r="AR12" s="46" t="n"/>
      <c r="AS12" s="41" t="inlineStr">
        <is>
          <t>CASA VOUCHER</t>
        </is>
      </c>
      <c r="AT12" s="36" t="n"/>
      <c r="AU12" s="43" t="n"/>
      <c r="AV12" s="48" t="n"/>
      <c r="AW12" s="46" t="n"/>
      <c r="AX12" s="41" t="inlineStr">
        <is>
          <t>CASA VOUCHER</t>
        </is>
      </c>
      <c r="AY12" s="36" t="n"/>
      <c r="AZ12" s="43" t="n"/>
      <c r="BA12" s="48" t="n"/>
    </row>
    <row r="13" ht="27.75" customHeight="1" s="220">
      <c r="A13" s="52" t="inlineStr">
        <is>
          <t>CDC VOUCHER</t>
        </is>
      </c>
      <c r="B13" s="174" t="n"/>
      <c r="C13" s="54" t="n"/>
      <c r="D13" s="34" t="n"/>
      <c r="E13" s="35" t="inlineStr">
        <is>
          <t>CDC VOUCHER</t>
        </is>
      </c>
      <c r="F13" s="36" t="n"/>
      <c r="G13" s="33" t="n"/>
      <c r="H13" s="34" t="n"/>
      <c r="I13" s="35" t="inlineStr">
        <is>
          <t>CDC VOUCHER</t>
        </is>
      </c>
      <c r="J13" s="174" t="n"/>
      <c r="K13" s="33" t="n"/>
      <c r="L13" s="34" t="n"/>
      <c r="M13" s="41" t="inlineStr">
        <is>
          <t>CDC VOUCHER</t>
        </is>
      </c>
      <c r="N13" s="173" t="n"/>
      <c r="O13" s="33" t="n"/>
      <c r="P13" s="46" t="n"/>
      <c r="Q13" s="31" t="inlineStr">
        <is>
          <t>CASA VOUCHER</t>
        </is>
      </c>
      <c r="R13" s="39" t="n"/>
      <c r="S13" s="40" t="n"/>
      <c r="T13" s="46" t="n"/>
      <c r="U13" s="41" t="inlineStr">
        <is>
          <t>CDC VOUCHER</t>
        </is>
      </c>
      <c r="V13" s="173" t="n"/>
      <c r="W13" s="33" t="n"/>
      <c r="X13" s="48" t="n"/>
      <c r="Y13" s="35" t="inlineStr">
        <is>
          <t>CDC VOUCHER</t>
        </is>
      </c>
      <c r="Z13" s="174" t="n"/>
      <c r="AA13" s="56" t="n"/>
      <c r="AB13" s="46" t="n"/>
      <c r="AC13" s="46" t="n"/>
      <c r="AD13" s="187" t="inlineStr">
        <is>
          <t>CDC VOUCHER</t>
        </is>
      </c>
      <c r="AE13" s="173" t="n"/>
      <c r="AF13" s="59" t="n"/>
      <c r="AG13" s="48" t="n"/>
      <c r="AH13" s="46" t="n"/>
      <c r="AI13" s="31" t="inlineStr">
        <is>
          <t>CASA VOUCHER</t>
        </is>
      </c>
      <c r="AJ13" s="39" t="n"/>
      <c r="AK13" s="40" t="n"/>
      <c r="AL13" s="46" t="n"/>
      <c r="AM13" s="46" t="n"/>
      <c r="AN13" s="187" t="inlineStr">
        <is>
          <t>CDC VOUCHER</t>
        </is>
      </c>
      <c r="AO13" s="174" t="n"/>
      <c r="AP13" s="59" t="n"/>
      <c r="AQ13" s="48" t="n"/>
      <c r="AR13" s="46" t="n"/>
      <c r="AS13" s="57" t="inlineStr">
        <is>
          <t>CDC VOUCHER</t>
        </is>
      </c>
      <c r="AT13" s="174" t="n"/>
      <c r="AU13" s="59" t="n"/>
      <c r="AV13" s="48" t="n"/>
      <c r="AW13" s="46" t="n"/>
      <c r="AX13" s="187" t="inlineStr">
        <is>
          <t>CDC VOUCHER</t>
        </is>
      </c>
      <c r="AY13" s="173" t="n"/>
      <c r="AZ13" s="59" t="n"/>
      <c r="BA13" s="48" t="n"/>
    </row>
    <row r="14" ht="27.75" customHeight="1" s="220">
      <c r="A14" s="31" t="inlineStr">
        <is>
          <t>CHAS</t>
        </is>
      </c>
      <c r="B14" s="174" t="n"/>
      <c r="C14" s="33" t="n"/>
      <c r="D14" s="34" t="n"/>
      <c r="E14" s="35" t="inlineStr">
        <is>
          <t>CHAS</t>
        </is>
      </c>
      <c r="F14" s="36" t="n"/>
      <c r="G14" s="33" t="n"/>
      <c r="H14" s="34" t="n"/>
      <c r="I14" s="35" t="inlineStr">
        <is>
          <t>CHAS</t>
        </is>
      </c>
      <c r="J14" s="174" t="n"/>
      <c r="K14" s="33" t="n"/>
      <c r="L14" s="34" t="n"/>
      <c r="M14" s="41" t="inlineStr">
        <is>
          <t>CHAS</t>
        </is>
      </c>
      <c r="N14" s="173" t="n"/>
      <c r="O14" s="33" t="n"/>
      <c r="P14" s="46" t="n"/>
      <c r="Q14" s="31" t="n"/>
      <c r="R14" s="39" t="n"/>
      <c r="S14" s="40" t="n"/>
      <c r="T14" s="46" t="n"/>
      <c r="U14" s="41" t="inlineStr">
        <is>
          <t>CHAS</t>
        </is>
      </c>
      <c r="V14" s="173" t="n"/>
      <c r="W14" s="33" t="n"/>
      <c r="X14" s="48" t="n"/>
      <c r="Y14" s="35" t="inlineStr">
        <is>
          <t>CHAS</t>
        </is>
      </c>
      <c r="Z14" s="174" t="n"/>
      <c r="AA14" s="45" t="n"/>
      <c r="AB14" s="46" t="n"/>
      <c r="AC14" s="46" t="n"/>
      <c r="AD14" s="41" t="inlineStr">
        <is>
          <t>CHAS</t>
        </is>
      </c>
      <c r="AE14" s="173" t="n"/>
      <c r="AF14" s="43" t="n"/>
      <c r="AG14" s="48" t="n"/>
      <c r="AH14" s="46" t="n"/>
      <c r="AI14" s="31" t="n"/>
      <c r="AJ14" s="39" t="n"/>
      <c r="AK14" s="40" t="n"/>
      <c r="AL14" s="46" t="n"/>
      <c r="AM14" s="46" t="n"/>
      <c r="AN14" s="41" t="inlineStr">
        <is>
          <t>CHAS</t>
        </is>
      </c>
      <c r="AO14" s="174" t="n"/>
      <c r="AP14" s="43" t="n"/>
      <c r="AQ14" s="48" t="n"/>
      <c r="AR14" s="46" t="n"/>
      <c r="AS14" s="35" t="inlineStr">
        <is>
          <t>CHAS</t>
        </is>
      </c>
      <c r="AT14" s="174" t="n"/>
      <c r="AU14" s="43" t="n"/>
      <c r="AV14" s="48" t="n"/>
      <c r="AW14" s="46" t="n"/>
      <c r="AX14" s="41" t="inlineStr">
        <is>
          <t>CHAS</t>
        </is>
      </c>
      <c r="AY14" s="173" t="n"/>
      <c r="AZ14" s="43" t="n"/>
      <c r="BA14" s="48" t="n"/>
    </row>
    <row r="15" ht="27.75" customHeight="1" s="220">
      <c r="A15" s="31" t="inlineStr">
        <is>
          <t>CYNERGY</t>
        </is>
      </c>
      <c r="B15" s="174" t="n"/>
      <c r="C15" s="33" t="n"/>
      <c r="D15" s="34" t="n"/>
      <c r="E15" s="35" t="inlineStr">
        <is>
          <t>CYNERGY</t>
        </is>
      </c>
      <c r="F15" s="36" t="n"/>
      <c r="G15" s="33" t="n"/>
      <c r="H15" s="34" t="n"/>
      <c r="I15" s="35" t="inlineStr">
        <is>
          <t>CYNERGY</t>
        </is>
      </c>
      <c r="J15" s="174" t="n"/>
      <c r="K15" s="33" t="n"/>
      <c r="L15" s="34" t="n"/>
      <c r="M15" s="41" t="inlineStr">
        <is>
          <t>CYNERGY</t>
        </is>
      </c>
      <c r="N15" s="173" t="n"/>
      <c r="O15" s="33" t="n"/>
      <c r="P15" s="46" t="n"/>
      <c r="Q15" s="31" t="n"/>
      <c r="R15" s="39" t="n"/>
      <c r="S15" s="40" t="n"/>
      <c r="T15" s="46" t="n"/>
      <c r="U15" s="41" t="inlineStr">
        <is>
          <t>CYNERGY</t>
        </is>
      </c>
      <c r="V15" s="173" t="n"/>
      <c r="W15" s="33" t="n"/>
      <c r="X15" s="48" t="n"/>
      <c r="Y15" s="35" t="inlineStr">
        <is>
          <t>CYNERGY</t>
        </is>
      </c>
      <c r="Z15" s="36" t="n"/>
      <c r="AA15" s="45" t="n"/>
      <c r="AB15" s="46" t="n"/>
      <c r="AC15" s="46" t="n"/>
      <c r="AD15" s="41" t="inlineStr">
        <is>
          <t>CYNERGY</t>
        </is>
      </c>
      <c r="AE15" s="173" t="n"/>
      <c r="AF15" s="43" t="n"/>
      <c r="AG15" s="48" t="n"/>
      <c r="AH15" s="46" t="n"/>
      <c r="AI15" s="31" t="n"/>
      <c r="AJ15" s="39" t="n"/>
      <c r="AK15" s="40" t="n"/>
      <c r="AL15" s="46" t="n"/>
      <c r="AM15" s="46" t="n"/>
      <c r="AN15" s="41" t="inlineStr">
        <is>
          <t>CYNERGY</t>
        </is>
      </c>
      <c r="AO15" s="174" t="n"/>
      <c r="AP15" s="43" t="n"/>
      <c r="AQ15" s="48" t="n"/>
      <c r="AR15" s="46" t="n"/>
      <c r="AS15" s="35" t="inlineStr">
        <is>
          <t>CYNERGY</t>
        </is>
      </c>
      <c r="AT15" s="173" t="n"/>
      <c r="AU15" s="43" t="n"/>
      <c r="AV15" s="48" t="n"/>
      <c r="AW15" s="46" t="n"/>
      <c r="AX15" s="41" t="inlineStr">
        <is>
          <t>CYNERGY</t>
        </is>
      </c>
      <c r="AY15" s="173" t="n"/>
      <c r="AZ15" s="43" t="n"/>
      <c r="BA15" s="48" t="n"/>
    </row>
    <row r="16" ht="27.75" customHeight="1" s="220">
      <c r="A16" s="35" t="inlineStr">
        <is>
          <t>DA ADEPT HEALTH</t>
        </is>
      </c>
      <c r="B16" s="50" t="n"/>
      <c r="C16" s="33">
        <f>B16*8%</f>
        <v/>
      </c>
      <c r="D16" s="34" t="n"/>
      <c r="E16" s="35" t="inlineStr">
        <is>
          <t>DA ADEPT HEALTH</t>
        </is>
      </c>
      <c r="F16" s="36" t="n"/>
      <c r="G16" s="33">
        <f>F16*8%</f>
        <v/>
      </c>
      <c r="H16" s="34" t="n"/>
      <c r="I16" s="35" t="inlineStr">
        <is>
          <t>DA ADEPT HEALTH</t>
        </is>
      </c>
      <c r="J16" s="36" t="n"/>
      <c r="K16" s="33">
        <f>J16*8%</f>
        <v/>
      </c>
      <c r="L16" s="34" t="n"/>
      <c r="M16" s="41" t="inlineStr">
        <is>
          <t>DA ADEPT HEALTH</t>
        </is>
      </c>
      <c r="N16" s="36" t="n"/>
      <c r="O16" s="33">
        <f>N16*8%</f>
        <v/>
      </c>
      <c r="P16" s="46" t="n"/>
      <c r="Q16" s="31" t="n"/>
      <c r="R16" s="39" t="n"/>
      <c r="S16" s="40" t="n"/>
      <c r="T16" s="46" t="n"/>
      <c r="U16" s="41" t="inlineStr">
        <is>
          <t>DA ADEPT HEALTH</t>
        </is>
      </c>
      <c r="V16" s="51" t="n"/>
      <c r="W16" s="33">
        <f>V16*8%</f>
        <v/>
      </c>
      <c r="X16" s="48" t="n"/>
      <c r="Y16" s="35" t="inlineStr">
        <is>
          <t>DA ADEPT HEALTH</t>
        </is>
      </c>
      <c r="Z16" s="55" t="n"/>
      <c r="AA16" s="56">
        <f>Z16*8%</f>
        <v/>
      </c>
      <c r="AB16" s="46" t="n"/>
      <c r="AC16" s="46" t="n"/>
      <c r="AD16" s="187" t="inlineStr">
        <is>
          <t>DA ADEPT HEALTH</t>
        </is>
      </c>
      <c r="AE16" s="36" t="n"/>
      <c r="AF16" s="59">
        <f>AE16*8%</f>
        <v/>
      </c>
      <c r="AG16" s="48" t="n"/>
      <c r="AH16" s="46" t="n"/>
      <c r="AI16" s="31" t="n"/>
      <c r="AJ16" s="39" t="n"/>
      <c r="AK16" s="40" t="n"/>
      <c r="AL16" s="46" t="n"/>
      <c r="AM16" s="46" t="n"/>
      <c r="AN16" s="57" t="inlineStr">
        <is>
          <t>DA ADEPT HEALTH</t>
        </is>
      </c>
      <c r="AO16" s="58" t="n"/>
      <c r="AP16" s="59">
        <f>AO16*8%</f>
        <v/>
      </c>
      <c r="AQ16" s="48" t="n"/>
      <c r="AR16" s="46" t="n"/>
      <c r="AS16" s="57" t="inlineStr">
        <is>
          <t>DA ADEPT HEALTH</t>
        </is>
      </c>
      <c r="AT16" s="58" t="n"/>
      <c r="AU16" s="59">
        <f>AT16*8%</f>
        <v/>
      </c>
      <c r="AV16" s="48" t="n"/>
      <c r="AW16" s="46" t="n"/>
      <c r="AX16" s="57" t="inlineStr">
        <is>
          <t>DA ADEPT HEALTH</t>
        </is>
      </c>
      <c r="AY16" s="58" t="n"/>
      <c r="AZ16" s="59">
        <f>AY16*8%</f>
        <v/>
      </c>
      <c r="BA16" s="48" t="n"/>
    </row>
    <row r="17" ht="27.75" customHeight="1" s="220">
      <c r="A17" s="60" t="inlineStr">
        <is>
          <t>DEPOSIT</t>
        </is>
      </c>
      <c r="B17" s="174" t="n"/>
      <c r="C17" s="33">
        <f>G17+K17+O17+O17+S17+W17+AA17+AF17+AP17+AU17+AZ17</f>
        <v/>
      </c>
      <c r="D17" s="34" t="n"/>
      <c r="E17" s="61" t="inlineStr">
        <is>
          <t>DEPOSIT</t>
        </is>
      </c>
      <c r="F17" s="36" t="n"/>
      <c r="G17" s="33" t="n"/>
      <c r="H17" s="34" t="n"/>
      <c r="I17" s="61" t="inlineStr">
        <is>
          <t>DEPOSIT</t>
        </is>
      </c>
      <c r="J17" s="174" t="n"/>
      <c r="K17" s="33" t="n"/>
      <c r="L17" s="34" t="n"/>
      <c r="M17" s="176" t="inlineStr">
        <is>
          <t>DEPOSIT</t>
        </is>
      </c>
      <c r="N17" s="173" t="n"/>
      <c r="O17" s="33" t="n"/>
      <c r="P17" s="46" t="n"/>
      <c r="Q17" s="31" t="inlineStr">
        <is>
          <t>DEPOSIT</t>
        </is>
      </c>
      <c r="R17" s="39" t="n"/>
      <c r="S17" s="40" t="n">
        <v>0</v>
      </c>
      <c r="T17" s="46" t="n"/>
      <c r="U17" s="176" t="inlineStr">
        <is>
          <t>DEPOSIT</t>
        </is>
      </c>
      <c r="V17" s="173" t="n"/>
      <c r="W17" s="33" t="n"/>
      <c r="X17" s="48" t="n"/>
      <c r="Y17" s="61" t="inlineStr">
        <is>
          <t>DEPOSIT</t>
        </is>
      </c>
      <c r="Z17" s="36" t="n"/>
      <c r="AA17" s="45" t="n"/>
      <c r="AB17" s="46" t="n"/>
      <c r="AC17" s="46" t="n"/>
      <c r="AD17" s="61" t="inlineStr">
        <is>
          <t>DEPOSIT</t>
        </is>
      </c>
      <c r="AE17" s="175" t="n"/>
      <c r="AF17" s="43" t="n"/>
      <c r="AG17" s="48" t="n"/>
      <c r="AH17" s="46" t="n"/>
      <c r="AI17" s="60" t="inlineStr">
        <is>
          <t>DEPOSIT</t>
        </is>
      </c>
      <c r="AJ17" s="39" t="n"/>
      <c r="AK17" s="40" t="n"/>
      <c r="AL17" s="46" t="n"/>
      <c r="AM17" s="46" t="n"/>
      <c r="AN17" s="61" t="inlineStr">
        <is>
          <t>DEPOSIT</t>
        </is>
      </c>
      <c r="AO17" s="174" t="n"/>
      <c r="AP17" s="43" t="n"/>
      <c r="AQ17" s="48" t="n"/>
      <c r="AR17" s="46" t="n"/>
      <c r="AS17" s="61" t="inlineStr">
        <is>
          <t>DEPOSIT</t>
        </is>
      </c>
      <c r="AT17" s="174" t="n"/>
      <c r="AU17" s="43" t="n"/>
      <c r="AV17" s="48" t="n"/>
      <c r="AW17" s="46" t="n"/>
      <c r="AX17" s="61" t="inlineStr">
        <is>
          <t>DEPOSIT</t>
        </is>
      </c>
      <c r="AY17" s="47" t="n"/>
      <c r="AZ17" s="43" t="n"/>
      <c r="BA17" s="48" t="n"/>
    </row>
    <row r="18" ht="27.75" customHeight="1" s="220">
      <c r="A18" s="31" t="inlineStr">
        <is>
          <t>IHP</t>
        </is>
      </c>
      <c r="B18" s="174" t="n"/>
      <c r="C18" s="33">
        <f>B18*0.051*1.09</f>
        <v/>
      </c>
      <c r="D18" s="34" t="n"/>
      <c r="E18" s="35" t="inlineStr">
        <is>
          <t>IHP</t>
        </is>
      </c>
      <c r="F18" s="36" t="n"/>
      <c r="G18" s="33">
        <f>F18*0.051*1.09</f>
        <v/>
      </c>
      <c r="H18" s="34" t="n"/>
      <c r="I18" s="35" t="inlineStr">
        <is>
          <t>IHP</t>
        </is>
      </c>
      <c r="J18" s="174" t="n"/>
      <c r="K18" s="33">
        <f>J18*0.051*1.09</f>
        <v/>
      </c>
      <c r="L18" s="34" t="n"/>
      <c r="M18" s="41" t="inlineStr">
        <is>
          <t>IHP</t>
        </is>
      </c>
      <c r="N18" s="173" t="n"/>
      <c r="O18" s="33">
        <f>N18*0.051*1.09</f>
        <v/>
      </c>
      <c r="P18" s="46" t="n"/>
      <c r="Q18" s="31" t="n"/>
      <c r="R18" s="39" t="n"/>
      <c r="S18" s="40" t="n"/>
      <c r="T18" s="46" t="n"/>
      <c r="U18" s="35" t="inlineStr">
        <is>
          <t>IHP</t>
        </is>
      </c>
      <c r="V18" s="175" t="n"/>
      <c r="W18" s="33">
        <f>V18*0.051*1.09</f>
        <v/>
      </c>
      <c r="X18" s="48" t="n"/>
      <c r="Y18" s="35" t="inlineStr">
        <is>
          <t>IHP</t>
        </is>
      </c>
      <c r="Z18" s="174" t="n"/>
      <c r="AA18" s="45">
        <f>Z18*0.051*1.09</f>
        <v/>
      </c>
      <c r="AB18" s="46" t="n"/>
      <c r="AC18" s="46" t="n"/>
      <c r="AD18" s="35" t="inlineStr">
        <is>
          <t>IHP</t>
        </is>
      </c>
      <c r="AE18" s="174" t="n"/>
      <c r="AF18" s="43">
        <f>AE18*0.051*1.09</f>
        <v/>
      </c>
      <c r="AG18" s="48" t="n"/>
      <c r="AH18" s="46" t="n"/>
      <c r="AI18" s="60" t="n"/>
      <c r="AJ18" s="39" t="n"/>
      <c r="AK18" s="40" t="n"/>
      <c r="AL18" s="46" t="n"/>
      <c r="AM18" s="46" t="n"/>
      <c r="AN18" s="35" t="inlineStr">
        <is>
          <t>IHP</t>
        </is>
      </c>
      <c r="AO18" s="174" t="n"/>
      <c r="AP18" s="43">
        <f>AO18*0.051*1.09</f>
        <v/>
      </c>
      <c r="AQ18" s="48" t="n"/>
      <c r="AR18" s="46" t="n"/>
      <c r="AS18" s="35" t="inlineStr">
        <is>
          <t>IHP</t>
        </is>
      </c>
      <c r="AT18" s="174" t="n"/>
      <c r="AU18" s="43">
        <f>AT18*0.051*1.09</f>
        <v/>
      </c>
      <c r="AV18" s="48" t="n"/>
      <c r="AW18" s="46" t="n"/>
      <c r="AX18" s="35" t="inlineStr">
        <is>
          <t>IHP</t>
        </is>
      </c>
      <c r="AY18" s="174" t="n"/>
      <c r="AZ18" s="43">
        <f>AY18*0.051*1.09</f>
        <v/>
      </c>
      <c r="BA18" s="48" t="n"/>
    </row>
    <row r="19" ht="27.75" customHeight="1" s="220">
      <c r="A19" s="31" t="inlineStr">
        <is>
          <t>JCB</t>
        </is>
      </c>
      <c r="B19" s="32" t="n"/>
      <c r="C19" s="33">
        <f>B19*0.15*1.09</f>
        <v/>
      </c>
      <c r="D19" s="34" t="n"/>
      <c r="E19" s="35" t="inlineStr">
        <is>
          <t>JCB</t>
        </is>
      </c>
      <c r="F19" s="50" t="n"/>
      <c r="G19" s="33">
        <f>F19*0.15*1.09</f>
        <v/>
      </c>
      <c r="H19" s="34" t="n"/>
      <c r="I19" s="35" t="inlineStr">
        <is>
          <t>JCB</t>
        </is>
      </c>
      <c r="J19" s="50" t="n"/>
      <c r="K19" s="33">
        <f>J19*0.15*1.09</f>
        <v/>
      </c>
      <c r="L19" s="34" t="n"/>
      <c r="M19" s="41" t="inlineStr">
        <is>
          <t>JCB</t>
        </is>
      </c>
      <c r="N19" s="50" t="n"/>
      <c r="O19" s="33">
        <f>N19*0.15*1.09</f>
        <v/>
      </c>
      <c r="P19" s="46" t="n"/>
      <c r="Q19" s="31" t="n"/>
      <c r="R19" s="39" t="n"/>
      <c r="S19" s="40" t="n"/>
      <c r="T19" s="46" t="n"/>
      <c r="U19" s="35" t="inlineStr">
        <is>
          <t>JCB</t>
        </is>
      </c>
      <c r="V19" s="50" t="n"/>
      <c r="W19" s="33">
        <f>V19*0.15*1.09</f>
        <v/>
      </c>
      <c r="X19" s="48" t="n"/>
      <c r="Y19" s="35" t="inlineStr">
        <is>
          <t>JCB</t>
        </is>
      </c>
      <c r="Z19" s="50" t="n"/>
      <c r="AA19" s="45">
        <f>Z19*0.15*1.09</f>
        <v/>
      </c>
      <c r="AB19" s="46" t="n"/>
      <c r="AC19" s="46" t="n"/>
      <c r="AD19" s="35" t="inlineStr">
        <is>
          <t>JCB</t>
        </is>
      </c>
      <c r="AE19" s="62" t="n"/>
      <c r="AF19" s="43">
        <f>AE19*0.15*1.09</f>
        <v/>
      </c>
      <c r="AG19" s="48" t="n"/>
      <c r="AH19" s="46" t="n"/>
      <c r="AI19" s="60" t="n"/>
      <c r="AJ19" s="39" t="n"/>
      <c r="AK19" s="40" t="n"/>
      <c r="AL19" s="46" t="n"/>
      <c r="AM19" s="46" t="n"/>
      <c r="AN19" s="35" t="inlineStr">
        <is>
          <t>JCB</t>
        </is>
      </c>
      <c r="AO19" s="62" t="n"/>
      <c r="AP19" s="43">
        <f>AO19*0.15*1.09</f>
        <v/>
      </c>
      <c r="AQ19" s="48" t="n"/>
      <c r="AR19" s="46" t="n"/>
      <c r="AS19" s="35" t="inlineStr">
        <is>
          <t>JCB</t>
        </is>
      </c>
      <c r="AT19" s="62" t="n"/>
      <c r="AU19" s="43">
        <f>AT19*0.15*1.09</f>
        <v/>
      </c>
      <c r="AV19" s="48" t="n"/>
      <c r="AW19" s="46" t="n"/>
      <c r="AX19" s="35" t="inlineStr">
        <is>
          <t>JCB</t>
        </is>
      </c>
      <c r="AY19" s="62" t="n"/>
      <c r="AZ19" s="43">
        <f>AY19*0.15*1.09</f>
        <v/>
      </c>
      <c r="BA19" s="48" t="n"/>
    </row>
    <row r="20" ht="27.75" customHeight="1" s="220">
      <c r="A20" s="31" t="inlineStr">
        <is>
          <t>MASTER</t>
        </is>
      </c>
      <c r="B20" s="174" t="n"/>
      <c r="C20" s="33">
        <f>B20*0.0225</f>
        <v/>
      </c>
      <c r="D20" s="34" t="n"/>
      <c r="E20" s="35" t="inlineStr">
        <is>
          <t>MASTER</t>
        </is>
      </c>
      <c r="F20" s="36" t="n"/>
      <c r="G20" s="33">
        <f>F20*0.021</f>
        <v/>
      </c>
      <c r="H20" s="34" t="n"/>
      <c r="I20" s="35" t="inlineStr">
        <is>
          <t>MASTER</t>
        </is>
      </c>
      <c r="J20" s="174" t="n"/>
      <c r="K20" s="33">
        <f>J20*0.0225</f>
        <v/>
      </c>
      <c r="L20" s="34" t="n"/>
      <c r="M20" s="41" t="inlineStr">
        <is>
          <t>MASTER</t>
        </is>
      </c>
      <c r="N20" s="173" t="n"/>
      <c r="O20" s="33">
        <f>N20*0.0225</f>
        <v/>
      </c>
      <c r="P20" s="46" t="n"/>
      <c r="Q20" s="31" t="n"/>
      <c r="R20" s="39" t="n"/>
      <c r="S20" s="40" t="n"/>
      <c r="T20" s="46" t="n"/>
      <c r="U20" s="35" t="inlineStr">
        <is>
          <t>MASTER</t>
        </is>
      </c>
      <c r="V20" s="174" t="n"/>
      <c r="W20" s="33">
        <f>V20*0.0225</f>
        <v/>
      </c>
      <c r="X20" s="48" t="n"/>
      <c r="Y20" s="35" t="inlineStr">
        <is>
          <t>MASTER</t>
        </is>
      </c>
      <c r="Z20" s="174" t="n"/>
      <c r="AA20" s="45">
        <f>Z20*0.0225</f>
        <v/>
      </c>
      <c r="AB20" s="46" t="n"/>
      <c r="AC20" s="46" t="n"/>
      <c r="AD20" s="35" t="inlineStr">
        <is>
          <t>MASTER</t>
        </is>
      </c>
      <c r="AE20" s="174" t="n"/>
      <c r="AF20" s="43">
        <f>AE20*0.0225</f>
        <v/>
      </c>
      <c r="AG20" s="48" t="n"/>
      <c r="AH20" s="46" t="n"/>
      <c r="AI20" s="60" t="n"/>
      <c r="AJ20" s="39" t="n"/>
      <c r="AK20" s="40" t="n"/>
      <c r="AL20" s="46" t="n"/>
      <c r="AM20" s="46" t="n"/>
      <c r="AN20" s="35" t="inlineStr">
        <is>
          <t>MASTER</t>
        </is>
      </c>
      <c r="AO20" s="174" t="n"/>
      <c r="AP20" s="43">
        <f>AO20*0.0225</f>
        <v/>
      </c>
      <c r="AQ20" s="48" t="n"/>
      <c r="AR20" s="46" t="n"/>
      <c r="AS20" s="35" t="inlineStr">
        <is>
          <t>MASTER</t>
        </is>
      </c>
      <c r="AT20" s="174" t="n"/>
      <c r="AU20" s="43">
        <f>AT20*0.0225</f>
        <v/>
      </c>
      <c r="AV20" s="48" t="n"/>
      <c r="AW20" s="46" t="n"/>
      <c r="AX20" s="35" t="inlineStr">
        <is>
          <t>MASTER</t>
        </is>
      </c>
      <c r="AY20" s="174" t="n"/>
      <c r="AZ20" s="43">
        <f>AY20*0.021</f>
        <v/>
      </c>
      <c r="BA20" s="48" t="n"/>
    </row>
    <row r="21" ht="27.75" customHeight="1" s="220">
      <c r="A21" s="31" t="inlineStr">
        <is>
          <t>MEDISAVE</t>
        </is>
      </c>
      <c r="B21" s="174" t="n"/>
      <c r="C21" s="33" t="n"/>
      <c r="D21" s="34" t="n"/>
      <c r="E21" s="35" t="inlineStr">
        <is>
          <t>MEDISAVE</t>
        </is>
      </c>
      <c r="F21" s="36" t="n"/>
      <c r="G21" s="33" t="n"/>
      <c r="H21" s="34" t="n"/>
      <c r="I21" s="35" t="inlineStr">
        <is>
          <t>MEDISAVE</t>
        </is>
      </c>
      <c r="J21" s="174" t="n"/>
      <c r="K21" s="33" t="n"/>
      <c r="L21" s="34" t="n"/>
      <c r="M21" s="41" t="inlineStr">
        <is>
          <t>MEDISAVE</t>
        </is>
      </c>
      <c r="N21" s="173" t="n"/>
      <c r="O21" s="33" t="n"/>
      <c r="P21" s="46" t="n"/>
      <c r="Q21" s="31" t="n"/>
      <c r="R21" s="39" t="n"/>
      <c r="S21" s="40" t="n"/>
      <c r="T21" s="46" t="n"/>
      <c r="U21" s="35" t="inlineStr">
        <is>
          <t>MEDISAVE</t>
        </is>
      </c>
      <c r="V21" s="174" t="n"/>
      <c r="W21" s="33" t="n"/>
      <c r="X21" s="48" t="n"/>
      <c r="Y21" s="35" t="inlineStr">
        <is>
          <t>MEDISAVE</t>
        </is>
      </c>
      <c r="Z21" s="174" t="n"/>
      <c r="AA21" s="45" t="n"/>
      <c r="AB21" s="46" t="n"/>
      <c r="AC21" s="46" t="n"/>
      <c r="AD21" s="35" t="inlineStr">
        <is>
          <t>MEDISAVE</t>
        </is>
      </c>
      <c r="AE21" s="174" t="n"/>
      <c r="AF21" s="43" t="n"/>
      <c r="AG21" s="48" t="n"/>
      <c r="AH21" s="46" t="n"/>
      <c r="AI21" s="60" t="n"/>
      <c r="AJ21" s="39" t="n"/>
      <c r="AK21" s="40" t="n"/>
      <c r="AL21" s="46" t="n"/>
      <c r="AM21" s="46" t="n"/>
      <c r="AN21" s="35" t="inlineStr">
        <is>
          <t>MEDISAVE</t>
        </is>
      </c>
      <c r="AO21" s="174" t="n"/>
      <c r="AP21" s="43" t="n"/>
      <c r="AQ21" s="48" t="n"/>
      <c r="AR21" s="46" t="n"/>
      <c r="AS21" s="35" t="inlineStr">
        <is>
          <t>MEDISAVE</t>
        </is>
      </c>
      <c r="AT21" s="174" t="n"/>
      <c r="AU21" s="43" t="n"/>
      <c r="AV21" s="48" t="n"/>
      <c r="AW21" s="46" t="n"/>
      <c r="AX21" s="35" t="inlineStr">
        <is>
          <t>MEDISAVE</t>
        </is>
      </c>
      <c r="AY21" s="174" t="n"/>
      <c r="AZ21" s="43" t="n"/>
      <c r="BA21" s="48" t="n"/>
    </row>
    <row r="22" ht="27.75" customHeight="1" s="220">
      <c r="A22" s="52" t="inlineStr">
        <is>
          <t>mednefits</t>
        </is>
      </c>
      <c r="B22" s="174" t="n"/>
      <c r="C22" s="54">
        <f>B22*20%</f>
        <v/>
      </c>
      <c r="D22" s="34" t="n"/>
      <c r="E22" s="35" t="inlineStr">
        <is>
          <t>mednefits</t>
        </is>
      </c>
      <c r="F22" s="50" t="n"/>
      <c r="G22" s="33">
        <f>F22*20%</f>
        <v/>
      </c>
      <c r="H22" s="34" t="n"/>
      <c r="I22" s="35" t="inlineStr">
        <is>
          <t>mednefits</t>
        </is>
      </c>
      <c r="J22" s="50" t="n"/>
      <c r="K22" s="33">
        <f>J22*20%</f>
        <v/>
      </c>
      <c r="L22" s="34" t="n"/>
      <c r="M22" s="41" t="inlineStr">
        <is>
          <t>mednefits</t>
        </is>
      </c>
      <c r="N22" s="173" t="n"/>
      <c r="O22" s="33">
        <f>N22*20%</f>
        <v/>
      </c>
      <c r="P22" s="46" t="n"/>
      <c r="Q22" s="31" t="n"/>
      <c r="R22" s="39" t="n"/>
      <c r="S22" s="40" t="n"/>
      <c r="T22" s="46" t="n"/>
      <c r="U22" s="35" t="inlineStr">
        <is>
          <t>mednefits</t>
        </is>
      </c>
      <c r="V22" s="51" t="n"/>
      <c r="W22" s="33">
        <f>V22*20%</f>
        <v/>
      </c>
      <c r="X22" s="48" t="n"/>
      <c r="Y22" s="35" t="inlineStr">
        <is>
          <t>mednefits</t>
        </is>
      </c>
      <c r="Z22" s="55" t="n"/>
      <c r="AA22" s="56">
        <f>Z22*20%</f>
        <v/>
      </c>
      <c r="AB22" s="46" t="n"/>
      <c r="AC22" s="46" t="n"/>
      <c r="AD22" s="57" t="inlineStr">
        <is>
          <t>mednefits</t>
        </is>
      </c>
      <c r="AE22" s="58" t="n"/>
      <c r="AF22" s="59">
        <f>AE22*20%</f>
        <v/>
      </c>
      <c r="AG22" s="48" t="n"/>
      <c r="AH22" s="46" t="n"/>
      <c r="AI22" s="60" t="n"/>
      <c r="AJ22" s="39" t="n"/>
      <c r="AK22" s="40" t="n"/>
      <c r="AL22" s="46" t="n"/>
      <c r="AM22" s="46" t="n"/>
      <c r="AN22" s="57" t="inlineStr">
        <is>
          <t>mednefits</t>
        </is>
      </c>
      <c r="AO22" s="58" t="n"/>
      <c r="AP22" s="59">
        <f>AO22*20%</f>
        <v/>
      </c>
      <c r="AQ22" s="48" t="n"/>
      <c r="AR22" s="46" t="n"/>
      <c r="AS22" s="57" t="inlineStr">
        <is>
          <t>mednefits</t>
        </is>
      </c>
      <c r="AT22" s="58" t="n"/>
      <c r="AU22" s="59">
        <f>AT22*20%</f>
        <v/>
      </c>
      <c r="AV22" s="48" t="n"/>
      <c r="AW22" s="46" t="n"/>
      <c r="AX22" s="57" t="inlineStr">
        <is>
          <t>mednefits</t>
        </is>
      </c>
      <c r="AY22" s="58" t="n"/>
      <c r="AZ22" s="59">
        <f>AY22*20%</f>
        <v/>
      </c>
      <c r="BA22" s="48" t="n"/>
    </row>
    <row r="23" ht="27.75" customHeight="1" s="220">
      <c r="A23" s="35" t="inlineStr">
        <is>
          <t>MHC</t>
        </is>
      </c>
      <c r="B23" s="174" t="n"/>
      <c r="C23" s="33">
        <f>B23*0.15*1.09</f>
        <v/>
      </c>
      <c r="D23" s="34" t="n"/>
      <c r="E23" s="35" t="inlineStr">
        <is>
          <t>MHC</t>
        </is>
      </c>
      <c r="F23" s="36" t="n"/>
      <c r="G23" s="33">
        <f>F23*0.15*1.09</f>
        <v/>
      </c>
      <c r="H23" s="34" t="n"/>
      <c r="I23" s="35" t="inlineStr">
        <is>
          <t>MHC</t>
        </is>
      </c>
      <c r="J23" s="174" t="n"/>
      <c r="K23" s="33">
        <f>J23*0.15*1.09</f>
        <v/>
      </c>
      <c r="L23" s="34" t="n"/>
      <c r="M23" s="41" t="inlineStr">
        <is>
          <t>MHC</t>
        </is>
      </c>
      <c r="N23" s="173" t="n"/>
      <c r="O23" s="33">
        <f>N23*0.15*1.09</f>
        <v/>
      </c>
      <c r="P23" s="46" t="n"/>
      <c r="Q23" s="31" t="n"/>
      <c r="R23" s="39" t="n"/>
      <c r="S23" s="40" t="n"/>
      <c r="T23" s="46" t="n"/>
      <c r="U23" s="35" t="inlineStr">
        <is>
          <t>MHC</t>
        </is>
      </c>
      <c r="V23" s="174" t="n"/>
      <c r="W23" s="33">
        <f>V23*0.15*1.09</f>
        <v/>
      </c>
      <c r="X23" s="48" t="n"/>
      <c r="Y23" s="35" t="inlineStr">
        <is>
          <t>MHC</t>
        </is>
      </c>
      <c r="Z23" s="174" t="n"/>
      <c r="AA23" s="33">
        <f>Z23*0.15*1.09</f>
        <v/>
      </c>
      <c r="AB23" s="46" t="n"/>
      <c r="AC23" s="46" t="n"/>
      <c r="AD23" s="35" t="inlineStr">
        <is>
          <t>MHC</t>
        </is>
      </c>
      <c r="AE23" s="174" t="n"/>
      <c r="AF23" s="33">
        <f>AE23*0.15*1.09</f>
        <v/>
      </c>
      <c r="AG23" s="48" t="n"/>
      <c r="AH23" s="46" t="n"/>
      <c r="AI23" s="60" t="n"/>
      <c r="AJ23" s="39" t="n"/>
      <c r="AK23" s="40" t="n"/>
      <c r="AL23" s="46" t="n"/>
      <c r="AM23" s="46" t="n"/>
      <c r="AN23" s="35" t="inlineStr">
        <is>
          <t>MHC</t>
        </is>
      </c>
      <c r="AO23" s="174" t="n"/>
      <c r="AP23" s="33">
        <f>AO23*0.15*1.09</f>
        <v/>
      </c>
      <c r="AQ23" s="48" t="n"/>
      <c r="AR23" s="46" t="n"/>
      <c r="AS23" s="35" t="inlineStr">
        <is>
          <t>MHC</t>
        </is>
      </c>
      <c r="AT23" s="174" t="n"/>
      <c r="AU23" s="33">
        <f>AT23*0.15*1.09</f>
        <v/>
      </c>
      <c r="AV23" s="48" t="n"/>
      <c r="AW23" s="46" t="n"/>
      <c r="AX23" s="35" t="inlineStr">
        <is>
          <t>MHC</t>
        </is>
      </c>
      <c r="AY23" s="173" t="n"/>
      <c r="AZ23" s="33">
        <f>AY23*0.15*1.09</f>
        <v/>
      </c>
      <c r="BA23" s="48" t="n"/>
    </row>
    <row r="24" ht="27.75" customHeight="1" s="220">
      <c r="A24" s="31" t="inlineStr">
        <is>
          <t>NETS</t>
        </is>
      </c>
      <c r="B24" s="185" t="n"/>
      <c r="C24" s="33">
        <f>B24*0.008</f>
        <v/>
      </c>
      <c r="D24" s="34" t="n"/>
      <c r="E24" s="35" t="inlineStr">
        <is>
          <t>NETS</t>
        </is>
      </c>
      <c r="F24" s="36" t="n"/>
      <c r="G24" s="33">
        <f>F24*0.008</f>
        <v/>
      </c>
      <c r="H24" s="34" t="n"/>
      <c r="I24" s="35" t="inlineStr">
        <is>
          <t>NETS</t>
        </is>
      </c>
      <c r="J24" s="174" t="n"/>
      <c r="K24" s="33">
        <f>J24*0.008</f>
        <v/>
      </c>
      <c r="L24" s="34" t="n"/>
      <c r="M24" s="41" t="inlineStr">
        <is>
          <t>NETS</t>
        </is>
      </c>
      <c r="N24" s="173" t="n"/>
      <c r="O24" s="33">
        <f>N24*0.008</f>
        <v/>
      </c>
      <c r="P24" s="46" t="n"/>
      <c r="Q24" s="31" t="n"/>
      <c r="R24" s="39" t="n"/>
      <c r="S24" s="40" t="n"/>
      <c r="T24" s="46" t="n"/>
      <c r="U24" s="35" t="inlineStr">
        <is>
          <t>NETS</t>
        </is>
      </c>
      <c r="V24" s="174" t="n"/>
      <c r="W24" s="33">
        <f>V24*0.008</f>
        <v/>
      </c>
      <c r="X24" s="48" t="n"/>
      <c r="Y24" s="35" t="inlineStr">
        <is>
          <t>NETS</t>
        </is>
      </c>
      <c r="Z24" s="173" t="n"/>
      <c r="AA24" s="33">
        <f>Z24*0.008</f>
        <v/>
      </c>
      <c r="AB24" s="46" t="n"/>
      <c r="AC24" s="46" t="n"/>
      <c r="AD24" s="35" t="inlineStr">
        <is>
          <t>NETS</t>
        </is>
      </c>
      <c r="AE24" s="174" t="n"/>
      <c r="AF24" s="33">
        <f>AE24*0.008</f>
        <v/>
      </c>
      <c r="AG24" s="48" t="n"/>
      <c r="AH24" s="46" t="n"/>
      <c r="AI24" s="60" t="n"/>
      <c r="AJ24" s="39" t="n"/>
      <c r="AK24" s="40" t="n"/>
      <c r="AL24" s="46" t="n"/>
      <c r="AM24" s="46" t="n"/>
      <c r="AN24" s="35" t="inlineStr">
        <is>
          <t>NETS</t>
        </is>
      </c>
      <c r="AO24" s="174" t="n"/>
      <c r="AP24" s="33">
        <f>AO24*0.008</f>
        <v/>
      </c>
      <c r="AQ24" s="48" t="n"/>
      <c r="AR24" s="46" t="n"/>
      <c r="AS24" s="35" t="inlineStr">
        <is>
          <t>NETS</t>
        </is>
      </c>
      <c r="AT24" s="174" t="n"/>
      <c r="AU24" s="33">
        <f>AT24*0.008</f>
        <v/>
      </c>
      <c r="AV24" s="48" t="n"/>
      <c r="AW24" s="46" t="n"/>
      <c r="AX24" s="35" t="inlineStr">
        <is>
          <t>NETS</t>
        </is>
      </c>
      <c r="AY24" s="174" t="n"/>
      <c r="AZ24" s="33">
        <f>AY24*0.008</f>
        <v/>
      </c>
      <c r="BA24" s="48" t="n"/>
    </row>
    <row r="25" ht="27.75" customHeight="1" s="220">
      <c r="A25" s="35" t="inlineStr">
        <is>
          <t>PARKWAY</t>
        </is>
      </c>
      <c r="B25" s="174" t="n"/>
      <c r="C25" s="33">
        <f>B25*10%</f>
        <v/>
      </c>
      <c r="D25" s="34" t="n"/>
      <c r="E25" s="35" t="inlineStr">
        <is>
          <t>PARKWAY</t>
        </is>
      </c>
      <c r="F25" s="36" t="n"/>
      <c r="G25" s="61">
        <f>F25*10%</f>
        <v/>
      </c>
      <c r="H25" s="34" t="n"/>
      <c r="I25" s="35" t="inlineStr">
        <is>
          <t>PARKWAY</t>
        </is>
      </c>
      <c r="J25" s="36" t="n"/>
      <c r="K25" s="61">
        <f>J25*10%</f>
        <v/>
      </c>
      <c r="L25" s="34" t="n"/>
      <c r="M25" s="41" t="inlineStr">
        <is>
          <t>PARKWAY</t>
        </is>
      </c>
      <c r="N25" s="36" t="n"/>
      <c r="O25" s="61">
        <f>N25*10%</f>
        <v/>
      </c>
      <c r="P25" s="46" t="n"/>
      <c r="Q25" s="31" t="n"/>
      <c r="R25" s="39" t="n"/>
      <c r="S25" s="40" t="n"/>
      <c r="T25" s="46" t="n"/>
      <c r="U25" s="35" t="inlineStr">
        <is>
          <t>PARKWAY</t>
        </is>
      </c>
      <c r="V25" s="36" t="n"/>
      <c r="W25" s="61">
        <f>V25*10%</f>
        <v/>
      </c>
      <c r="X25" s="48" t="n"/>
      <c r="Y25" s="35" t="inlineStr">
        <is>
          <t>PARKWAY</t>
        </is>
      </c>
      <c r="Z25" s="174" t="n"/>
      <c r="AA25" s="33">
        <f>Z25*10%</f>
        <v/>
      </c>
      <c r="AB25" s="46" t="n"/>
      <c r="AC25" s="46" t="n"/>
      <c r="AD25" s="35" t="inlineStr">
        <is>
          <t>PARKWAY</t>
        </is>
      </c>
      <c r="AE25" s="174" t="n"/>
      <c r="AF25" s="33">
        <f>AE25*10%</f>
        <v/>
      </c>
      <c r="AG25" s="48" t="n"/>
      <c r="AH25" s="46" t="n"/>
      <c r="AI25" s="60" t="n"/>
      <c r="AJ25" s="39" t="n"/>
      <c r="AK25" s="40" t="n"/>
      <c r="AL25" s="46" t="n"/>
      <c r="AM25" s="46" t="n"/>
      <c r="AN25" s="35" t="inlineStr">
        <is>
          <t>PARKWAY</t>
        </is>
      </c>
      <c r="AO25" s="36" t="n"/>
      <c r="AP25" s="33">
        <f>AO25*10%</f>
        <v/>
      </c>
      <c r="AQ25" s="48" t="n"/>
      <c r="AR25" s="46" t="n"/>
      <c r="AS25" s="35" t="inlineStr">
        <is>
          <t>PARKWAY</t>
        </is>
      </c>
      <c r="AT25" s="36" t="n"/>
      <c r="AU25" s="33">
        <f>AT25*10%</f>
        <v/>
      </c>
      <c r="AV25" s="48" t="n"/>
      <c r="AW25" s="46" t="n"/>
      <c r="AX25" s="35" t="inlineStr">
        <is>
          <t>PARKWAY</t>
        </is>
      </c>
      <c r="AY25" s="36" t="n"/>
      <c r="AZ25" s="33">
        <f>AY25*10%</f>
        <v/>
      </c>
      <c r="BA25" s="48" t="n"/>
    </row>
    <row r="26" ht="27.75" customHeight="1" s="220">
      <c r="A26" s="31" t="inlineStr">
        <is>
          <t>PAYNOW</t>
        </is>
      </c>
      <c r="B26" s="174" t="n"/>
      <c r="C26" s="33" t="n"/>
      <c r="D26" s="34" t="n"/>
      <c r="E26" s="35" t="inlineStr">
        <is>
          <t>PAYNOW</t>
        </is>
      </c>
      <c r="F26" s="36" t="n"/>
      <c r="G26" s="33" t="n"/>
      <c r="H26" s="34" t="n"/>
      <c r="I26" s="35" t="inlineStr">
        <is>
          <t>PAYNOW</t>
        </is>
      </c>
      <c r="J26" s="174" t="n"/>
      <c r="K26" s="33" t="n"/>
      <c r="L26" s="34" t="n"/>
      <c r="M26" s="41" t="inlineStr">
        <is>
          <t>PAYNOW</t>
        </is>
      </c>
      <c r="N26" s="173" t="n"/>
      <c r="O26" s="33" t="n"/>
      <c r="P26" s="46" t="n"/>
      <c r="Q26" s="31" t="n"/>
      <c r="R26" s="39" t="n"/>
      <c r="S26" s="40" t="n"/>
      <c r="T26" s="46" t="n"/>
      <c r="U26" s="35" t="inlineStr">
        <is>
          <t>PAYNOW</t>
        </is>
      </c>
      <c r="V26" s="174" t="n"/>
      <c r="W26" s="33" t="n"/>
      <c r="X26" s="48" t="n"/>
      <c r="Y26" s="35" t="inlineStr">
        <is>
          <t>PAYNOW</t>
        </is>
      </c>
      <c r="Z26" s="174" t="n"/>
      <c r="AA26" s="33" t="n"/>
      <c r="AB26" s="46" t="n"/>
      <c r="AC26" s="46" t="n"/>
      <c r="AD26" s="35" t="inlineStr">
        <is>
          <t>PAYNOW</t>
        </is>
      </c>
      <c r="AE26" s="174" t="n"/>
      <c r="AF26" s="33" t="n"/>
      <c r="AG26" s="48" t="n"/>
      <c r="AH26" s="46" t="n"/>
      <c r="AI26" s="60" t="n"/>
      <c r="AJ26" s="39" t="n"/>
      <c r="AK26" s="40" t="n"/>
      <c r="AL26" s="46" t="n"/>
      <c r="AM26" s="46" t="n"/>
      <c r="AN26" s="35" t="inlineStr">
        <is>
          <t>PAYNOW</t>
        </is>
      </c>
      <c r="AO26" s="174" t="n"/>
      <c r="AP26" s="33" t="n"/>
      <c r="AQ26" s="48" t="n"/>
      <c r="AR26" s="46" t="n"/>
      <c r="AS26" s="35" t="inlineStr">
        <is>
          <t>PAYNOW</t>
        </is>
      </c>
      <c r="AT26" s="36" t="n"/>
      <c r="AU26" s="33" t="n"/>
      <c r="AV26" s="48" t="n"/>
      <c r="AW26" s="46" t="n"/>
      <c r="AX26" s="35" t="inlineStr">
        <is>
          <t>PAYNOW</t>
        </is>
      </c>
      <c r="AY26" s="36" t="n"/>
      <c r="AZ26" s="33" t="n"/>
      <c r="BA26" s="48" t="n"/>
    </row>
    <row r="27" ht="27.75" customHeight="1" s="220">
      <c r="A27" s="63" t="inlineStr">
        <is>
          <t>RHI</t>
        </is>
      </c>
      <c r="B27" s="173" t="n"/>
      <c r="C27" s="65" t="n"/>
      <c r="D27" s="34" t="n"/>
      <c r="E27" s="35" t="inlineStr">
        <is>
          <t>RHI</t>
        </is>
      </c>
      <c r="F27" s="36" t="n"/>
      <c r="G27" s="33" t="n"/>
      <c r="H27" s="34" t="n"/>
      <c r="I27" s="35" t="inlineStr">
        <is>
          <t>RHI</t>
        </is>
      </c>
      <c r="J27" s="36" t="n"/>
      <c r="K27" s="33" t="n"/>
      <c r="L27" s="34" t="n"/>
      <c r="M27" s="41" t="inlineStr">
        <is>
          <t>RHI</t>
        </is>
      </c>
      <c r="N27" s="173" t="n"/>
      <c r="O27" s="33" t="n"/>
      <c r="P27" s="46" t="n"/>
      <c r="Q27" s="31" t="n"/>
      <c r="R27" s="39" t="n"/>
      <c r="S27" s="40" t="n"/>
      <c r="T27" s="46" t="n"/>
      <c r="U27" s="35" t="inlineStr">
        <is>
          <t>RHI</t>
        </is>
      </c>
      <c r="V27" s="51" t="n"/>
      <c r="W27" s="33" t="n"/>
      <c r="X27" s="48" t="n"/>
      <c r="Y27" s="35" t="inlineStr">
        <is>
          <t>RHI</t>
        </is>
      </c>
      <c r="Z27" s="36" t="n"/>
      <c r="AA27" s="33" t="n"/>
      <c r="AB27" s="46" t="n"/>
      <c r="AC27" s="46" t="n"/>
      <c r="AD27" s="35" t="inlineStr">
        <is>
          <t>RHI</t>
        </is>
      </c>
      <c r="AE27" s="36" t="n"/>
      <c r="AF27" s="33" t="n"/>
      <c r="AG27" s="48" t="n"/>
      <c r="AH27" s="46" t="n"/>
      <c r="AI27" s="60" t="n"/>
      <c r="AJ27" s="39" t="n"/>
      <c r="AK27" s="40" t="n"/>
      <c r="AL27" s="46" t="n"/>
      <c r="AM27" s="46" t="n"/>
      <c r="AN27" s="35" t="inlineStr">
        <is>
          <t>RHI</t>
        </is>
      </c>
      <c r="AO27" s="36" t="n"/>
      <c r="AP27" s="33" t="n"/>
      <c r="AQ27" s="48" t="n"/>
      <c r="AR27" s="46" t="n"/>
      <c r="AS27" s="35" t="inlineStr">
        <is>
          <t>RHI</t>
        </is>
      </c>
      <c r="AT27" s="36" t="n"/>
      <c r="AU27" s="33" t="n"/>
      <c r="AV27" s="48" t="n"/>
      <c r="AW27" s="46" t="n"/>
      <c r="AX27" s="35" t="inlineStr">
        <is>
          <t>RHI</t>
        </is>
      </c>
      <c r="AY27" s="36" t="n"/>
      <c r="AZ27" s="33" t="n"/>
      <c r="BA27" s="48" t="n"/>
    </row>
    <row r="28" ht="27.75" customHeight="1" s="220">
      <c r="A28" s="35" t="inlineStr">
        <is>
          <t>SAH</t>
        </is>
      </c>
      <c r="B28" s="36" t="n"/>
      <c r="C28" s="61">
        <f>B28*8%</f>
        <v/>
      </c>
      <c r="D28" s="34" t="n"/>
      <c r="E28" s="35" t="inlineStr">
        <is>
          <t>SAH</t>
        </is>
      </c>
      <c r="F28" s="36" t="n"/>
      <c r="G28" s="61">
        <f>F28*8%</f>
        <v/>
      </c>
      <c r="H28" s="34" t="n"/>
      <c r="I28" s="35" t="inlineStr">
        <is>
          <t>SAH</t>
        </is>
      </c>
      <c r="J28" s="36" t="n"/>
      <c r="K28" s="61">
        <f>J28*8%</f>
        <v/>
      </c>
      <c r="L28" s="34" t="n"/>
      <c r="M28" s="35" t="inlineStr">
        <is>
          <t>SAH</t>
        </is>
      </c>
      <c r="N28" s="36" t="n"/>
      <c r="O28" s="61">
        <f>N28*8%</f>
        <v/>
      </c>
      <c r="P28" s="46" t="n"/>
      <c r="Q28" s="31" t="n"/>
      <c r="R28" s="39" t="n"/>
      <c r="S28" s="40" t="n"/>
      <c r="T28" s="46" t="n"/>
      <c r="U28" s="35" t="inlineStr">
        <is>
          <t>SAH</t>
        </is>
      </c>
      <c r="V28" s="36" t="n"/>
      <c r="W28" s="61">
        <f>V28*8%</f>
        <v/>
      </c>
      <c r="X28" s="48" t="n"/>
      <c r="Y28" s="35" t="inlineStr">
        <is>
          <t>SAH</t>
        </is>
      </c>
      <c r="Z28" s="36" t="n"/>
      <c r="AA28" s="61">
        <f>Z28*8%</f>
        <v/>
      </c>
      <c r="AB28" s="46" t="n"/>
      <c r="AC28" s="46" t="n"/>
      <c r="AD28" s="35" t="inlineStr">
        <is>
          <t>SAH</t>
        </is>
      </c>
      <c r="AE28" s="36" t="n"/>
      <c r="AF28" s="61">
        <f>AE28*8%</f>
        <v/>
      </c>
      <c r="AG28" s="48" t="n"/>
      <c r="AH28" s="46" t="n"/>
      <c r="AI28" s="60" t="n"/>
      <c r="AJ28" s="39" t="n"/>
      <c r="AK28" s="40" t="n"/>
      <c r="AL28" s="46" t="n"/>
      <c r="AM28" s="46" t="n"/>
      <c r="AN28" s="35" t="inlineStr">
        <is>
          <t>SAH</t>
        </is>
      </c>
      <c r="AO28" s="36" t="n"/>
      <c r="AP28" s="61">
        <f>AO28*8%</f>
        <v/>
      </c>
      <c r="AQ28" s="48" t="n"/>
      <c r="AR28" s="46" t="n"/>
      <c r="AS28" s="35" t="inlineStr">
        <is>
          <t>SAH</t>
        </is>
      </c>
      <c r="AT28" s="36" t="n"/>
      <c r="AU28" s="61">
        <f>AT28*8%</f>
        <v/>
      </c>
      <c r="AV28" s="48" t="n"/>
      <c r="AW28" s="46" t="n"/>
      <c r="AX28" s="35" t="inlineStr">
        <is>
          <t>SAH</t>
        </is>
      </c>
      <c r="AY28" s="36" t="n"/>
      <c r="AZ28" s="61">
        <f>AY28*8%</f>
        <v/>
      </c>
      <c r="BA28" s="48" t="n"/>
    </row>
    <row r="29" ht="27.75" customHeight="1" s="220">
      <c r="A29" s="52" t="inlineStr">
        <is>
          <t>UNION PAY</t>
        </is>
      </c>
      <c r="B29" s="174" t="n"/>
      <c r="C29" s="54">
        <f>B29*2.5%</f>
        <v/>
      </c>
      <c r="D29" s="34" t="n"/>
      <c r="E29" s="35" t="inlineStr">
        <is>
          <t>UNION PAY</t>
        </is>
      </c>
      <c r="F29" s="36" t="n"/>
      <c r="G29" s="33">
        <f>F29*2.5%</f>
        <v/>
      </c>
      <c r="H29" s="34" t="n"/>
      <c r="I29" s="35" t="inlineStr">
        <is>
          <t>UNION PAY</t>
        </is>
      </c>
      <c r="J29" s="36" t="n"/>
      <c r="K29" s="33">
        <f>J29*2.5%</f>
        <v/>
      </c>
      <c r="L29" s="34" t="n"/>
      <c r="M29" s="35" t="inlineStr">
        <is>
          <t>UNION PAY</t>
        </is>
      </c>
      <c r="N29" s="174" t="n"/>
      <c r="O29" s="33">
        <f>N29*2.5%</f>
        <v/>
      </c>
      <c r="P29" s="46" t="n"/>
      <c r="Q29" s="31" t="n"/>
      <c r="R29" s="39" t="n"/>
      <c r="S29" s="40" t="n"/>
      <c r="T29" s="46" t="n"/>
      <c r="U29" s="35" t="inlineStr">
        <is>
          <t>UNION PAY</t>
        </is>
      </c>
      <c r="V29" s="36" t="n"/>
      <c r="W29" s="33">
        <f>V29*2.5%</f>
        <v/>
      </c>
      <c r="X29" s="48" t="n"/>
      <c r="Y29" s="35" t="inlineStr">
        <is>
          <t>UNION PAY</t>
        </is>
      </c>
      <c r="Z29" s="36" t="n"/>
      <c r="AA29" s="33">
        <f>Z29*2.5%</f>
        <v/>
      </c>
      <c r="AB29" s="46" t="n"/>
      <c r="AC29" s="46" t="n"/>
      <c r="AD29" s="35" t="inlineStr">
        <is>
          <t>UNION PAY</t>
        </is>
      </c>
      <c r="AE29" s="36" t="n"/>
      <c r="AF29" s="33">
        <f>AE29*2.5%</f>
        <v/>
      </c>
      <c r="AG29" s="48" t="n"/>
      <c r="AH29" s="46" t="n"/>
      <c r="AI29" s="60" t="n"/>
      <c r="AJ29" s="39" t="n"/>
      <c r="AK29" s="40" t="n"/>
      <c r="AL29" s="46" t="n"/>
      <c r="AM29" s="46" t="n"/>
      <c r="AN29" s="35" t="inlineStr">
        <is>
          <t>UNION PAY</t>
        </is>
      </c>
      <c r="AO29" s="36" t="n"/>
      <c r="AP29" s="33">
        <f>AO29*2.5%</f>
        <v/>
      </c>
      <c r="AQ29" s="48" t="n"/>
      <c r="AR29" s="46" t="n"/>
      <c r="AS29" s="35" t="inlineStr">
        <is>
          <t>UNION PAY</t>
        </is>
      </c>
      <c r="AT29" s="36" t="n"/>
      <c r="AU29" s="33">
        <f>AT29*2.5%</f>
        <v/>
      </c>
      <c r="AV29" s="48" t="n"/>
      <c r="AW29" s="46" t="n"/>
      <c r="AX29" s="35" t="inlineStr">
        <is>
          <t>UNION PAY</t>
        </is>
      </c>
      <c r="AY29" s="36" t="n"/>
      <c r="AZ29" s="33">
        <f>AY29*2.5%</f>
        <v/>
      </c>
      <c r="BA29" s="48" t="n"/>
    </row>
    <row r="30" ht="28.5" customHeight="1" s="220">
      <c r="A30" s="66" t="inlineStr">
        <is>
          <t>VISA</t>
        </is>
      </c>
      <c r="B30" s="206" t="n"/>
      <c r="C30" s="68">
        <f>B30*0.0225</f>
        <v/>
      </c>
      <c r="D30" s="34" t="n"/>
      <c r="E30" s="69" t="inlineStr">
        <is>
          <t>VISA</t>
        </is>
      </c>
      <c r="F30" s="70" t="n"/>
      <c r="G30" s="68">
        <f>F30*0.021</f>
        <v/>
      </c>
      <c r="H30" s="34" t="n"/>
      <c r="I30" s="69" t="inlineStr">
        <is>
          <t>VISA</t>
        </is>
      </c>
      <c r="J30" s="70" t="n"/>
      <c r="K30" s="68">
        <f>J30*0.0225</f>
        <v/>
      </c>
      <c r="L30" s="34" t="n"/>
      <c r="M30" s="69" t="inlineStr">
        <is>
          <t>VISA</t>
        </is>
      </c>
      <c r="N30" s="70" t="n"/>
      <c r="O30" s="68">
        <f>N30*0.0225</f>
        <v/>
      </c>
      <c r="P30" s="46" t="n"/>
      <c r="Q30" s="31" t="n"/>
      <c r="R30" s="39" t="n"/>
      <c r="S30" s="40" t="n"/>
      <c r="T30" s="46" t="n"/>
      <c r="U30" s="69" t="inlineStr">
        <is>
          <t>VISA</t>
        </is>
      </c>
      <c r="V30" s="70" t="n"/>
      <c r="W30" s="68">
        <f>V30*0.0225</f>
        <v/>
      </c>
      <c r="X30" s="48" t="n"/>
      <c r="Y30" s="69" t="inlineStr">
        <is>
          <t>VISA</t>
        </is>
      </c>
      <c r="Z30" s="70" t="n"/>
      <c r="AA30" s="68">
        <f>Z30*0.0225</f>
        <v/>
      </c>
      <c r="AB30" s="46" t="n"/>
      <c r="AC30" s="46" t="n"/>
      <c r="AD30" s="69" t="inlineStr">
        <is>
          <t>VISA</t>
        </is>
      </c>
      <c r="AE30" s="70" t="n"/>
      <c r="AF30" s="68">
        <f>AE30*0.0225</f>
        <v/>
      </c>
      <c r="AG30" s="48" t="n"/>
      <c r="AH30" s="46" t="n"/>
      <c r="AI30" s="60" t="n"/>
      <c r="AJ30" s="39" t="n"/>
      <c r="AK30" s="40" t="n"/>
      <c r="AL30" s="46" t="n"/>
      <c r="AM30" s="46" t="n"/>
      <c r="AN30" s="69" t="inlineStr">
        <is>
          <t>VISA</t>
        </is>
      </c>
      <c r="AO30" s="70" t="n"/>
      <c r="AP30" s="68">
        <f>AO30*0.0225</f>
        <v/>
      </c>
      <c r="AQ30" s="48" t="n"/>
      <c r="AR30" s="46" t="n"/>
      <c r="AS30" s="69" t="inlineStr">
        <is>
          <t>VISA</t>
        </is>
      </c>
      <c r="AT30" s="70" t="n"/>
      <c r="AU30" s="68">
        <f>AT30*0.0225</f>
        <v/>
      </c>
      <c r="AV30" s="48" t="n"/>
      <c r="AW30" s="46" t="n"/>
      <c r="AX30" s="69" t="inlineStr">
        <is>
          <t>VISA</t>
        </is>
      </c>
      <c r="AY30" s="70" t="n"/>
      <c r="AZ30" s="68">
        <f>AY30*0.021</f>
        <v/>
      </c>
      <c r="BA30" s="48" t="n"/>
    </row>
    <row r="31" ht="32.25" customHeight="1" s="220">
      <c r="A31" s="72" t="inlineStr">
        <is>
          <t>TOTAL INCOME</t>
        </is>
      </c>
      <c r="B31" s="188">
        <f>SUM(B7:B30)</f>
        <v/>
      </c>
      <c r="C31" s="74">
        <f>SUM(C7:C30)</f>
        <v/>
      </c>
      <c r="D31" s="34" t="n"/>
      <c r="E31" s="75" t="inlineStr">
        <is>
          <t>DR TOTAL INCOME</t>
        </is>
      </c>
      <c r="F31" s="75">
        <f>SUM(F7:F30)</f>
        <v/>
      </c>
      <c r="G31" s="76">
        <f>SUM(G7:G30)</f>
        <v/>
      </c>
      <c r="H31" s="34" t="n"/>
      <c r="I31" s="77" t="inlineStr">
        <is>
          <t>DR TOTAL INCOME</t>
        </is>
      </c>
      <c r="J31" s="189">
        <f>SUM(J7:J30)</f>
        <v/>
      </c>
      <c r="K31" s="79">
        <f>SUM(K7:K30)</f>
        <v/>
      </c>
      <c r="L31" s="34" t="n"/>
      <c r="M31" s="77" t="inlineStr">
        <is>
          <t>DR TOTAL INCOME</t>
        </is>
      </c>
      <c r="N31" s="189">
        <f>SUM(N7:N30)</f>
        <v/>
      </c>
      <c r="O31" s="80">
        <f>SUM(O7:O30)</f>
        <v/>
      </c>
      <c r="P31" s="46" t="n"/>
      <c r="Q31" s="31" t="n"/>
      <c r="R31" s="39" t="n"/>
      <c r="S31" s="40" t="n"/>
      <c r="T31" s="46" t="n"/>
      <c r="U31" s="75" t="inlineStr">
        <is>
          <t>DR TOTAL INCOME</t>
        </is>
      </c>
      <c r="V31" s="190">
        <f>SUM(V7:V30)</f>
        <v/>
      </c>
      <c r="W31" s="82">
        <f>SUM(W7:W30)</f>
        <v/>
      </c>
      <c r="X31" s="49" t="n"/>
      <c r="Y31" s="77" t="inlineStr">
        <is>
          <t>DR TOTAL INCOME</t>
        </is>
      </c>
      <c r="Z31" s="191">
        <f>SUM(Z7:Z30)</f>
        <v/>
      </c>
      <c r="AA31" s="79">
        <f>SUM(AA7:AA30)</f>
        <v/>
      </c>
      <c r="AB31" s="46" t="n"/>
      <c r="AC31" s="46" t="n"/>
      <c r="AD31" s="84" t="inlineStr">
        <is>
          <t>DR TOTAL INCOME</t>
        </is>
      </c>
      <c r="AE31" s="192">
        <f>SUM(AE7:AE30)</f>
        <v/>
      </c>
      <c r="AF31" s="82">
        <f>SUM(AF7:AF30)</f>
        <v/>
      </c>
      <c r="AG31" s="48" t="n"/>
      <c r="AH31" s="46" t="n"/>
      <c r="AI31" s="60" t="n"/>
      <c r="AJ31" s="39" t="n"/>
      <c r="AK31" s="40" t="n"/>
      <c r="AL31" s="46" t="n"/>
      <c r="AM31" s="46" t="n"/>
      <c r="AN31" s="84" t="inlineStr">
        <is>
          <t>DR TOTAL INCOME</t>
        </is>
      </c>
      <c r="AO31" s="192">
        <f>SUM(AO7:AO30)</f>
        <v/>
      </c>
      <c r="AP31" s="82">
        <f>SUM(AP7:AP30)</f>
        <v/>
      </c>
      <c r="AQ31" s="48" t="n"/>
      <c r="AR31" s="46" t="n"/>
      <c r="AS31" s="84" t="inlineStr">
        <is>
          <t>DR TOTAL INCOME</t>
        </is>
      </c>
      <c r="AT31" s="192">
        <f>SUM(AT7:AT30)</f>
        <v/>
      </c>
      <c r="AU31" s="82">
        <f>SUM(AU7:AU30)</f>
        <v/>
      </c>
      <c r="AV31" s="48" t="n"/>
      <c r="AW31" s="46" t="n"/>
      <c r="AX31" s="84" t="inlineStr">
        <is>
          <t>DR TOTAL INCOME</t>
        </is>
      </c>
      <c r="AY31" s="192">
        <f>SUM(AY7:AY30)</f>
        <v/>
      </c>
      <c r="AZ31" s="82">
        <f>SUM(AZ7:AZ30)</f>
        <v/>
      </c>
      <c r="BA31" s="48" t="n"/>
    </row>
    <row r="32" ht="29.25" customHeight="1" s="220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31" t="n"/>
      <c r="R32" s="39" t="n"/>
      <c r="S32" s="40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8" t="n"/>
      <c r="AH32" s="46" t="n"/>
      <c r="AI32" s="60" t="n"/>
      <c r="AJ32" s="39" t="n"/>
      <c r="AK32" s="40" t="n"/>
      <c r="AL32" s="46" t="n"/>
      <c r="AM32" s="46" t="n"/>
      <c r="AN32" s="46" t="n"/>
      <c r="AO32" s="46" t="n"/>
      <c r="AP32" s="46" t="n"/>
      <c r="AQ32" s="48" t="n"/>
      <c r="AR32" s="46" t="n"/>
      <c r="AS32" s="46" t="n"/>
      <c r="AT32" s="46" t="n"/>
      <c r="AU32" s="46" t="n"/>
      <c r="AV32" s="48" t="n"/>
      <c r="AW32" s="46" t="n"/>
      <c r="AX32" s="46" t="n"/>
      <c r="AY32" s="46" t="n"/>
      <c r="AZ32" s="46" t="n"/>
      <c r="BA32" s="48" t="n"/>
    </row>
    <row r="33" ht="23.25" customHeight="1" s="220">
      <c r="A33" s="86" t="n"/>
      <c r="B33" s="230" t="inlineStr">
        <is>
          <t>EXPENSES</t>
        </is>
      </c>
      <c r="C33" s="231" t="n"/>
      <c r="D33" s="86" t="n"/>
      <c r="E33" s="86" t="n"/>
      <c r="F33" s="232" t="inlineStr">
        <is>
          <t>DEDUCTIONS</t>
        </is>
      </c>
      <c r="G33" s="222" t="n"/>
      <c r="H33" s="90" t="inlineStr">
        <is>
          <t>REMARKS</t>
        </is>
      </c>
      <c r="I33" s="86" t="n"/>
      <c r="J33" s="230" t="inlineStr">
        <is>
          <t>DEDUCTIONS</t>
        </is>
      </c>
      <c r="K33" s="231" t="n"/>
      <c r="L33" s="90" t="inlineStr">
        <is>
          <t>REMARKS</t>
        </is>
      </c>
      <c r="M33" s="86" t="n"/>
      <c r="N33" s="230" t="inlineStr">
        <is>
          <t>DEDUCTIONS</t>
        </is>
      </c>
      <c r="O33" s="231" t="n"/>
      <c r="P33" s="90" t="inlineStr">
        <is>
          <t>REMARKS</t>
        </is>
      </c>
      <c r="Q33" s="86" t="n"/>
      <c r="R33" s="232" t="inlineStr">
        <is>
          <t>DEDUCTIONS</t>
        </is>
      </c>
      <c r="S33" s="222" t="n"/>
      <c r="T33" s="90" t="inlineStr">
        <is>
          <t>REMARKS</t>
        </is>
      </c>
      <c r="U33" s="86" t="n"/>
      <c r="V33" s="230" t="inlineStr">
        <is>
          <t>DEDUCTIONS</t>
        </is>
      </c>
      <c r="W33" s="231" t="n"/>
      <c r="X33" s="90" t="inlineStr">
        <is>
          <t>REMARKS</t>
        </is>
      </c>
      <c r="Y33" s="86" t="n"/>
      <c r="Z33" s="230" t="inlineStr">
        <is>
          <t>DEDUCTIONS</t>
        </is>
      </c>
      <c r="AA33" s="231" t="n"/>
      <c r="AB33" s="90" t="inlineStr">
        <is>
          <t>REMARKS</t>
        </is>
      </c>
      <c r="AC33" s="86" t="n"/>
      <c r="AD33" s="86" t="n"/>
      <c r="AE33" s="230" t="inlineStr">
        <is>
          <t>DEDUCTIONS</t>
        </is>
      </c>
      <c r="AF33" s="231" t="n"/>
      <c r="AG33" s="90" t="inlineStr">
        <is>
          <t>REMARKS</t>
        </is>
      </c>
      <c r="AH33" s="86" t="n"/>
      <c r="AI33" s="86" t="n"/>
      <c r="AJ33" s="232" t="inlineStr">
        <is>
          <t>DEDUCTIONS</t>
        </is>
      </c>
      <c r="AK33" s="222" t="n"/>
      <c r="AL33" s="90" t="inlineStr">
        <is>
          <t>REMARKS</t>
        </is>
      </c>
      <c r="AM33" s="86" t="n"/>
      <c r="AN33" s="86" t="n"/>
      <c r="AO33" s="230" t="inlineStr">
        <is>
          <t>DEDUCTIONS</t>
        </is>
      </c>
      <c r="AP33" s="231" t="n"/>
      <c r="AQ33" s="90" t="inlineStr">
        <is>
          <t>REMARKS</t>
        </is>
      </c>
      <c r="AR33" s="86" t="n"/>
      <c r="AS33" s="86" t="n"/>
      <c r="AT33" s="230" t="inlineStr">
        <is>
          <t>DEDUCTIONS</t>
        </is>
      </c>
      <c r="AU33" s="231" t="n"/>
      <c r="AV33" s="90" t="inlineStr">
        <is>
          <t>REMARKS</t>
        </is>
      </c>
      <c r="AW33" s="86" t="n"/>
      <c r="AX33" s="86" t="n"/>
      <c r="AY33" s="230" t="inlineStr">
        <is>
          <t>DEDUCTIONS</t>
        </is>
      </c>
      <c r="AZ33" s="231" t="n"/>
      <c r="BA33" s="90" t="inlineStr">
        <is>
          <t>REMARKS</t>
        </is>
      </c>
    </row>
    <row r="34" ht="30.75" customHeight="1" s="220">
      <c r="A34" s="1" t="n"/>
      <c r="B34" s="96" t="inlineStr">
        <is>
          <t>ADMIN FEE</t>
        </is>
      </c>
      <c r="C34" s="97">
        <f>SUM(C7:C30)</f>
        <v/>
      </c>
      <c r="D34" s="1" t="n"/>
      <c r="E34" s="1" t="n"/>
      <c r="F34" s="31" t="inlineStr">
        <is>
          <t>ADMIN CHARGES</t>
        </is>
      </c>
      <c r="G34" s="93">
        <f>G31</f>
        <v/>
      </c>
      <c r="H34" s="90" t="n"/>
      <c r="I34" s="1" t="n"/>
      <c r="J34" s="35" t="inlineStr">
        <is>
          <t>ADMIN CHARGES</t>
        </is>
      </c>
      <c r="K34" s="94">
        <f>K31</f>
        <v/>
      </c>
      <c r="L34" s="90" t="n"/>
      <c r="M34" s="1" t="n"/>
      <c r="N34" s="35" t="inlineStr">
        <is>
          <t>ADMIN CHARGES</t>
        </is>
      </c>
      <c r="O34" s="94">
        <f>O31</f>
        <v/>
      </c>
      <c r="P34" s="90" t="n"/>
      <c r="Q34" s="1" t="n"/>
      <c r="R34" s="31" t="inlineStr">
        <is>
          <t>ADMIN CHARGES</t>
        </is>
      </c>
      <c r="S34" s="93">
        <f>#REF!</f>
        <v/>
      </c>
      <c r="T34" s="90" t="n"/>
      <c r="U34" s="1" t="n"/>
      <c r="V34" s="35" t="inlineStr">
        <is>
          <t>ADMIN CHARGES</t>
        </is>
      </c>
      <c r="W34" s="94">
        <f>W31</f>
        <v/>
      </c>
      <c r="X34" s="90" t="n"/>
      <c r="Y34" s="1" t="n"/>
      <c r="Z34" s="35" t="inlineStr">
        <is>
          <t>ADMIN CHARGES</t>
        </is>
      </c>
      <c r="AA34" s="94">
        <f>AA31</f>
        <v/>
      </c>
      <c r="AB34" s="90" t="n"/>
      <c r="AC34" s="1" t="n"/>
      <c r="AD34" s="1" t="n"/>
      <c r="AE34" s="35" t="inlineStr">
        <is>
          <t>ADMIN CHARGES</t>
        </is>
      </c>
      <c r="AF34" s="94">
        <f>AF31</f>
        <v/>
      </c>
      <c r="AG34" s="90" t="n"/>
      <c r="AH34" s="1" t="n"/>
      <c r="AI34" s="1" t="n"/>
      <c r="AJ34" s="31" t="inlineStr">
        <is>
          <t>ADMIN CHARGES</t>
        </is>
      </c>
      <c r="AK34" s="93">
        <f>#REF!</f>
        <v/>
      </c>
      <c r="AL34" s="90" t="n"/>
      <c r="AM34" s="1" t="n"/>
      <c r="AN34" s="1" t="n"/>
      <c r="AO34" s="35" t="inlineStr">
        <is>
          <t>ADMIN CHARGES</t>
        </is>
      </c>
      <c r="AP34" s="94">
        <f>AP31</f>
        <v/>
      </c>
      <c r="AQ34" s="90" t="n"/>
      <c r="AR34" s="1" t="n"/>
      <c r="AS34" s="1" t="n"/>
      <c r="AT34" s="35" t="inlineStr">
        <is>
          <t>ADMIN CHARGES</t>
        </is>
      </c>
      <c r="AU34" s="94">
        <f>AU31</f>
        <v/>
      </c>
      <c r="AV34" s="90" t="n"/>
      <c r="AW34" s="1" t="n"/>
      <c r="AX34" s="1" t="n"/>
      <c r="AY34" s="35" t="inlineStr">
        <is>
          <t>ADMIN CHARGES</t>
        </is>
      </c>
      <c r="AZ34" s="94">
        <f>AZ31</f>
        <v/>
      </c>
      <c r="BA34" s="90" t="n"/>
    </row>
    <row r="35" ht="30.75" customHeight="1" s="220">
      <c r="A35" s="1" t="n"/>
      <c r="B35" s="96" t="inlineStr">
        <is>
          <t>GST</t>
        </is>
      </c>
      <c r="C35" s="179">
        <f>K35+O35+AA35+AF35+AM35+AP35+T35+W35+AU35+AZ35</f>
        <v/>
      </c>
      <c r="D35" s="1" t="n"/>
      <c r="E35" s="1" t="n"/>
      <c r="F35" s="31" t="inlineStr">
        <is>
          <t>GST</t>
        </is>
      </c>
      <c r="G35" s="100" t="n"/>
      <c r="H35" s="90" t="n"/>
      <c r="I35" s="1" t="n"/>
      <c r="J35" s="35" t="inlineStr">
        <is>
          <t>GST</t>
        </is>
      </c>
      <c r="K35" s="51" t="n"/>
      <c r="L35" s="90" t="n"/>
      <c r="M35" s="1" t="n"/>
      <c r="N35" s="35" t="inlineStr">
        <is>
          <t>GST</t>
        </is>
      </c>
      <c r="O35" s="51" t="n"/>
      <c r="P35" s="90" t="n"/>
      <c r="Q35" s="1" t="n"/>
      <c r="R35" s="31" t="inlineStr">
        <is>
          <t>GST</t>
        </is>
      </c>
      <c r="S35" s="100" t="n"/>
      <c r="T35" s="90" t="n"/>
      <c r="U35" s="1" t="n"/>
      <c r="V35" s="35" t="inlineStr">
        <is>
          <t>GST</t>
        </is>
      </c>
      <c r="W35" s="51" t="n"/>
      <c r="X35" s="90" t="n"/>
      <c r="Y35" s="1" t="n"/>
      <c r="Z35" s="35" t="inlineStr">
        <is>
          <t>GST</t>
        </is>
      </c>
      <c r="AA35" s="51" t="n"/>
      <c r="AB35" s="90" t="n"/>
      <c r="AC35" s="1" t="n"/>
      <c r="AD35" s="1" t="n"/>
      <c r="AE35" s="35" t="inlineStr">
        <is>
          <t>GST</t>
        </is>
      </c>
      <c r="AF35" s="51" t="n"/>
      <c r="AG35" s="90" t="n"/>
      <c r="AH35" s="1" t="n"/>
      <c r="AI35" s="1" t="n"/>
      <c r="AJ35" s="31" t="inlineStr">
        <is>
          <t>GST</t>
        </is>
      </c>
      <c r="AK35" s="100" t="n"/>
      <c r="AL35" s="90" t="n"/>
      <c r="AM35" s="1" t="n"/>
      <c r="AN35" s="1" t="n"/>
      <c r="AO35" s="35" t="inlineStr">
        <is>
          <t>GST</t>
        </is>
      </c>
      <c r="AP35" s="51" t="n"/>
      <c r="AQ35" s="90" t="n"/>
      <c r="AR35" s="1" t="n"/>
      <c r="AS35" s="1" t="n"/>
      <c r="AT35" s="35" t="inlineStr">
        <is>
          <t>GST</t>
        </is>
      </c>
      <c r="AU35" s="51" t="n"/>
      <c r="AV35" s="90" t="n"/>
      <c r="AW35" s="1" t="n"/>
      <c r="AX35" s="1" t="n"/>
      <c r="AY35" s="35" t="inlineStr">
        <is>
          <t>GST</t>
        </is>
      </c>
      <c r="AZ35" s="51" t="n"/>
      <c r="BA35" s="90" t="n"/>
    </row>
    <row r="36" ht="30.75" customHeight="1" s="220">
      <c r="A36" s="1" t="n"/>
      <c r="B36" s="96" t="inlineStr">
        <is>
          <t>RENTAL</t>
        </is>
      </c>
      <c r="C36" s="97" t="n"/>
      <c r="D36" s="1" t="n"/>
      <c r="E36" s="1" t="n"/>
      <c r="F36" s="31" t="inlineStr">
        <is>
          <t>ICC-5</t>
        </is>
      </c>
      <c r="G36" s="100" t="n"/>
      <c r="H36" s="90" t="n"/>
      <c r="I36" s="1" t="n"/>
      <c r="J36" s="35" t="inlineStr">
        <is>
          <t>ICC-5</t>
        </is>
      </c>
      <c r="K36" s="51" t="n"/>
      <c r="L36" s="90" t="n"/>
      <c r="M36" s="1" t="n"/>
      <c r="N36" s="35" t="inlineStr">
        <is>
          <t>ICC-5</t>
        </is>
      </c>
      <c r="O36" s="51" t="n"/>
      <c r="P36" s="90" t="n"/>
      <c r="Q36" s="1" t="n"/>
      <c r="R36" s="31" t="n"/>
      <c r="S36" s="100" t="n"/>
      <c r="T36" s="90" t="n"/>
      <c r="U36" s="1" t="n"/>
      <c r="V36" s="35" t="inlineStr">
        <is>
          <t>ICC-5</t>
        </is>
      </c>
      <c r="W36" s="51" t="n"/>
      <c r="X36" s="90" t="n"/>
      <c r="Y36" s="1" t="n"/>
      <c r="Z36" s="35" t="inlineStr">
        <is>
          <t>ICC-5</t>
        </is>
      </c>
      <c r="AA36" s="51" t="n"/>
      <c r="AB36" s="90" t="n"/>
      <c r="AC36" s="1" t="n"/>
      <c r="AD36" s="1" t="n"/>
      <c r="AE36" s="35" t="inlineStr">
        <is>
          <t>ICC-5</t>
        </is>
      </c>
      <c r="AF36" s="51" t="n"/>
      <c r="AG36" s="90" t="n"/>
      <c r="AH36" s="1" t="n"/>
      <c r="AI36" s="1" t="n"/>
      <c r="AJ36" s="31" t="n"/>
      <c r="AK36" s="100" t="n"/>
      <c r="AL36" s="90" t="n"/>
      <c r="AM36" s="1" t="n"/>
      <c r="AN36" s="1" t="n"/>
      <c r="AO36" s="35" t="inlineStr">
        <is>
          <t>ICC-5</t>
        </is>
      </c>
      <c r="AP36" s="51" t="n"/>
      <c r="AQ36" s="90" t="n"/>
      <c r="AR36" s="1" t="n"/>
      <c r="AS36" s="1" t="n"/>
      <c r="AT36" s="35" t="inlineStr">
        <is>
          <t>ICC-5</t>
        </is>
      </c>
      <c r="AU36" s="51" t="n"/>
      <c r="AV36" s="90" t="n"/>
      <c r="AW36" s="1" t="n"/>
      <c r="AX36" s="1" t="n"/>
      <c r="AY36" s="35" t="inlineStr">
        <is>
          <t>ICC-5</t>
        </is>
      </c>
      <c r="AZ36" s="51" t="n"/>
      <c r="BA36" s="90" t="n"/>
    </row>
    <row r="37" ht="30.75" customHeight="1" s="220">
      <c r="A37" s="1" t="n"/>
      <c r="B37" s="96" t="inlineStr">
        <is>
          <t>LOAN INTEREST</t>
        </is>
      </c>
      <c r="C37" s="97" t="n"/>
      <c r="D37" s="1" t="n"/>
      <c r="E37" s="1" t="n"/>
      <c r="F37" s="31" t="inlineStr">
        <is>
          <t>PRODUCTS</t>
        </is>
      </c>
      <c r="G37" s="100" t="n"/>
      <c r="H37" s="90" t="n"/>
      <c r="I37" s="1" t="n"/>
      <c r="J37" s="35" t="inlineStr">
        <is>
          <t>PRODUCTS</t>
        </is>
      </c>
      <c r="K37" s="51" t="n"/>
      <c r="L37" s="90" t="n"/>
      <c r="M37" s="1" t="n"/>
      <c r="N37" s="35" t="inlineStr">
        <is>
          <t>PRODUCTS</t>
        </is>
      </c>
      <c r="O37" s="51" t="n"/>
      <c r="P37" s="90" t="n"/>
      <c r="Q37" s="1" t="n"/>
      <c r="R37" s="31" t="n"/>
      <c r="S37" s="100" t="n"/>
      <c r="T37" s="90" t="n"/>
      <c r="U37" s="1" t="n"/>
      <c r="V37" s="35" t="inlineStr">
        <is>
          <t>PRODUCTS</t>
        </is>
      </c>
      <c r="W37" s="51" t="n"/>
      <c r="X37" s="90" t="n"/>
      <c r="Y37" s="1" t="n"/>
      <c r="Z37" s="35" t="inlineStr">
        <is>
          <t>PRODUCTS</t>
        </is>
      </c>
      <c r="AA37" s="51" t="n"/>
      <c r="AB37" s="90" t="n"/>
      <c r="AC37" s="1" t="n"/>
      <c r="AD37" s="1" t="n"/>
      <c r="AE37" s="35" t="inlineStr">
        <is>
          <t>PRODUCTS</t>
        </is>
      </c>
      <c r="AF37" s="51" t="n"/>
      <c r="AG37" s="90" t="n"/>
      <c r="AH37" s="1" t="n"/>
      <c r="AI37" s="1" t="n"/>
      <c r="AJ37" s="31" t="n"/>
      <c r="AK37" s="100" t="n"/>
      <c r="AL37" s="90" t="n"/>
      <c r="AM37" s="1" t="n"/>
      <c r="AN37" s="1" t="n"/>
      <c r="AO37" s="35" t="inlineStr">
        <is>
          <t>PRODUCTS</t>
        </is>
      </c>
      <c r="AP37" s="51" t="n"/>
      <c r="AQ37" s="90" t="n"/>
      <c r="AR37" s="1" t="n"/>
      <c r="AS37" s="1" t="n"/>
      <c r="AT37" s="35" t="inlineStr">
        <is>
          <t>PRODUCTS</t>
        </is>
      </c>
      <c r="AU37" s="51" t="n"/>
      <c r="AV37" s="90" t="n"/>
      <c r="AW37" s="1" t="n"/>
      <c r="AX37" s="1" t="n"/>
      <c r="AY37" s="35" t="inlineStr">
        <is>
          <t>PRODUCTS</t>
        </is>
      </c>
      <c r="AZ37" s="51" t="n"/>
      <c r="BA37" s="90" t="n"/>
    </row>
    <row r="38" ht="30.75" customHeight="1" s="220">
      <c r="A38" s="1" t="n"/>
      <c r="B38" s="96" t="inlineStr">
        <is>
          <t xml:space="preserve">IRAS TAX </t>
        </is>
      </c>
      <c r="C38" s="97" t="n"/>
      <c r="D38" s="1" t="inlineStr">
        <is>
          <t>feb 2026 $9950</t>
        </is>
      </c>
      <c r="E38" s="1" t="n"/>
      <c r="F38" s="31" t="inlineStr">
        <is>
          <t>ORTHO (B+B)</t>
        </is>
      </c>
      <c r="G38" s="100" t="n"/>
      <c r="H38" s="90" t="n"/>
      <c r="I38" s="1" t="n"/>
      <c r="J38" s="35" t="inlineStr">
        <is>
          <t>ORTHO (B+B)</t>
        </is>
      </c>
      <c r="K38" s="51" t="n"/>
      <c r="L38" s="90" t="n"/>
      <c r="M38" s="1" t="n"/>
      <c r="N38" s="35" t="inlineStr">
        <is>
          <t>ORTHO (B+B)</t>
        </is>
      </c>
      <c r="O38" s="51" t="n"/>
      <c r="P38" s="90" t="n"/>
      <c r="Q38" s="1" t="n"/>
      <c r="R38" s="31" t="n"/>
      <c r="S38" s="100" t="n"/>
      <c r="T38" s="90" t="n"/>
      <c r="U38" s="1" t="n"/>
      <c r="V38" s="35" t="inlineStr">
        <is>
          <t>ORTHO (B+B)</t>
        </is>
      </c>
      <c r="W38" s="51" t="n"/>
      <c r="X38" s="90" t="n"/>
      <c r="Y38" s="1" t="n"/>
      <c r="Z38" s="35" t="inlineStr">
        <is>
          <t>ORTHO (B+B)</t>
        </is>
      </c>
      <c r="AA38" s="51" t="n"/>
      <c r="AB38" s="90" t="n"/>
      <c r="AC38" s="1" t="n"/>
      <c r="AD38" s="1" t="n"/>
      <c r="AE38" s="35" t="inlineStr">
        <is>
          <t>ORTHO (B+B)</t>
        </is>
      </c>
      <c r="AF38" s="51" t="n"/>
      <c r="AG38" s="90" t="n"/>
      <c r="AH38" s="1" t="n"/>
      <c r="AI38" s="1" t="n"/>
      <c r="AJ38" s="31" t="n"/>
      <c r="AK38" s="100" t="n"/>
      <c r="AL38" s="90" t="n"/>
      <c r="AM38" s="1" t="n"/>
      <c r="AN38" s="1" t="n"/>
      <c r="AO38" s="35" t="inlineStr">
        <is>
          <t>ORTHO (B+B)</t>
        </is>
      </c>
      <c r="AP38" s="51" t="n"/>
      <c r="AQ38" s="90" t="n"/>
      <c r="AR38" s="1" t="n"/>
      <c r="AS38" s="1" t="n"/>
      <c r="AT38" s="35" t="inlineStr">
        <is>
          <t>ORTHO (B+B)</t>
        </is>
      </c>
      <c r="AU38" s="51" t="n"/>
      <c r="AV38" s="90" t="n"/>
      <c r="AW38" s="1" t="n"/>
      <c r="AX38" s="1" t="n"/>
      <c r="AY38" s="35" t="inlineStr">
        <is>
          <t>ORTHO (B+B)</t>
        </is>
      </c>
      <c r="AZ38" s="51" t="n"/>
      <c r="BA38" s="90" t="n"/>
    </row>
    <row r="39" ht="30.75" customHeight="1" s="220">
      <c r="A39" s="1" t="n"/>
      <c r="B39" s="96" t="inlineStr">
        <is>
          <t>CK SECRETARIAL / ACCOUNTS SERVICES</t>
        </is>
      </c>
      <c r="C39" s="97" t="n"/>
      <c r="D39" s="1" t="inlineStr">
        <is>
          <t>mar - jun 2026 $4950</t>
        </is>
      </c>
      <c r="E39" s="1" t="n"/>
      <c r="F39" s="31" t="inlineStr">
        <is>
          <t>ABUTMENTS</t>
        </is>
      </c>
      <c r="G39" s="100" t="n"/>
      <c r="H39" s="98" t="n"/>
      <c r="I39" s="1" t="n"/>
      <c r="J39" s="35" t="inlineStr">
        <is>
          <t>ABUTMENTS</t>
        </is>
      </c>
      <c r="K39" s="51" t="n"/>
      <c r="L39" s="90" t="n"/>
      <c r="M39" s="1" t="n"/>
      <c r="N39" s="35" t="inlineStr">
        <is>
          <t>ABUTMENTS</t>
        </is>
      </c>
      <c r="O39" s="51" t="n"/>
      <c r="P39" s="90" t="n"/>
      <c r="Q39" s="1" t="n"/>
      <c r="R39" s="31" t="n"/>
      <c r="S39" s="100" t="n"/>
      <c r="T39" s="90" t="n"/>
      <c r="U39" s="1" t="n"/>
      <c r="V39" s="35" t="inlineStr">
        <is>
          <t>ABUTMENTS</t>
        </is>
      </c>
      <c r="W39" s="51" t="n"/>
      <c r="X39" s="90" t="n"/>
      <c r="Y39" s="1" t="n"/>
      <c r="Z39" s="35" t="inlineStr">
        <is>
          <t>ABUTMENTS</t>
        </is>
      </c>
      <c r="AA39" s="51" t="n"/>
      <c r="AB39" s="90" t="n"/>
      <c r="AC39" s="1" t="n"/>
      <c r="AD39" s="1" t="n"/>
      <c r="AE39" s="35" t="inlineStr">
        <is>
          <t>ABUTMENTS</t>
        </is>
      </c>
      <c r="AF39" s="51" t="n"/>
      <c r="AG39" s="90" t="n"/>
      <c r="AH39" s="1" t="n"/>
      <c r="AI39" s="1" t="n"/>
      <c r="AJ39" s="31" t="n"/>
      <c r="AK39" s="100" t="n"/>
      <c r="AL39" s="90" t="n"/>
      <c r="AM39" s="1" t="n"/>
      <c r="AN39" s="1" t="n"/>
      <c r="AO39" s="35" t="inlineStr">
        <is>
          <t>ABUTMENTS</t>
        </is>
      </c>
      <c r="AP39" s="51" t="n"/>
      <c r="AQ39" s="90" t="n"/>
      <c r="AR39" s="1" t="n"/>
      <c r="AS39" s="1" t="n"/>
      <c r="AT39" s="35" t="inlineStr">
        <is>
          <t>ABUTMENTS</t>
        </is>
      </c>
      <c r="AU39" s="51" t="n"/>
      <c r="AV39" s="90" t="n"/>
      <c r="AW39" s="1" t="n"/>
      <c r="AX39" s="1" t="n"/>
      <c r="AY39" s="35" t="inlineStr">
        <is>
          <t>ABUTMENTS</t>
        </is>
      </c>
      <c r="AZ39" s="51" t="n"/>
      <c r="BA39" s="90" t="n"/>
    </row>
    <row r="40" ht="30.75" customHeight="1" s="220">
      <c r="A40" s="1" t="n"/>
      <c r="B40" s="96" t="inlineStr">
        <is>
          <t>TOWN COUNCIL</t>
        </is>
      </c>
      <c r="C40" s="97" t="n"/>
      <c r="D40" s="1" t="n"/>
      <c r="E40" s="1" t="n"/>
      <c r="F40" s="31" t="inlineStr">
        <is>
          <t>IMPLANT</t>
        </is>
      </c>
      <c r="G40" s="99" t="n"/>
      <c r="H40" s="90" t="n"/>
      <c r="I40" s="1" t="n"/>
      <c r="J40" s="35" t="inlineStr">
        <is>
          <t>IMPLANT</t>
        </is>
      </c>
      <c r="K40" s="51" t="n"/>
      <c r="L40" s="90" t="n"/>
      <c r="M40" s="1" t="n"/>
      <c r="N40" s="35" t="inlineStr">
        <is>
          <t>IMPLANT</t>
        </is>
      </c>
      <c r="O40" s="51" t="n"/>
      <c r="P40" s="90" t="n"/>
      <c r="Q40" s="1" t="n"/>
      <c r="R40" s="31" t="n"/>
      <c r="S40" s="100" t="n"/>
      <c r="T40" s="90" t="n"/>
      <c r="U40" s="1" t="n"/>
      <c r="V40" s="35" t="inlineStr">
        <is>
          <t>IMPLANT</t>
        </is>
      </c>
      <c r="W40" s="51" t="n"/>
      <c r="X40" s="90" t="n"/>
      <c r="Y40" s="1" t="n"/>
      <c r="Z40" s="35" t="inlineStr">
        <is>
          <t>IMPLANT</t>
        </is>
      </c>
      <c r="AA40" s="51" t="n"/>
      <c r="AB40" s="90" t="n"/>
      <c r="AC40" s="1" t="n"/>
      <c r="AD40" s="1" t="n"/>
      <c r="AE40" s="35" t="inlineStr">
        <is>
          <t>IMPLANT</t>
        </is>
      </c>
      <c r="AF40" s="51" t="n"/>
      <c r="AG40" s="90" t="n"/>
      <c r="AH40" s="1" t="n"/>
      <c r="AI40" s="1" t="n"/>
      <c r="AJ40" s="31" t="n"/>
      <c r="AK40" s="100" t="n"/>
      <c r="AL40" s="90" t="n"/>
      <c r="AM40" s="1" t="n"/>
      <c r="AN40" s="1" t="n"/>
      <c r="AO40" s="35" t="inlineStr">
        <is>
          <t>IMPLANT</t>
        </is>
      </c>
      <c r="AP40" s="51" t="n"/>
      <c r="AQ40" s="90" t="n"/>
      <c r="AR40" s="1" t="n"/>
      <c r="AS40" s="1" t="n"/>
      <c r="AT40" s="35" t="inlineStr">
        <is>
          <t>IMPLANT</t>
        </is>
      </c>
      <c r="AU40" s="51" t="n"/>
      <c r="AV40" s="90" t="n"/>
      <c r="AW40" s="1" t="n"/>
      <c r="AX40" s="1" t="n"/>
      <c r="AY40" s="35" t="inlineStr">
        <is>
          <t>IMPLANT</t>
        </is>
      </c>
      <c r="AZ40" s="51" t="n"/>
      <c r="BA40" s="90" t="n"/>
    </row>
    <row r="41" ht="30.75" customHeight="1" s="220">
      <c r="A41" s="1" t="n"/>
      <c r="B41" s="96" t="inlineStr">
        <is>
          <t>SERVICE &amp; CONSERVANCY CHARGES</t>
        </is>
      </c>
      <c r="C41" s="97" t="n"/>
      <c r="D41" s="1" t="n"/>
      <c r="E41" s="1" t="n"/>
      <c r="F41" s="31" t="inlineStr">
        <is>
          <t>SKY LAB</t>
        </is>
      </c>
      <c r="G41" s="100" t="n"/>
      <c r="H41" s="90" t="n"/>
      <c r="I41" s="1" t="n"/>
      <c r="J41" s="35" t="inlineStr">
        <is>
          <t>SKY LAB</t>
        </is>
      </c>
      <c r="K41" s="51" t="n"/>
      <c r="L41" s="90" t="n"/>
      <c r="M41" s="1" t="n"/>
      <c r="N41" s="35" t="inlineStr">
        <is>
          <t>SKY LAB</t>
        </is>
      </c>
      <c r="O41" s="51" t="n"/>
      <c r="P41" s="90" t="n"/>
      <c r="Q41" s="1" t="n"/>
      <c r="R41" s="31" t="n"/>
      <c r="S41" s="100" t="n"/>
      <c r="T41" s="90" t="n"/>
      <c r="U41" s="1" t="n"/>
      <c r="V41" s="35" t="inlineStr">
        <is>
          <t>SKY LAB</t>
        </is>
      </c>
      <c r="W41" s="51" t="n"/>
      <c r="X41" s="90" t="n"/>
      <c r="Y41" s="1" t="n"/>
      <c r="Z41" s="35" t="inlineStr">
        <is>
          <t>SKY LAB</t>
        </is>
      </c>
      <c r="AA41" s="51" t="n"/>
      <c r="AB41" s="90" t="n"/>
      <c r="AC41" s="1" t="n"/>
      <c r="AD41" s="1" t="n"/>
      <c r="AE41" s="35" t="inlineStr">
        <is>
          <t>SKY LAB</t>
        </is>
      </c>
      <c r="AF41" s="51" t="n"/>
      <c r="AG41" s="90" t="n"/>
      <c r="AH41" s="1" t="n"/>
      <c r="AI41" s="1" t="n"/>
      <c r="AJ41" s="31" t="n"/>
      <c r="AK41" s="100" t="n"/>
      <c r="AL41" s="90" t="n"/>
      <c r="AM41" s="1" t="n"/>
      <c r="AN41" s="1" t="n"/>
      <c r="AO41" s="35" t="inlineStr">
        <is>
          <t>SKY LAB</t>
        </is>
      </c>
      <c r="AP41" s="51" t="n"/>
      <c r="AQ41" s="90" t="n"/>
      <c r="AR41" s="1" t="n"/>
      <c r="AS41" s="1" t="n"/>
      <c r="AT41" s="35" t="inlineStr">
        <is>
          <t>SKY LAB</t>
        </is>
      </c>
      <c r="AU41" s="51" t="n"/>
      <c r="AV41" s="90" t="n"/>
      <c r="AW41" s="1" t="n"/>
      <c r="AX41" s="1" t="n"/>
      <c r="AY41" s="35" t="inlineStr">
        <is>
          <t>SKY LAB</t>
        </is>
      </c>
      <c r="AZ41" s="51" t="n"/>
      <c r="BA41" s="90" t="n"/>
    </row>
    <row r="42" ht="30.75" customHeight="1" s="220">
      <c r="A42" s="1" t="n"/>
      <c r="B42" s="96" t="inlineStr">
        <is>
          <t>SP</t>
        </is>
      </c>
      <c r="C42" s="97" t="n"/>
      <c r="D42" s="1" t="n"/>
      <c r="E42" s="1" t="n"/>
      <c r="F42" s="31" t="inlineStr">
        <is>
          <t>DIGICADCAM</t>
        </is>
      </c>
      <c r="G42" s="100" t="n"/>
      <c r="H42" s="90" t="n"/>
      <c r="I42" s="1" t="n"/>
      <c r="J42" s="35" t="inlineStr">
        <is>
          <t>DIGICADCAM</t>
        </is>
      </c>
      <c r="K42" s="51" t="n"/>
      <c r="L42" s="90" t="n"/>
      <c r="M42" s="1" t="n"/>
      <c r="N42" s="35" t="inlineStr">
        <is>
          <t>DIGICADCAM</t>
        </is>
      </c>
      <c r="O42" s="51" t="n"/>
      <c r="P42" s="90" t="n"/>
      <c r="Q42" s="1" t="n"/>
      <c r="R42" s="31" t="n"/>
      <c r="S42" s="100" t="n"/>
      <c r="T42" s="90" t="n"/>
      <c r="U42" s="1" t="n"/>
      <c r="V42" s="35" t="inlineStr">
        <is>
          <t>DIGICADCAM</t>
        </is>
      </c>
      <c r="W42" s="51" t="n"/>
      <c r="X42" s="90" t="n"/>
      <c r="Y42" s="1" t="n"/>
      <c r="Z42" s="35" t="inlineStr">
        <is>
          <t>DIGICADCAM</t>
        </is>
      </c>
      <c r="AA42" s="51" t="n"/>
      <c r="AB42" s="90" t="n"/>
      <c r="AC42" s="1" t="n"/>
      <c r="AD42" s="1" t="n"/>
      <c r="AE42" s="35" t="inlineStr">
        <is>
          <t>DIGICADCAM</t>
        </is>
      </c>
      <c r="AF42" s="51" t="n"/>
      <c r="AG42" s="90" t="n"/>
      <c r="AH42" s="1" t="n"/>
      <c r="AI42" s="1" t="n"/>
      <c r="AJ42" s="31" t="n"/>
      <c r="AK42" s="100" t="n"/>
      <c r="AL42" s="90" t="n"/>
      <c r="AM42" s="1" t="n"/>
      <c r="AN42" s="1" t="n"/>
      <c r="AO42" s="35" t="inlineStr">
        <is>
          <t>DIGICADCAM</t>
        </is>
      </c>
      <c r="AP42" s="51" t="n"/>
      <c r="AQ42" s="90" t="n"/>
      <c r="AR42" s="1" t="n"/>
      <c r="AS42" s="1" t="n"/>
      <c r="AT42" s="35" t="inlineStr">
        <is>
          <t>DIGICADCAM</t>
        </is>
      </c>
      <c r="AU42" s="51" t="n"/>
      <c r="AV42" s="90" t="n"/>
      <c r="AW42" s="1" t="n"/>
      <c r="AX42" s="1" t="n"/>
      <c r="AY42" s="35" t="inlineStr">
        <is>
          <t>DIGICADCAM</t>
        </is>
      </c>
      <c r="AZ42" s="51" t="n"/>
      <c r="BA42" s="90" t="n"/>
    </row>
    <row r="43" ht="30.75" customHeight="1" s="220">
      <c r="A43" s="1" t="n"/>
      <c r="B43" s="96" t="inlineStr">
        <is>
          <t>SINGTEL</t>
        </is>
      </c>
      <c r="C43" s="97" t="n"/>
      <c r="D43" s="1" t="n"/>
      <c r="E43" s="1" t="n"/>
      <c r="F43" s="31" t="inlineStr">
        <is>
          <t>OTHER LAB</t>
        </is>
      </c>
      <c r="G43" s="100" t="n"/>
      <c r="H43" s="101" t="n"/>
      <c r="I43" s="1" t="n"/>
      <c r="J43" s="35" t="inlineStr">
        <is>
          <t>OTHER LAB</t>
        </is>
      </c>
      <c r="K43" s="51" t="n"/>
      <c r="L43" s="101" t="n"/>
      <c r="M43" s="1" t="n"/>
      <c r="N43" s="35" t="inlineStr">
        <is>
          <t>OTHER LAB</t>
        </is>
      </c>
      <c r="O43" s="51" t="n"/>
      <c r="P43" s="101" t="n"/>
      <c r="Q43" s="1" t="n"/>
      <c r="R43" s="31" t="n"/>
      <c r="S43" s="100" t="n"/>
      <c r="T43" s="90" t="n"/>
      <c r="U43" s="1" t="n"/>
      <c r="V43" s="35" t="inlineStr">
        <is>
          <t>OTHER LAB</t>
        </is>
      </c>
      <c r="W43" s="51" t="n"/>
      <c r="X43" s="90" t="n"/>
      <c r="Y43" s="1" t="n"/>
      <c r="Z43" s="35" t="inlineStr">
        <is>
          <t>OTHER LAB</t>
        </is>
      </c>
      <c r="AA43" s="51" t="n"/>
      <c r="AB43" s="90" t="n"/>
      <c r="AC43" s="1" t="n"/>
      <c r="AD43" s="1" t="n"/>
      <c r="AE43" s="35" t="inlineStr">
        <is>
          <t>OTHER LAB</t>
        </is>
      </c>
      <c r="AF43" s="51" t="n"/>
      <c r="AG43" s="90" t="n"/>
      <c r="AH43" s="1" t="n"/>
      <c r="AI43" s="1" t="n"/>
      <c r="AJ43" s="31" t="n"/>
      <c r="AK43" s="100" t="n"/>
      <c r="AL43" s="90" t="n"/>
      <c r="AM43" s="1" t="n"/>
      <c r="AN43" s="1" t="n"/>
      <c r="AO43" s="35" t="inlineStr">
        <is>
          <t>OTHER LAB</t>
        </is>
      </c>
      <c r="AP43" s="51" t="n"/>
      <c r="AQ43" s="90" t="n"/>
      <c r="AR43" s="1" t="n"/>
      <c r="AS43" s="1" t="n"/>
      <c r="AT43" s="35" t="inlineStr">
        <is>
          <t>OTHER LAB</t>
        </is>
      </c>
      <c r="AU43" s="51" t="n"/>
      <c r="AV43" s="90" t="n"/>
      <c r="AW43" s="1" t="n"/>
      <c r="AX43" s="1" t="n"/>
      <c r="AY43" s="35" t="inlineStr">
        <is>
          <t>OTHER LAB</t>
        </is>
      </c>
      <c r="AZ43" s="51" t="n"/>
      <c r="BA43" s="90" t="n"/>
    </row>
    <row r="44" ht="30.75" customHeight="1" s="220">
      <c r="A44" s="1" t="n"/>
      <c r="B44" s="96" t="inlineStr">
        <is>
          <t>PRODUCTS</t>
        </is>
      </c>
      <c r="C44" s="97">
        <f>G37+K37+O37+S59+W37+AA37+AF37+AK59+AP37+AU37+AZ37</f>
        <v/>
      </c>
      <c r="D44" s="1" t="n"/>
      <c r="E44" s="1" t="n"/>
      <c r="F44" s="31" t="inlineStr">
        <is>
          <t>INVISALIGN</t>
        </is>
      </c>
      <c r="G44" s="100" t="n"/>
      <c r="H44" s="101" t="n"/>
      <c r="I44" s="1" t="n"/>
      <c r="J44" s="35" t="inlineStr">
        <is>
          <t>INVISALIGN</t>
        </is>
      </c>
      <c r="K44" s="51" t="n"/>
      <c r="L44" s="101" t="n"/>
      <c r="M44" s="1" t="n"/>
      <c r="N44" s="35" t="inlineStr">
        <is>
          <t>INVISALIGN</t>
        </is>
      </c>
      <c r="O44" s="51" t="n"/>
      <c r="P44" s="90" t="n"/>
      <c r="Q44" s="1" t="n"/>
      <c r="R44" s="31" t="n"/>
      <c r="S44" s="100" t="n"/>
      <c r="T44" s="90" t="n"/>
      <c r="U44" s="1" t="n"/>
      <c r="V44" s="35" t="inlineStr">
        <is>
          <t>INVISALIGN</t>
        </is>
      </c>
      <c r="W44" s="51" t="n"/>
      <c r="X44" s="101" t="n"/>
      <c r="Y44" s="1" t="n"/>
      <c r="Z44" s="35" t="inlineStr">
        <is>
          <t>INVISALIGN</t>
        </is>
      </c>
      <c r="AA44" s="51" t="n"/>
      <c r="AB44" s="90" t="n"/>
      <c r="AC44" s="1" t="n"/>
      <c r="AD44" s="1" t="n"/>
      <c r="AE44" s="35" t="inlineStr">
        <is>
          <t>INVISALIGN</t>
        </is>
      </c>
      <c r="AF44" s="51" t="n"/>
      <c r="AG44" s="90" t="n"/>
      <c r="AH44" s="1" t="n"/>
      <c r="AI44" s="1" t="n"/>
      <c r="AJ44" s="31" t="n"/>
      <c r="AK44" s="100" t="n"/>
      <c r="AL44" s="90" t="n"/>
      <c r="AM44" s="1" t="n"/>
      <c r="AN44" s="1" t="n"/>
      <c r="AO44" s="35" t="inlineStr">
        <is>
          <t>INVISALIGN</t>
        </is>
      </c>
      <c r="AP44" s="51" t="n"/>
      <c r="AQ44" s="90" t="n"/>
      <c r="AR44" s="1" t="n"/>
      <c r="AS44" s="1" t="n"/>
      <c r="AT44" s="35" t="inlineStr">
        <is>
          <t>INVISALIGN</t>
        </is>
      </c>
      <c r="AU44" s="51" t="n"/>
      <c r="AV44" s="90" t="n"/>
      <c r="AW44" s="1" t="n"/>
      <c r="AX44" s="1" t="n"/>
      <c r="AY44" s="35" t="inlineStr">
        <is>
          <t>INVISALIGN</t>
        </is>
      </c>
      <c r="AZ44" s="51" t="n"/>
      <c r="BA44" s="90" t="n"/>
    </row>
    <row r="45" ht="30.75" customHeight="1" s="220">
      <c r="A45" s="1" t="n"/>
      <c r="B45" s="96" t="inlineStr">
        <is>
          <t>ADMIN STAFF &amp; OFFICE RENTAL</t>
        </is>
      </c>
      <c r="C45" s="97" t="n"/>
      <c r="D45" s="1" t="n"/>
      <c r="E45" s="1" t="n"/>
      <c r="F45" s="31" t="inlineStr">
        <is>
          <t>TRANSFER (+)</t>
        </is>
      </c>
      <c r="G45" s="100" t="n"/>
      <c r="H45" s="98" t="n"/>
      <c r="I45" s="1" t="n"/>
      <c r="J45" s="35" t="inlineStr">
        <is>
          <t>TRANSFER (+)</t>
        </is>
      </c>
      <c r="K45" s="51" t="n"/>
      <c r="L45" s="98" t="n"/>
      <c r="M45" s="1" t="n"/>
      <c r="N45" s="35" t="inlineStr">
        <is>
          <t>TRANSFER (+)</t>
        </is>
      </c>
      <c r="O45" s="51" t="n"/>
      <c r="P45" s="90" t="n"/>
      <c r="Q45" s="1" t="n"/>
      <c r="R45" s="31" t="n"/>
      <c r="S45" s="100" t="n"/>
      <c r="T45" s="90" t="n"/>
      <c r="U45" s="1" t="n"/>
      <c r="V45" s="35" t="inlineStr">
        <is>
          <t>TRANSFER (+)</t>
        </is>
      </c>
      <c r="W45" s="51" t="n"/>
      <c r="X45" s="102" t="n"/>
      <c r="Y45" s="1" t="n"/>
      <c r="Z45" s="35" t="inlineStr">
        <is>
          <t>TRANSFER (+)</t>
        </is>
      </c>
      <c r="AA45" s="51" t="n"/>
      <c r="AB45" s="98" t="n"/>
      <c r="AC45" s="1" t="n"/>
      <c r="AD45" s="1" t="n"/>
      <c r="AE45" s="35" t="inlineStr">
        <is>
          <t>TRANSFER (+)</t>
        </is>
      </c>
      <c r="AF45" s="51" t="n"/>
      <c r="AG45" s="98" t="n"/>
      <c r="AH45" s="1" t="n"/>
      <c r="AI45" s="1" t="n"/>
      <c r="AJ45" s="31" t="n"/>
      <c r="AK45" s="100" t="n"/>
      <c r="AL45" s="90" t="n"/>
      <c r="AM45" s="1" t="n"/>
      <c r="AN45" s="1" t="n"/>
      <c r="AO45" s="35" t="inlineStr">
        <is>
          <t>TRANSFER (+)</t>
        </is>
      </c>
      <c r="AP45" s="51" t="n"/>
      <c r="AQ45" s="98" t="n"/>
      <c r="AR45" s="1" t="n"/>
      <c r="AS45" s="1" t="n"/>
      <c r="AT45" s="35" t="inlineStr">
        <is>
          <t>TRANSFER (+)</t>
        </is>
      </c>
      <c r="AU45" s="51" t="n"/>
      <c r="AV45" s="98" t="n"/>
      <c r="AW45" s="1" t="n"/>
      <c r="AX45" s="1" t="n"/>
      <c r="AY45" s="35" t="inlineStr">
        <is>
          <t>TRANSFER (+)</t>
        </is>
      </c>
      <c r="AZ45" s="51" t="n"/>
      <c r="BA45" s="98" t="n"/>
    </row>
    <row r="46" ht="30.75" customHeight="1" s="220">
      <c r="A46" s="1" t="n"/>
      <c r="B46" s="96" t="inlineStr">
        <is>
          <t>SUPPLIERS</t>
        </is>
      </c>
      <c r="C46" s="97" t="n"/>
      <c r="D46" s="1" t="n"/>
      <c r="E46" s="1" t="n"/>
      <c r="F46" s="31" t="inlineStr">
        <is>
          <t>TRANSFER (-)</t>
        </is>
      </c>
      <c r="G46" s="100" t="n"/>
      <c r="H46" s="98" t="n"/>
      <c r="I46" s="1" t="n"/>
      <c r="J46" s="35" t="inlineStr">
        <is>
          <t>TRANSFER (-)</t>
        </is>
      </c>
      <c r="K46" s="51" t="n"/>
      <c r="L46" s="90" t="n"/>
      <c r="M46" s="1" t="n"/>
      <c r="N46" s="35" t="inlineStr">
        <is>
          <t>TRANSFER (-)</t>
        </is>
      </c>
      <c r="O46" s="51" t="n"/>
      <c r="P46" s="90" t="n"/>
      <c r="Q46" s="1" t="n"/>
      <c r="R46" s="31" t="n"/>
      <c r="S46" s="100" t="n"/>
      <c r="T46" s="90" t="n"/>
      <c r="U46" s="1" t="n"/>
      <c r="V46" s="35" t="inlineStr">
        <is>
          <t>TRANSFER (-)</t>
        </is>
      </c>
      <c r="W46" s="51" t="n"/>
      <c r="X46" s="103" t="n"/>
      <c r="Y46" s="1" t="n"/>
      <c r="Z46" s="35" t="inlineStr">
        <is>
          <t>TRANSFER (-)</t>
        </is>
      </c>
      <c r="AA46" s="51" t="n"/>
      <c r="AB46" s="102" t="n"/>
      <c r="AC46" s="1" t="n"/>
      <c r="AD46" s="1" t="n"/>
      <c r="AE46" s="35" t="inlineStr">
        <is>
          <t>TRANSFER (-)</t>
        </is>
      </c>
      <c r="AF46" s="51" t="n"/>
      <c r="AG46" s="102" t="n"/>
      <c r="AH46" s="1" t="n"/>
      <c r="AI46" s="1" t="n"/>
      <c r="AJ46" s="31" t="n"/>
      <c r="AK46" s="100" t="n"/>
      <c r="AL46" s="90" t="n"/>
      <c r="AM46" s="1" t="n"/>
      <c r="AN46" s="1" t="n"/>
      <c r="AO46" s="35" t="inlineStr">
        <is>
          <t>TRANSFER (-)</t>
        </is>
      </c>
      <c r="AP46" s="51" t="n"/>
      <c r="AQ46" s="102" t="n"/>
      <c r="AR46" s="1" t="n"/>
      <c r="AS46" s="1" t="n"/>
      <c r="AT46" s="35" t="inlineStr">
        <is>
          <t>TRANSFER (-)</t>
        </is>
      </c>
      <c r="AU46" s="51" t="n"/>
      <c r="AV46" s="102" t="n"/>
      <c r="AW46" s="1" t="n"/>
      <c r="AX46" s="1" t="n"/>
      <c r="AY46" s="35" t="inlineStr">
        <is>
          <t>TRANSFER (-)</t>
        </is>
      </c>
      <c r="AZ46" s="51" t="n"/>
      <c r="BA46" s="102" t="n"/>
    </row>
    <row r="47" ht="30.75" customHeight="1" s="220">
      <c r="A47" s="1" t="n"/>
      <c r="B47" s="104" t="inlineStr">
        <is>
          <t>VOUCHER</t>
        </is>
      </c>
      <c r="C47" s="97">
        <f>B12</f>
        <v/>
      </c>
      <c r="D47" s="1" t="n"/>
      <c r="E47" s="1" t="n"/>
      <c r="F47" s="52" t="inlineStr">
        <is>
          <t>REFUND/REFERRAL</t>
        </is>
      </c>
      <c r="G47" s="105" t="n"/>
      <c r="H47" s="90" t="n"/>
      <c r="I47" s="1" t="n"/>
      <c r="J47" s="35" t="inlineStr">
        <is>
          <t>REFUND/REFERRAL</t>
        </is>
      </c>
      <c r="K47" s="51" t="n"/>
      <c r="L47" s="90" t="n"/>
      <c r="M47" s="1" t="n"/>
      <c r="N47" s="35" t="inlineStr">
        <is>
          <t>REFUND/REFERRAL</t>
        </is>
      </c>
      <c r="O47" s="51" t="n"/>
      <c r="P47" s="98" t="n"/>
      <c r="Q47" s="1" t="n"/>
      <c r="R47" s="31" t="n"/>
      <c r="S47" s="100" t="n"/>
      <c r="T47" s="90" t="n"/>
      <c r="U47" s="1" t="n"/>
      <c r="V47" s="35" t="inlineStr">
        <is>
          <t>REFUND</t>
        </is>
      </c>
      <c r="W47" s="51" t="n"/>
      <c r="X47" s="90" t="n"/>
      <c r="Y47" s="1" t="n"/>
      <c r="Z47" s="35" t="inlineStr">
        <is>
          <t>REFUND</t>
        </is>
      </c>
      <c r="AA47" s="51" t="n"/>
      <c r="AB47" s="90" t="n"/>
      <c r="AC47" s="1" t="n"/>
      <c r="AD47" s="1" t="n"/>
      <c r="AE47" s="35" t="inlineStr">
        <is>
          <t>REFUND</t>
        </is>
      </c>
      <c r="AF47" s="51" t="n"/>
      <c r="AG47" s="90" t="n"/>
      <c r="AH47" s="1" t="n"/>
      <c r="AI47" s="1" t="n"/>
      <c r="AJ47" s="31" t="n"/>
      <c r="AK47" s="100" t="n"/>
      <c r="AL47" s="90" t="n"/>
      <c r="AM47" s="1" t="n"/>
      <c r="AN47" s="1" t="n"/>
      <c r="AO47" s="35" t="inlineStr">
        <is>
          <t>REFUND</t>
        </is>
      </c>
      <c r="AP47" s="51" t="n"/>
      <c r="AQ47" s="90" t="n"/>
      <c r="AR47" s="1" t="n"/>
      <c r="AS47" s="1" t="n"/>
      <c r="AT47" s="35" t="inlineStr">
        <is>
          <t>REFUND</t>
        </is>
      </c>
      <c r="AU47" s="51" t="n"/>
      <c r="AV47" s="90" t="n"/>
      <c r="AW47" s="1" t="n"/>
      <c r="AX47" s="1" t="n"/>
      <c r="AY47" s="35" t="inlineStr">
        <is>
          <t>REFUND</t>
        </is>
      </c>
      <c r="AZ47" s="51" t="n"/>
      <c r="BA47" s="90" t="n"/>
    </row>
    <row r="48" ht="30.75" customHeight="1" s="220">
      <c r="A48" s="1" t="n"/>
      <c r="B48" s="96" t="inlineStr">
        <is>
          <t>PETTY CASH</t>
        </is>
      </c>
      <c r="C48" s="97" t="n"/>
      <c r="D48" s="1" t="n"/>
      <c r="E48" s="1" t="n"/>
      <c r="F48" s="52" t="inlineStr">
        <is>
          <t>VOUCHER</t>
        </is>
      </c>
      <c r="G48" s="105">
        <f>F12</f>
        <v/>
      </c>
      <c r="H48" s="90" t="n"/>
      <c r="I48" s="1" t="n"/>
      <c r="J48" s="35" t="inlineStr">
        <is>
          <t>VOUCHER</t>
        </is>
      </c>
      <c r="K48" s="51" t="n"/>
      <c r="L48" s="90" t="n"/>
      <c r="M48" s="1" t="n"/>
      <c r="N48" s="35" t="inlineStr">
        <is>
          <t>VOUCHER</t>
        </is>
      </c>
      <c r="O48" s="51" t="n"/>
      <c r="P48" s="90" t="n"/>
      <c r="Q48" s="1" t="n"/>
      <c r="R48" s="31" t="n"/>
      <c r="S48" s="100" t="n"/>
      <c r="T48" s="90" t="n"/>
      <c r="U48" s="1" t="n"/>
      <c r="V48" s="35" t="inlineStr">
        <is>
          <t>VOUCHER</t>
        </is>
      </c>
      <c r="W48" s="51" t="n"/>
      <c r="X48" s="90" t="n"/>
      <c r="Y48" s="1" t="n"/>
      <c r="Z48" s="35" t="inlineStr">
        <is>
          <t>VOUCHER</t>
        </is>
      </c>
      <c r="AA48" s="51" t="n"/>
      <c r="AB48" s="90" t="n"/>
      <c r="AC48" s="1" t="n"/>
      <c r="AD48" s="1" t="n"/>
      <c r="AE48" s="35" t="inlineStr">
        <is>
          <t>SEDATION</t>
        </is>
      </c>
      <c r="AF48" s="51" t="n"/>
      <c r="AG48" s="90" t="n"/>
      <c r="AH48" s="1" t="n"/>
      <c r="AI48" s="1" t="n"/>
      <c r="AJ48" s="31" t="n"/>
      <c r="AK48" s="100" t="n"/>
      <c r="AL48" s="90" t="n"/>
      <c r="AM48" s="1" t="n"/>
      <c r="AN48" s="1" t="n"/>
      <c r="AO48" s="35" t="inlineStr">
        <is>
          <t>SEDATION</t>
        </is>
      </c>
      <c r="AP48" s="51" t="n"/>
      <c r="AQ48" s="90" t="n"/>
      <c r="AR48" s="1" t="n"/>
      <c r="AS48" s="1" t="n"/>
      <c r="AT48" s="35" t="inlineStr">
        <is>
          <t>SEDATION</t>
        </is>
      </c>
      <c r="AU48" s="51" t="n"/>
      <c r="AV48" s="90" t="n"/>
      <c r="AW48" s="1" t="n"/>
      <c r="AX48" s="1" t="n"/>
      <c r="AY48" s="35" t="inlineStr">
        <is>
          <t>SEDATION</t>
        </is>
      </c>
      <c r="AZ48" s="51" t="n"/>
      <c r="BA48" s="90" t="n"/>
    </row>
    <row r="49" ht="30.75" customHeight="1" s="220">
      <c r="A49" s="1" t="n"/>
      <c r="B49" s="96" t="inlineStr">
        <is>
          <t>STOCKS / CONSUMABLES FEES</t>
        </is>
      </c>
      <c r="C49" s="97" t="n"/>
      <c r="D49" s="1" t="n"/>
      <c r="E49" s="1" t="n"/>
      <c r="F49" s="31" t="inlineStr">
        <is>
          <t>RETAINERS/BT/SPLINT</t>
        </is>
      </c>
      <c r="G49" s="105" t="n"/>
      <c r="H49" s="90" t="n"/>
      <c r="I49" s="1" t="n"/>
      <c r="J49" s="35" t="inlineStr">
        <is>
          <t>RETAINERS/BT/SPLINT</t>
        </is>
      </c>
      <c r="K49" s="51" t="n"/>
      <c r="L49" s="90" t="n"/>
      <c r="M49" s="1" t="n"/>
      <c r="N49" s="35" t="inlineStr">
        <is>
          <t>RETAINERS/BT/SPLINT</t>
        </is>
      </c>
      <c r="O49" s="51" t="n"/>
      <c r="P49" s="90" t="n"/>
      <c r="Q49" s="1" t="n"/>
      <c r="R49" s="31" t="n"/>
      <c r="S49" s="100" t="n"/>
      <c r="T49" s="90" t="n"/>
      <c r="U49" s="1" t="n"/>
      <c r="V49" s="35" t="inlineStr">
        <is>
          <t>RETAINERS/BT/SPLINT</t>
        </is>
      </c>
      <c r="W49" s="51" t="n"/>
      <c r="X49" s="90" t="n"/>
      <c r="Y49" s="1" t="n"/>
      <c r="Z49" s="35" t="inlineStr">
        <is>
          <t>RETAINERS/BT/SPLINT</t>
        </is>
      </c>
      <c r="AA49" s="51" t="n"/>
      <c r="AB49" s="90" t="n"/>
      <c r="AC49" s="1" t="n"/>
      <c r="AD49" s="1" t="n"/>
      <c r="AE49" s="35" t="inlineStr">
        <is>
          <t>RETAINERS/BT/SPLINT</t>
        </is>
      </c>
      <c r="AF49" s="51" t="n"/>
      <c r="AG49" s="90" t="n"/>
      <c r="AH49" s="1" t="n"/>
      <c r="AI49" s="1" t="n"/>
      <c r="AJ49" s="31" t="n"/>
      <c r="AK49" s="100" t="n"/>
      <c r="AL49" s="90" t="n"/>
      <c r="AM49" s="1" t="n"/>
      <c r="AN49" s="1" t="n"/>
      <c r="AO49" s="35" t="inlineStr">
        <is>
          <t>RETAINERS/BT/SPLINT</t>
        </is>
      </c>
      <c r="AP49" s="51" t="n"/>
      <c r="AQ49" s="90" t="n"/>
      <c r="AR49" s="1" t="n"/>
      <c r="AS49" s="1" t="n"/>
      <c r="AT49" s="35" t="inlineStr">
        <is>
          <t>RETAINERS/BT/SPLINT</t>
        </is>
      </c>
      <c r="AU49" s="51" t="n"/>
      <c r="AV49" s="90" t="n"/>
      <c r="AW49" s="1" t="n"/>
      <c r="AX49" s="1" t="n"/>
      <c r="AY49" s="35" t="inlineStr">
        <is>
          <t>RETAINERS/BT/SPLINT</t>
        </is>
      </c>
      <c r="AZ49" s="51" t="n"/>
      <c r="BA49" s="90" t="n"/>
    </row>
    <row r="50" ht="30.75" customHeight="1" s="220">
      <c r="A50" s="1" t="n"/>
      <c r="B50" s="96" t="inlineStr">
        <is>
          <t xml:space="preserve">MARKETING FEE </t>
        </is>
      </c>
      <c r="C50" s="97" t="n"/>
      <c r="D50" s="1" t="n"/>
      <c r="E50" s="1" t="n"/>
      <c r="F50" s="31" t="inlineStr">
        <is>
          <t>INSTALLMENT</t>
        </is>
      </c>
      <c r="G50" s="105" t="n"/>
      <c r="H50" s="106" t="n"/>
      <c r="I50" s="1" t="n"/>
      <c r="J50" s="35" t="inlineStr">
        <is>
          <t>INSTALLMENT</t>
        </is>
      </c>
      <c r="K50" s="51" t="n"/>
      <c r="L50" s="106" t="n"/>
      <c r="M50" s="1" t="n"/>
      <c r="N50" s="35" t="inlineStr">
        <is>
          <t>INSTALLMENT</t>
        </is>
      </c>
      <c r="O50" s="51" t="n"/>
      <c r="P50" s="90" t="n"/>
      <c r="Q50" s="1" t="n"/>
      <c r="R50" s="31" t="n"/>
      <c r="S50" s="100" t="n"/>
      <c r="T50" s="90" t="n"/>
      <c r="U50" s="1" t="n"/>
      <c r="V50" s="35" t="inlineStr">
        <is>
          <t>INSTALLMENT</t>
        </is>
      </c>
      <c r="W50" s="51" t="n"/>
      <c r="X50" s="90" t="n"/>
      <c r="Y50" s="1" t="n"/>
      <c r="Z50" s="35" t="inlineStr">
        <is>
          <t>INSTALLMENT</t>
        </is>
      </c>
      <c r="AA50" s="51" t="n"/>
      <c r="AB50" s="90" t="n"/>
      <c r="AC50" s="1" t="n"/>
      <c r="AD50" s="1" t="n"/>
      <c r="AE50" s="35" t="inlineStr">
        <is>
          <t>INSTALLMENT</t>
        </is>
      </c>
      <c r="AF50" s="51" t="n"/>
      <c r="AG50" s="90" t="n"/>
      <c r="AH50" s="1" t="n"/>
      <c r="AI50" s="1" t="n"/>
      <c r="AJ50" s="31" t="n"/>
      <c r="AK50" s="100" t="n"/>
      <c r="AL50" s="90" t="n"/>
      <c r="AM50" s="1" t="n"/>
      <c r="AN50" s="1" t="n"/>
      <c r="AO50" s="35" t="inlineStr">
        <is>
          <t>INSTALLMENT</t>
        </is>
      </c>
      <c r="AP50" s="51" t="n"/>
      <c r="AQ50" s="90" t="n"/>
      <c r="AR50" s="1" t="n"/>
      <c r="AS50" s="1" t="n"/>
      <c r="AT50" s="35" t="inlineStr">
        <is>
          <t>INSTALLMENT</t>
        </is>
      </c>
      <c r="AU50" s="51" t="n"/>
      <c r="AV50" s="90" t="n"/>
      <c r="AW50" s="1" t="n"/>
      <c r="AX50" s="1" t="n"/>
      <c r="AY50" s="35" t="inlineStr">
        <is>
          <t>INSTALLMENT</t>
        </is>
      </c>
      <c r="AZ50" s="51" t="n"/>
      <c r="BA50" s="90" t="n"/>
    </row>
    <row r="51" ht="30.75" customHeight="1" s="220">
      <c r="A51" s="1" t="n"/>
      <c r="B51" s="96" t="inlineStr">
        <is>
          <t>INVISALIGN</t>
        </is>
      </c>
      <c r="C51" s="97">
        <f>G44+K44+O44+S66+W44+AA44+AF44+AK66+AP44+AU44</f>
        <v/>
      </c>
      <c r="D51" s="1" t="n"/>
      <c r="E51" s="1" t="n"/>
      <c r="F51" s="35" t="inlineStr">
        <is>
          <t>DEDUCTIONS</t>
        </is>
      </c>
      <c r="G51" s="51" t="n"/>
      <c r="H51" s="101" t="n"/>
      <c r="I51" s="1" t="n"/>
      <c r="J51" s="35" t="inlineStr">
        <is>
          <t>DEDUCTIONS</t>
        </is>
      </c>
      <c r="K51" s="51" t="n"/>
      <c r="L51" s="90" t="n"/>
      <c r="M51" s="1" t="n"/>
      <c r="N51" s="35" t="inlineStr">
        <is>
          <t>DEDUCTIONS</t>
        </is>
      </c>
      <c r="O51" s="51" t="n"/>
      <c r="P51" s="90" t="n"/>
      <c r="Q51" s="1" t="n"/>
      <c r="R51" s="31" t="n"/>
      <c r="S51" s="100" t="n"/>
      <c r="T51" s="90" t="n"/>
      <c r="U51" s="1" t="n"/>
      <c r="V51" s="35" t="inlineStr">
        <is>
          <t>DEDUCTIONS</t>
        </is>
      </c>
      <c r="W51" s="51" t="n"/>
      <c r="X51" s="106" t="n"/>
      <c r="Y51" s="1" t="n"/>
      <c r="Z51" s="35" t="inlineStr">
        <is>
          <t>DEDUCTIONS</t>
        </is>
      </c>
      <c r="AA51" s="51" t="n"/>
      <c r="AB51" s="102" t="n"/>
      <c r="AC51" s="1" t="n"/>
      <c r="AD51" s="1" t="n"/>
      <c r="AE51" s="35" t="inlineStr">
        <is>
          <t>DEDUCTIONS</t>
        </is>
      </c>
      <c r="AF51" s="51" t="n"/>
      <c r="AG51" s="102" t="n"/>
      <c r="AH51" s="1" t="n"/>
      <c r="AI51" s="1" t="n"/>
      <c r="AJ51" s="31" t="n"/>
      <c r="AK51" s="100" t="n"/>
      <c r="AL51" s="90" t="n"/>
      <c r="AM51" s="1" t="n"/>
      <c r="AN51" s="1" t="n"/>
      <c r="AO51" s="35" t="inlineStr">
        <is>
          <t>DEDUCTIONS</t>
        </is>
      </c>
      <c r="AP51" s="51" t="n"/>
      <c r="AQ51" s="102" t="n"/>
      <c r="AR51" s="1" t="n"/>
      <c r="AS51" s="1" t="n"/>
      <c r="AT51" s="35" t="inlineStr">
        <is>
          <t>DEDUCTIONS</t>
        </is>
      </c>
      <c r="AU51" s="51" t="n"/>
      <c r="AV51" s="102" t="n"/>
      <c r="AW51" s="1" t="n"/>
      <c r="AX51" s="1" t="n"/>
      <c r="AY51" s="35" t="inlineStr">
        <is>
          <t>DEDUCTIONS</t>
        </is>
      </c>
      <c r="AZ51" s="51" t="n"/>
      <c r="BA51" s="102" t="n"/>
    </row>
    <row r="52" ht="30.75" customHeight="1" s="220">
      <c r="A52" s="1" t="n"/>
      <c r="B52" s="96" t="inlineStr">
        <is>
          <t>IMPLANT</t>
        </is>
      </c>
      <c r="C52" s="97">
        <f>G40+O40+S62+W40+AA40+AF40+K40+AK62</f>
        <v/>
      </c>
      <c r="D52" s="1" t="n"/>
      <c r="E52" s="1" t="n"/>
      <c r="F52" s="107" t="n"/>
      <c r="G52" s="108" t="n"/>
      <c r="H52" s="1" t="n"/>
      <c r="I52" s="1" t="n"/>
      <c r="J52" s="107" t="n"/>
      <c r="K52" s="108" t="n"/>
      <c r="L52" s="1" t="n"/>
      <c r="M52" s="1" t="n"/>
      <c r="N52" s="107" t="n"/>
      <c r="O52" s="108" t="n"/>
      <c r="P52" s="1" t="n"/>
      <c r="Q52" s="1" t="n"/>
      <c r="R52" s="31" t="n"/>
      <c r="S52" s="100" t="n"/>
      <c r="T52" s="90" t="n"/>
      <c r="U52" s="1" t="n"/>
      <c r="V52" s="107" t="n"/>
      <c r="W52" s="108" t="n"/>
      <c r="X52" s="1" t="n"/>
      <c r="Y52" s="1" t="n"/>
      <c r="Z52" s="107" t="n"/>
      <c r="AA52" s="108" t="n"/>
      <c r="AB52" s="1" t="n"/>
      <c r="AC52" s="1" t="n"/>
      <c r="AD52" s="1" t="n"/>
      <c r="AE52" s="107" t="n"/>
      <c r="AF52" s="108" t="n"/>
      <c r="AG52" s="1" t="n"/>
      <c r="AH52" s="1" t="n"/>
      <c r="AI52" s="1" t="n"/>
      <c r="AJ52" s="31" t="n"/>
      <c r="AK52" s="100" t="n"/>
      <c r="AL52" s="90" t="n"/>
      <c r="AM52" s="1" t="n"/>
      <c r="AN52" s="1" t="n"/>
      <c r="AO52" s="107" t="n"/>
      <c r="AP52" s="108" t="n"/>
      <c r="AQ52" s="1" t="n"/>
      <c r="AR52" s="1" t="n"/>
      <c r="AS52" s="1" t="n"/>
      <c r="AT52" s="107" t="n"/>
      <c r="AU52" s="108" t="n"/>
      <c r="AV52" s="1" t="n"/>
      <c r="AW52" s="1" t="n"/>
      <c r="AX52" s="1" t="n"/>
      <c r="AY52" s="107" t="n"/>
      <c r="AZ52" s="108" t="n"/>
      <c r="BA52" s="1" t="n"/>
    </row>
    <row r="53" ht="30.75" customHeight="1" s="220">
      <c r="A53" s="1" t="n"/>
      <c r="B53" s="96" t="inlineStr">
        <is>
          <t>SKYLAB</t>
        </is>
      </c>
      <c r="C53" s="97">
        <f>G41+O41+W41+S63+K41+AA41+AF41+AK63</f>
        <v/>
      </c>
      <c r="D53" s="1" t="n"/>
      <c r="E53" s="1" t="n"/>
      <c r="F53" s="61" t="inlineStr">
        <is>
          <t>TOTAL</t>
        </is>
      </c>
      <c r="G53" s="109">
        <f>F31-G34-G35-G37-G36-G38-G39-G40-G41-G42-G43-G44+G45-G46-G47-G48-G49-G50-G51</f>
        <v/>
      </c>
      <c r="H53" s="90" t="n"/>
      <c r="I53" s="1" t="n"/>
      <c r="J53" s="61" t="inlineStr">
        <is>
          <t>TOTAL</t>
        </is>
      </c>
      <c r="K53" s="109">
        <f>J31-K34-K35-K36-K37-K38-K39-K40-K41-K42-K43-K44+K45-K46-K47-K48-K49-K50-K51</f>
        <v/>
      </c>
      <c r="L53" s="90" t="n"/>
      <c r="M53" s="1" t="n"/>
      <c r="N53" s="61" t="inlineStr">
        <is>
          <t>TOTAL</t>
        </is>
      </c>
      <c r="O53" s="109">
        <f>N31-O34-O35-O36-O37-O38-O39-O40-O41-O42-O43-O44+O45-O46-O47-O48-O49-O50-O51</f>
        <v/>
      </c>
      <c r="P53" s="90" t="n"/>
      <c r="Q53" s="1" t="n"/>
      <c r="R53" s="31" t="n"/>
      <c r="S53" s="100" t="n"/>
      <c r="T53" s="90" t="n"/>
      <c r="U53" s="1" t="n"/>
      <c r="V53" s="61" t="inlineStr">
        <is>
          <t>TOTAL</t>
        </is>
      </c>
      <c r="W53" s="109">
        <f>V31-W34-W35-W36-W37-W38-W39-W40-W41-W42-W43-W44+W45-W46-W47-W48-W49-W50-W51</f>
        <v/>
      </c>
      <c r="X53" s="90" t="n"/>
      <c r="Y53" s="1" t="n"/>
      <c r="Z53" s="61" t="inlineStr">
        <is>
          <t>TOTAL</t>
        </is>
      </c>
      <c r="AA53" s="109">
        <f>Z31-AA34-AA35-AA36-AA37-AA38-AA39-AA40-AA41-AA42-AA43-AA44+AA45-AA46-AA47-AA48-AA49-AA50-AA51</f>
        <v/>
      </c>
      <c r="AB53" s="182" t="n"/>
      <c r="AC53" s="1" t="n"/>
      <c r="AD53" s="1" t="n"/>
      <c r="AE53" s="61" t="inlineStr">
        <is>
          <t>TOTAL</t>
        </is>
      </c>
      <c r="AF53" s="109">
        <f>AE31-AF34-AF35-AF36-AF37-AF38-AF39-AF40-AF41-AF42-AF43-AF44+AF45-AF46-AF47-AF48-AF49-AF50-AF51</f>
        <v/>
      </c>
      <c r="AG53" s="90" t="n"/>
      <c r="AH53" s="1" t="n"/>
      <c r="AI53" s="1" t="n"/>
      <c r="AJ53" s="31" t="n"/>
      <c r="AK53" s="100" t="n"/>
      <c r="AL53" s="90" t="n"/>
      <c r="AM53" s="1" t="n"/>
      <c r="AN53" s="1" t="n"/>
      <c r="AO53" s="61" t="inlineStr">
        <is>
          <t>TOTAL</t>
        </is>
      </c>
      <c r="AP53" s="109">
        <f>AO31-AP34-AP35-AP36-AP37-AP38-AP39-AP40-AP41-AP42-AP43-AP44+AP45-AP46-AP47-AP48-AP49-AP50-AP51</f>
        <v/>
      </c>
      <c r="AQ53" s="90" t="n"/>
      <c r="AR53" s="1" t="n"/>
      <c r="AS53" s="1" t="n"/>
      <c r="AT53" s="61" t="inlineStr">
        <is>
          <t>TOTAL</t>
        </is>
      </c>
      <c r="AU53" s="109">
        <f>AT31-AU34-AU35-AU36-AU37-AU38-AU39-AU40-AU41-AU42-AU43-AU44+AU45-AU46-AU47-AU48-AU49-AU50-AU51</f>
        <v/>
      </c>
      <c r="AV53" s="90" t="n"/>
      <c r="AW53" s="1" t="n"/>
      <c r="AX53" s="1" t="n"/>
      <c r="AY53" s="61" t="inlineStr">
        <is>
          <t>TOTAL</t>
        </is>
      </c>
      <c r="AZ53" s="109">
        <f>AY31-AZ34-AZ35-AZ36-AZ37-AZ38-AZ39-AZ40-AZ41-AZ42-AZ43-AZ44+AZ45-AZ46-AZ47-AZ48-AZ49-AZ50-AZ51</f>
        <v/>
      </c>
      <c r="BA53" s="90" t="n"/>
    </row>
    <row r="54" ht="30.75" customHeight="1" s="220">
      <c r="A54" s="1" t="n"/>
      <c r="B54" s="96" t="inlineStr">
        <is>
          <t>DIGICADCAM</t>
        </is>
      </c>
      <c r="C54" s="97">
        <f>G42+O42+W42+AA42+AF42+S64+K42+AK64</f>
        <v/>
      </c>
      <c r="D54" s="1" t="n"/>
      <c r="E54" s="1" t="n"/>
      <c r="F54" s="110" t="inlineStr">
        <is>
          <t>DOCTORS FEE BEFORE DEDUCTION</t>
        </is>
      </c>
      <c r="G54" s="111">
        <f>G53/2+G55</f>
        <v/>
      </c>
      <c r="H54" s="90" t="n"/>
      <c r="I54" s="1" t="n"/>
      <c r="J54" s="110" t="inlineStr">
        <is>
          <t>DOCTORS FEE BEFORE DEDUCTION</t>
        </is>
      </c>
      <c r="K54" s="111">
        <f>K53/2+K55</f>
        <v/>
      </c>
      <c r="L54" s="90" t="n"/>
      <c r="M54" s="1" t="n"/>
      <c r="N54" s="112" t="inlineStr">
        <is>
          <t>DOCTORS PAY</t>
        </is>
      </c>
      <c r="O54" s="111">
        <f>(O53*50%)+O55</f>
        <v/>
      </c>
      <c r="P54" s="90" t="n"/>
      <c r="Q54" s="1" t="n"/>
      <c r="R54" s="31" t="n"/>
      <c r="S54" s="100" t="n"/>
      <c r="T54" s="90" t="n"/>
      <c r="U54" s="1" t="n"/>
      <c r="V54" s="112" t="inlineStr">
        <is>
          <t>DOCTORS PAY</t>
        </is>
      </c>
      <c r="W54" s="111">
        <f>(W53*45%)+W55</f>
        <v/>
      </c>
      <c r="X54" s="90" t="n"/>
      <c r="Y54" s="1" t="n"/>
      <c r="Z54" s="112" t="inlineStr">
        <is>
          <t>DOCTORS PAY</t>
        </is>
      </c>
      <c r="AA54" s="111">
        <f>(AA53*45%)+AA55</f>
        <v/>
      </c>
      <c r="AB54" s="90" t="n"/>
      <c r="AC54" s="1" t="n"/>
      <c r="AD54" s="1" t="n"/>
      <c r="AE54" s="112" t="inlineStr">
        <is>
          <t>DOCTORS PAY</t>
        </is>
      </c>
      <c r="AF54" s="111">
        <f>(AF53*50%)+AF55</f>
        <v/>
      </c>
      <c r="AG54" s="90" t="n"/>
      <c r="AH54" s="1" t="n"/>
      <c r="AI54" s="1" t="n"/>
      <c r="AJ54" s="31" t="n"/>
      <c r="AK54" s="100" t="n"/>
      <c r="AL54" s="90" t="n"/>
      <c r="AM54" s="1" t="n"/>
      <c r="AN54" s="1" t="n"/>
      <c r="AO54" s="112" t="inlineStr">
        <is>
          <t>DOCTORS PAY</t>
        </is>
      </c>
      <c r="AP54" s="111">
        <f>(AP53*45%)+AP55</f>
        <v/>
      </c>
      <c r="AQ54" s="90" t="n"/>
      <c r="AR54" s="1" t="n"/>
      <c r="AS54" s="1" t="n"/>
      <c r="AT54" s="112" t="inlineStr">
        <is>
          <t>DOCTORS PAY</t>
        </is>
      </c>
      <c r="AU54" s="111">
        <f>(AU53*50%)+AU55</f>
        <v/>
      </c>
      <c r="AV54" s="90" t="n"/>
      <c r="AW54" s="1" t="n"/>
      <c r="AX54" s="1" t="n"/>
      <c r="AY54" s="112" t="inlineStr">
        <is>
          <t>DOCTORS PAY</t>
        </is>
      </c>
      <c r="AZ54" s="111">
        <f>(AZ53*50%)+AZ55</f>
        <v/>
      </c>
      <c r="BA54" s="90" t="n"/>
    </row>
    <row r="55" ht="30.75" customHeight="1" s="220">
      <c r="A55" s="1" t="n"/>
      <c r="B55" s="113" t="inlineStr">
        <is>
          <t xml:space="preserve">OTHER LAB </t>
        </is>
      </c>
      <c r="C55" s="97">
        <f>G43+O43+K43+S65+W43+AA43+AF43+AK65</f>
        <v/>
      </c>
      <c r="D55" s="1" t="n"/>
      <c r="E55" s="1" t="n"/>
      <c r="F55" s="50" t="inlineStr">
        <is>
          <t>ADJUSTMENTS (+)</t>
        </is>
      </c>
      <c r="G55" s="36" t="n"/>
      <c r="H55" s="98" t="n"/>
      <c r="I55" s="1" t="n"/>
      <c r="J55" s="50" t="inlineStr">
        <is>
          <t>ADJUSTMENTS (+)</t>
        </is>
      </c>
      <c r="K55" s="36" t="n"/>
      <c r="L55" s="90" t="n"/>
      <c r="M55" s="1" t="n"/>
      <c r="N55" s="50" t="inlineStr">
        <is>
          <t>ADJUSTMENTS (+)</t>
        </is>
      </c>
      <c r="O55" s="36" t="n"/>
      <c r="P55" s="90" t="n"/>
      <c r="Q55" s="1" t="n"/>
      <c r="R55" s="31" t="n"/>
      <c r="S55" s="100" t="n"/>
      <c r="T55" s="90" t="n"/>
      <c r="U55" s="1" t="n"/>
      <c r="V55" s="50" t="inlineStr">
        <is>
          <t>ADJUSTMENTS (+)</t>
        </is>
      </c>
      <c r="W55" s="36" t="n"/>
      <c r="X55" s="114" t="n"/>
      <c r="Y55" s="1" t="n"/>
      <c r="Z55" s="50" t="inlineStr">
        <is>
          <t>ADJUSTMENTS (+)</t>
        </is>
      </c>
      <c r="AA55" s="36" t="n"/>
      <c r="AB55" s="90" t="n"/>
      <c r="AC55" s="1" t="n"/>
      <c r="AD55" s="1" t="n"/>
      <c r="AE55" s="50" t="inlineStr">
        <is>
          <t>ADJUSTMENTS (+)</t>
        </is>
      </c>
      <c r="AF55" s="36" t="n"/>
      <c r="AG55" s="98" t="n"/>
      <c r="AH55" s="1" t="n"/>
      <c r="AI55" s="1" t="n"/>
      <c r="AJ55" s="31" t="n"/>
      <c r="AK55" s="100" t="n"/>
      <c r="AL55" s="90" t="n"/>
      <c r="AM55" s="1" t="n"/>
      <c r="AN55" s="1" t="n"/>
      <c r="AO55" s="50" t="inlineStr">
        <is>
          <t>ADJUSTMENTS (+)</t>
        </is>
      </c>
      <c r="AP55" s="36" t="n"/>
      <c r="AQ55" s="98" t="n"/>
      <c r="AR55" s="1" t="n"/>
      <c r="AS55" s="1" t="n"/>
      <c r="AT55" s="50" t="inlineStr">
        <is>
          <t>ADJUSTMENTS (+)</t>
        </is>
      </c>
      <c r="AU55" s="36" t="n"/>
      <c r="AV55" s="98" t="n"/>
      <c r="AW55" s="1" t="n"/>
      <c r="AX55" s="1" t="n"/>
      <c r="AY55" s="50" t="inlineStr">
        <is>
          <t>ADJUSTMENTS (+)</t>
        </is>
      </c>
      <c r="AZ55" s="36" t="n"/>
      <c r="BA55" s="98" t="n"/>
    </row>
    <row r="56" ht="82.5" customHeight="1" s="220">
      <c r="A56" s="1" t="n"/>
      <c r="B56" s="96" t="inlineStr">
        <is>
          <t>ORTHO (B+B)</t>
        </is>
      </c>
      <c r="C56" s="97">
        <f>G38+K38+O38+S60+W38+AA38+AF38+AK60</f>
        <v/>
      </c>
      <c r="D56" s="1" t="n"/>
      <c r="E56" s="1" t="n"/>
      <c r="F56" s="50" t="inlineStr">
        <is>
          <t>ADJUSTMENTS (-)</t>
        </is>
      </c>
      <c r="G56" s="115">
        <f>G61+G65</f>
        <v/>
      </c>
      <c r="H56" s="114" t="inlineStr">
        <is>
          <t>ADDN MARKETING&amp; MEDISAVE ADMIN</t>
        </is>
      </c>
      <c r="I56" s="1" t="n"/>
      <c r="J56" s="50" t="inlineStr">
        <is>
          <t>ADJUSTMENTS (-)</t>
        </is>
      </c>
      <c r="K56" s="115">
        <f>K61+K65</f>
        <v/>
      </c>
      <c r="L56" s="114" t="inlineStr">
        <is>
          <t>ADDN MARKETING</t>
        </is>
      </c>
      <c r="M56" s="1" t="n"/>
      <c r="N56" s="50" t="inlineStr">
        <is>
          <t>ADJUSTMENTS (-)</t>
        </is>
      </c>
      <c r="O56" s="115">
        <f>O61+O65</f>
        <v/>
      </c>
      <c r="P56" s="114" t="inlineStr">
        <is>
          <t>ADDN MARKETING &amp; MEDISAVE ADMIN</t>
        </is>
      </c>
      <c r="Q56" s="1" t="n"/>
      <c r="R56" s="31" t="n"/>
      <c r="S56" s="100" t="n"/>
      <c r="T56" s="90" t="n"/>
      <c r="U56" s="1" t="n"/>
      <c r="V56" s="50" t="inlineStr">
        <is>
          <t>ADJUSTMENTS (-)</t>
        </is>
      </c>
      <c r="W56" s="116">
        <f>W61+W65</f>
        <v/>
      </c>
      <c r="X56" s="114" t="inlineStr">
        <is>
          <t>ADDN MKTRG &amp; MEDISAVE ADMIN</t>
        </is>
      </c>
      <c r="Y56" s="1" t="n"/>
      <c r="Z56" s="50" t="inlineStr">
        <is>
          <t>ADJUSTMENTS (-)</t>
        </is>
      </c>
      <c r="AA56" s="115">
        <f>AA61+AA65</f>
        <v/>
      </c>
      <c r="AB56" s="102" t="inlineStr">
        <is>
          <t>MARKETING FEE &amp; MEDISAVE ADMIN</t>
        </is>
      </c>
      <c r="AC56" s="1" t="n"/>
      <c r="AD56" s="1" t="n"/>
      <c r="AE56" s="50" t="inlineStr">
        <is>
          <t>ADJUSTMENTS (-)</t>
        </is>
      </c>
      <c r="AF56" s="116">
        <f>AF61+AF65</f>
        <v/>
      </c>
      <c r="AG56" s="102" t="inlineStr">
        <is>
          <t>MARKETING FEE &amp; MEDISAVE ADMIN</t>
        </is>
      </c>
      <c r="AH56" s="1" t="n"/>
      <c r="AI56" s="1" t="n"/>
      <c r="AJ56" s="31" t="n"/>
      <c r="AK56" s="100" t="n"/>
      <c r="AL56" s="90" t="n"/>
      <c r="AM56" s="1" t="n"/>
      <c r="AN56" s="1" t="n"/>
      <c r="AO56" s="50" t="inlineStr">
        <is>
          <t>ADJUSTMENTS (-)</t>
        </is>
      </c>
      <c r="AP56" s="116">
        <f>AP61+AP65</f>
        <v/>
      </c>
      <c r="AQ56" s="102" t="inlineStr">
        <is>
          <t>MARKETING FEE &amp; MEDISAVE ADMIN</t>
        </is>
      </c>
      <c r="AR56" s="1" t="n"/>
      <c r="AS56" s="1" t="n"/>
      <c r="AT56" s="50" t="inlineStr">
        <is>
          <t>ADJUSTMENTS (-)</t>
        </is>
      </c>
      <c r="AU56" s="116">
        <f>AU61+AU65</f>
        <v/>
      </c>
      <c r="AV56" s="102" t="inlineStr">
        <is>
          <t>MARKETING FEE &amp; MEDISAVE ADMIN</t>
        </is>
      </c>
      <c r="AW56" s="1" t="n"/>
      <c r="AX56" s="1" t="n"/>
      <c r="AY56" s="50" t="inlineStr">
        <is>
          <t>ADJUSTMENTS (-)</t>
        </is>
      </c>
      <c r="AZ56" s="116">
        <f>AZ61+AZ65</f>
        <v/>
      </c>
      <c r="BA56" s="102" t="inlineStr">
        <is>
          <t>MARKETING FEE &amp; MEDISAVE ADMIN</t>
        </is>
      </c>
    </row>
    <row r="57" ht="30.75" customHeight="1" s="220">
      <c r="A57" s="1" t="n"/>
      <c r="B57" s="96" t="inlineStr">
        <is>
          <t>ABUTMENT</t>
        </is>
      </c>
      <c r="C57" s="97">
        <f>O39+G39+K39+S61+AA39+W39+AF39+AK61</f>
        <v/>
      </c>
      <c r="D57" s="1" t="n"/>
      <c r="E57" s="1" t="n"/>
      <c r="F57" s="50" t="inlineStr">
        <is>
          <t>NET PAY</t>
        </is>
      </c>
      <c r="G57" s="111">
        <f>G54-G56</f>
        <v/>
      </c>
      <c r="H57" s="90" t="n"/>
      <c r="I57" s="1" t="n"/>
      <c r="J57" s="50" t="inlineStr">
        <is>
          <t>NET PAY</t>
        </is>
      </c>
      <c r="K57" s="111">
        <f>K54-K56</f>
        <v/>
      </c>
      <c r="L57" s="90" t="n"/>
      <c r="M57" s="1" t="n"/>
      <c r="N57" s="50" t="inlineStr">
        <is>
          <t>NET PAY</t>
        </is>
      </c>
      <c r="O57" s="111">
        <f>O54-O56</f>
        <v/>
      </c>
      <c r="P57" s="90" t="n"/>
      <c r="Q57" s="1" t="n"/>
      <c r="R57" s="31" t="n"/>
      <c r="S57" s="100" t="n"/>
      <c r="T57" s="90" t="n"/>
      <c r="U57" s="1" t="n"/>
      <c r="V57" s="50" t="inlineStr">
        <is>
          <t>NET PAY</t>
        </is>
      </c>
      <c r="W57" s="111">
        <f>W54-W56</f>
        <v/>
      </c>
      <c r="X57" s="90" t="n"/>
      <c r="Y57" s="1" t="n"/>
      <c r="Z57" s="50" t="inlineStr">
        <is>
          <t>NET PAY</t>
        </is>
      </c>
      <c r="AA57" s="111">
        <f>AA54-AA56</f>
        <v/>
      </c>
      <c r="AB57" s="90" t="n"/>
      <c r="AC57" s="1" t="n"/>
      <c r="AD57" s="1" t="n"/>
      <c r="AE57" s="50" t="inlineStr">
        <is>
          <t>NET PAY</t>
        </is>
      </c>
      <c r="AF57" s="111">
        <f>AF54-AF56</f>
        <v/>
      </c>
      <c r="AG57" s="90" t="n"/>
      <c r="AH57" s="1" t="n"/>
      <c r="AI57" s="1" t="n"/>
      <c r="AJ57" s="31" t="n"/>
      <c r="AK57" s="100" t="n"/>
      <c r="AL57" s="90" t="n"/>
      <c r="AM57" s="1" t="n"/>
      <c r="AN57" s="1" t="n"/>
      <c r="AO57" s="50" t="inlineStr">
        <is>
          <t>NET PAY</t>
        </is>
      </c>
      <c r="AP57" s="111">
        <f>AP54-AP56</f>
        <v/>
      </c>
      <c r="AQ57" s="90" t="n"/>
      <c r="AR57" s="1" t="n"/>
      <c r="AS57" s="1" t="n"/>
      <c r="AT57" s="50" t="inlineStr">
        <is>
          <t>NET PAY</t>
        </is>
      </c>
      <c r="AU57" s="111">
        <f>AU54-AU56</f>
        <v/>
      </c>
      <c r="AV57" s="90" t="n"/>
      <c r="AW57" s="1" t="n"/>
      <c r="AX57" s="1" t="n"/>
      <c r="AY57" s="50" t="inlineStr">
        <is>
          <t>NET PAY</t>
        </is>
      </c>
      <c r="AZ57" s="111">
        <f>AZ54-AZ56</f>
        <v/>
      </c>
      <c r="BA57" s="90" t="n"/>
    </row>
    <row r="58" ht="30.75" customHeight="1" s="220">
      <c r="A58" s="1" t="inlineStr">
        <is>
          <t> </t>
        </is>
      </c>
      <c r="B58" s="96" t="inlineStr">
        <is>
          <t>REFUND / REFERRAL</t>
        </is>
      </c>
      <c r="C58" s="97">
        <f>G47+K47+O47+S69+W47+AA47+AF47+AK69</f>
        <v/>
      </c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31" t="inlineStr">
        <is>
          <t>ICC-5</t>
        </is>
      </c>
      <c r="S58" s="100" t="n"/>
      <c r="T58" s="90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31" t="inlineStr">
        <is>
          <t>ICC-5</t>
        </is>
      </c>
      <c r="AK58" s="100" t="n"/>
      <c r="AL58" s="90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</row>
    <row r="59" ht="30.75" customHeight="1" s="220">
      <c r="A59" s="1" t="n"/>
      <c r="B59" s="96" t="inlineStr">
        <is>
          <t>DOCTORS PAY</t>
        </is>
      </c>
      <c r="C59" s="97">
        <f>G54+K54+O54+W54+AA54+AF54+AP54+AU54+AZ54</f>
        <v/>
      </c>
      <c r="D59" s="1" t="n"/>
      <c r="E59" s="1" t="n"/>
      <c r="F59" s="117" t="inlineStr">
        <is>
          <t>MEDISAVE ADMIN FEE CALCULATION:</t>
        </is>
      </c>
      <c r="G59" s="1" t="n"/>
      <c r="H59" s="1" t="n"/>
      <c r="I59" s="1" t="n"/>
      <c r="J59" s="117" t="inlineStr">
        <is>
          <t>MEDISAVE ADMIN FEE CALCULATION:</t>
        </is>
      </c>
      <c r="K59" s="1" t="n"/>
      <c r="L59" s="1" t="n"/>
      <c r="M59" s="1" t="n"/>
      <c r="N59" s="117" t="inlineStr">
        <is>
          <t>MEDISAVE ADMIN FEE CALCULATION:</t>
        </is>
      </c>
      <c r="O59" s="1" t="n"/>
      <c r="P59" s="1" t="n"/>
      <c r="Q59" s="1" t="n"/>
      <c r="R59" s="31" t="inlineStr">
        <is>
          <t>PRODUCTS</t>
        </is>
      </c>
      <c r="S59" s="100" t="n"/>
      <c r="T59" s="90" t="n"/>
      <c r="U59" s="1" t="n"/>
      <c r="V59" s="117" t="inlineStr">
        <is>
          <t>MEDISAVE ADMIN FEE CALCULATION:</t>
        </is>
      </c>
      <c r="W59" s="1" t="n"/>
      <c r="X59" s="1" t="n"/>
      <c r="Y59" s="1" t="n"/>
      <c r="Z59" s="117" t="inlineStr">
        <is>
          <t>MEDISAVE ADMIN FEE CALCULATION:</t>
        </is>
      </c>
      <c r="AA59" s="1" t="n"/>
      <c r="AB59" s="1" t="n"/>
      <c r="AC59" s="1" t="n"/>
      <c r="AD59" s="1" t="n"/>
      <c r="AE59" s="117" t="inlineStr">
        <is>
          <t>MEDISAVE ADMIN FEE CALCULATION:</t>
        </is>
      </c>
      <c r="AF59" s="1" t="n"/>
      <c r="AG59" s="1" t="n"/>
      <c r="AH59" s="1" t="n"/>
      <c r="AI59" s="1" t="n"/>
      <c r="AJ59" s="31" t="inlineStr">
        <is>
          <t>PRODUCTS</t>
        </is>
      </c>
      <c r="AK59" s="100" t="n"/>
      <c r="AL59" s="90" t="n"/>
      <c r="AM59" s="1" t="n"/>
      <c r="AN59" s="1" t="n"/>
      <c r="AO59" s="117" t="inlineStr">
        <is>
          <t>MEDISAVE ADMIN FEE CALCULATION:</t>
        </is>
      </c>
      <c r="AP59" s="1" t="n"/>
      <c r="AQ59" s="1" t="n"/>
      <c r="AR59" s="1" t="n"/>
      <c r="AS59" s="1" t="n"/>
      <c r="AT59" s="117" t="inlineStr">
        <is>
          <t>MEDISAVE ADMIN FEE CALCULATION:</t>
        </is>
      </c>
      <c r="AU59" s="1" t="n"/>
      <c r="AV59" s="1" t="n"/>
      <c r="AW59" s="1" t="n"/>
      <c r="AX59" s="1" t="n"/>
      <c r="AY59" s="117" t="inlineStr">
        <is>
          <t>MEDISAVE ADMIN FEE CALCULATION:</t>
        </is>
      </c>
      <c r="AZ59" s="1" t="n"/>
      <c r="BA59" s="1" t="n"/>
    </row>
    <row r="60" ht="30.75" customHeight="1" s="220">
      <c r="A60" s="1" t="n"/>
      <c r="B60" s="96" t="inlineStr">
        <is>
          <t>NURSE PAY (BASIC PAY)</t>
        </is>
      </c>
      <c r="C60" s="97" t="n"/>
      <c r="D60" s="1" t="n"/>
      <c r="E60" s="1" t="n"/>
      <c r="F60" s="118" t="inlineStr">
        <is>
          <t>Medisave Claim</t>
        </is>
      </c>
      <c r="G60" s="119" t="inlineStr">
        <is>
          <t>Admin Fee</t>
        </is>
      </c>
      <c r="H60" s="119" t="inlineStr">
        <is>
          <t>REMARKS</t>
        </is>
      </c>
      <c r="I60" s="1" t="n"/>
      <c r="J60" s="118" t="inlineStr">
        <is>
          <t>Medisave Claim</t>
        </is>
      </c>
      <c r="K60" s="119" t="inlineStr">
        <is>
          <t>Admin Fee</t>
        </is>
      </c>
      <c r="L60" s="119" t="inlineStr">
        <is>
          <t>REMARKS</t>
        </is>
      </c>
      <c r="M60" s="1" t="n"/>
      <c r="N60" s="118" t="inlineStr">
        <is>
          <t>Medisave Claim</t>
        </is>
      </c>
      <c r="O60" s="119" t="inlineStr">
        <is>
          <t>Admin Fee</t>
        </is>
      </c>
      <c r="P60" s="119" t="inlineStr">
        <is>
          <t>REMARKS</t>
        </is>
      </c>
      <c r="Q60" s="1" t="n"/>
      <c r="R60" s="31" t="inlineStr">
        <is>
          <t>ORTHO (B+B)</t>
        </is>
      </c>
      <c r="S60" s="100" t="n"/>
      <c r="T60" s="90" t="n"/>
      <c r="U60" s="1" t="n"/>
      <c r="V60" s="118" t="inlineStr">
        <is>
          <t>Medisave Claim</t>
        </is>
      </c>
      <c r="W60" s="119" t="inlineStr">
        <is>
          <t>Admin Fee</t>
        </is>
      </c>
      <c r="X60" s="119" t="inlineStr">
        <is>
          <t>REMARKS</t>
        </is>
      </c>
      <c r="Y60" s="1" t="n"/>
      <c r="Z60" s="118" t="inlineStr">
        <is>
          <t>Medisave Claim</t>
        </is>
      </c>
      <c r="AA60" s="119" t="inlineStr">
        <is>
          <t>Admin Fee</t>
        </is>
      </c>
      <c r="AB60" s="119" t="inlineStr">
        <is>
          <t>REMARKS</t>
        </is>
      </c>
      <c r="AC60" s="1" t="n"/>
      <c r="AD60" s="1" t="n"/>
      <c r="AE60" s="118" t="inlineStr">
        <is>
          <t>Medisave Claim</t>
        </is>
      </c>
      <c r="AF60" s="119" t="inlineStr">
        <is>
          <t>Admin Fee</t>
        </is>
      </c>
      <c r="AG60" s="119" t="inlineStr">
        <is>
          <t>REMARKS</t>
        </is>
      </c>
      <c r="AH60" s="1" t="n"/>
      <c r="AI60" s="1" t="n"/>
      <c r="AJ60" s="31" t="inlineStr">
        <is>
          <t>ORTHO (B+B)</t>
        </is>
      </c>
      <c r="AK60" s="100" t="n"/>
      <c r="AL60" s="90" t="n"/>
      <c r="AM60" s="1" t="n"/>
      <c r="AN60" s="1" t="n"/>
      <c r="AO60" s="118" t="inlineStr">
        <is>
          <t>Medisave Claim</t>
        </is>
      </c>
      <c r="AP60" s="119" t="inlineStr">
        <is>
          <t>Admin Fee</t>
        </is>
      </c>
      <c r="AQ60" s="119" t="inlineStr">
        <is>
          <t>REMARKS</t>
        </is>
      </c>
      <c r="AR60" s="1" t="n"/>
      <c r="AS60" s="1" t="n"/>
      <c r="AT60" s="118" t="inlineStr">
        <is>
          <t>Medisave Claim</t>
        </is>
      </c>
      <c r="AU60" s="119" t="inlineStr">
        <is>
          <t>Admin Fee</t>
        </is>
      </c>
      <c r="AV60" s="119" t="inlineStr">
        <is>
          <t>REMARKS</t>
        </is>
      </c>
      <c r="AW60" s="1" t="n"/>
      <c r="AX60" s="1" t="n"/>
      <c r="AY60" s="118" t="inlineStr">
        <is>
          <t>Medisave Claim</t>
        </is>
      </c>
      <c r="AZ60" s="119" t="inlineStr">
        <is>
          <t>Admin Fee</t>
        </is>
      </c>
      <c r="BA60" s="119" t="inlineStr">
        <is>
          <t>REMARKS</t>
        </is>
      </c>
    </row>
    <row r="61" ht="30.75" customHeight="1" s="220">
      <c r="A61" s="1" t="n"/>
      <c r="B61" s="96" t="inlineStr">
        <is>
          <t>NURSE PAY (INCENTIVE)</t>
        </is>
      </c>
      <c r="C61" s="97" t="n"/>
      <c r="D61" s="1" t="n"/>
      <c r="E61" s="1" t="n"/>
      <c r="F61" s="120" t="n"/>
      <c r="G61" s="121">
        <f>F61*20</f>
        <v/>
      </c>
      <c r="H61" s="121" t="n"/>
      <c r="I61" s="1" t="n"/>
      <c r="J61" s="120" t="n"/>
      <c r="K61" s="121">
        <f>J61*20</f>
        <v/>
      </c>
      <c r="L61" s="121" t="n"/>
      <c r="M61" s="1" t="n"/>
      <c r="N61" s="120" t="n"/>
      <c r="O61" s="121">
        <f>N61*20</f>
        <v/>
      </c>
      <c r="P61" s="121" t="n"/>
      <c r="Q61" s="1" t="n"/>
      <c r="R61" s="31" t="inlineStr">
        <is>
          <t>ABUTMENTS</t>
        </is>
      </c>
      <c r="S61" s="100" t="n"/>
      <c r="T61" s="90" t="n"/>
      <c r="U61" s="1" t="n"/>
      <c r="V61" s="120" t="n"/>
      <c r="W61" s="121">
        <f>V61*20</f>
        <v/>
      </c>
      <c r="X61" s="121" t="n"/>
      <c r="Y61" s="1" t="n"/>
      <c r="Z61" s="120" t="n"/>
      <c r="AA61" s="121">
        <f>Z61*20</f>
        <v/>
      </c>
      <c r="AB61" s="121" t="n"/>
      <c r="AC61" s="1" t="n"/>
      <c r="AD61" s="1" t="n"/>
      <c r="AE61" s="120" t="n"/>
      <c r="AF61" s="121">
        <f>AE61*20</f>
        <v/>
      </c>
      <c r="AG61" s="121" t="n"/>
      <c r="AH61" s="1" t="n"/>
      <c r="AI61" s="1" t="n"/>
      <c r="AJ61" s="31" t="inlineStr">
        <is>
          <t>ABUTMENTS</t>
        </is>
      </c>
      <c r="AK61" s="100" t="n"/>
      <c r="AL61" s="90" t="n"/>
      <c r="AM61" s="1" t="n"/>
      <c r="AN61" s="1" t="n"/>
      <c r="AO61" s="120" t="n"/>
      <c r="AP61" s="121">
        <f>AO61*20</f>
        <v/>
      </c>
      <c r="AQ61" s="121" t="n"/>
      <c r="AR61" s="1" t="n"/>
      <c r="AS61" s="1" t="n"/>
      <c r="AT61" s="120" t="n"/>
      <c r="AU61" s="121">
        <f>AT61*20</f>
        <v/>
      </c>
      <c r="AV61" s="121" t="n"/>
      <c r="AW61" s="1" t="n"/>
      <c r="AX61" s="1" t="n"/>
      <c r="AY61" s="120" t="n"/>
      <c r="AZ61" s="121">
        <f>AY61*20</f>
        <v/>
      </c>
      <c r="BA61" s="121" t="n"/>
    </row>
    <row r="62" ht="30.75" customHeight="1" s="220">
      <c r="A62" s="1" t="n"/>
      <c r="B62" s="96" t="inlineStr">
        <is>
          <t>NURSE TRANSFER FEE</t>
        </is>
      </c>
      <c r="C62" s="97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31" t="inlineStr">
        <is>
          <t>IMPLANT</t>
        </is>
      </c>
      <c r="S62" s="100" t="n"/>
      <c r="T62" s="90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31" t="inlineStr">
        <is>
          <t>IMPLANT</t>
        </is>
      </c>
      <c r="AK62" s="100" t="n"/>
      <c r="AL62" s="90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</row>
    <row r="63" ht="30.75" customHeight="1" s="220">
      <c r="A63" s="1" t="inlineStr">
        <is>
          <t> </t>
        </is>
      </c>
      <c r="B63" s="96" t="inlineStr">
        <is>
          <t>TANK CULTURE</t>
        </is>
      </c>
      <c r="C63" s="97" t="n">
        <v>163.5</v>
      </c>
      <c r="D63" s="1" t="n"/>
      <c r="E63" s="1" t="n"/>
      <c r="F63" s="122" t="inlineStr">
        <is>
          <t>ADDITIONAL MARKETING:</t>
        </is>
      </c>
      <c r="G63" s="1" t="n"/>
      <c r="H63" s="1" t="n"/>
      <c r="I63" s="1" t="n"/>
      <c r="J63" s="122" t="inlineStr">
        <is>
          <t>ADDITIONAL MARKETING:</t>
        </is>
      </c>
      <c r="K63" s="1" t="n"/>
      <c r="L63" s="1" t="n"/>
      <c r="M63" s="1" t="n"/>
      <c r="N63" s="122" t="inlineStr">
        <is>
          <t>ADDITIONAL MARKETING:</t>
        </is>
      </c>
      <c r="O63" s="1" t="n"/>
      <c r="P63" s="1" t="n"/>
      <c r="Q63" s="1" t="n"/>
      <c r="R63" s="31" t="inlineStr">
        <is>
          <t>SKY LAB</t>
        </is>
      </c>
      <c r="S63" s="100" t="n"/>
      <c r="T63" s="90" t="n"/>
      <c r="U63" s="1" t="n"/>
      <c r="V63" s="122" t="inlineStr">
        <is>
          <t>ADDITIONAL MARKETING:</t>
        </is>
      </c>
      <c r="W63" s="1" t="n"/>
      <c r="X63" s="1" t="n"/>
      <c r="Y63" s="1" t="n"/>
      <c r="Z63" s="122" t="inlineStr">
        <is>
          <t>ADDITIONAL MARKETING:</t>
        </is>
      </c>
      <c r="AA63" s="1" t="n"/>
      <c r="AB63" s="1" t="n"/>
      <c r="AC63" s="1" t="n"/>
      <c r="AD63" s="1" t="n"/>
      <c r="AE63" s="122" t="inlineStr">
        <is>
          <t>ADDITIONAL MARKETING:</t>
        </is>
      </c>
      <c r="AF63" s="1" t="n"/>
      <c r="AG63" s="1" t="n"/>
      <c r="AH63" s="1" t="n"/>
      <c r="AI63" s="1" t="n"/>
      <c r="AJ63" s="31" t="inlineStr">
        <is>
          <t>SKY LAB</t>
        </is>
      </c>
      <c r="AK63" s="100" t="n"/>
      <c r="AL63" s="90" t="n"/>
      <c r="AM63" s="1" t="n"/>
      <c r="AN63" s="1" t="n"/>
      <c r="AO63" s="122" t="inlineStr">
        <is>
          <t>ADDITIONAL MARKETING:</t>
        </is>
      </c>
      <c r="AP63" s="1" t="n"/>
      <c r="AQ63" s="1" t="n"/>
      <c r="AR63" s="1" t="n"/>
      <c r="AS63" s="1" t="n"/>
      <c r="AT63" s="122" t="inlineStr">
        <is>
          <t>ADDITIONAL MARKETING:</t>
        </is>
      </c>
      <c r="AU63" s="1" t="n"/>
      <c r="AV63" s="1" t="n"/>
      <c r="AW63" s="1" t="n"/>
      <c r="AX63" s="1" t="n"/>
      <c r="AY63" s="122" t="inlineStr">
        <is>
          <t>ADDITIONAL MARKETING:</t>
        </is>
      </c>
      <c r="AZ63" s="1" t="n"/>
      <c r="BA63" s="1" t="n"/>
    </row>
    <row r="64" ht="30.75" customHeight="1" s="220">
      <c r="A64" s="1" t="inlineStr">
        <is>
          <t> </t>
        </is>
      </c>
      <c r="B64" s="96" t="inlineStr">
        <is>
          <t>SHARP BIN</t>
        </is>
      </c>
      <c r="C64" s="97" t="n"/>
      <c r="D64" s="1" t="n"/>
      <c r="E64" s="1" t="n"/>
      <c r="F64" s="123" t="inlineStr">
        <is>
          <t xml:space="preserve">MONTH </t>
        </is>
      </c>
      <c r="G64" s="124" t="inlineStr">
        <is>
          <t>AMOUNT</t>
        </is>
      </c>
      <c r="H64" s="124" t="inlineStr">
        <is>
          <t>REMARKS</t>
        </is>
      </c>
      <c r="I64" s="1" t="n"/>
      <c r="J64" s="123" t="inlineStr">
        <is>
          <t xml:space="preserve">MONTH </t>
        </is>
      </c>
      <c r="K64" s="124" t="inlineStr">
        <is>
          <t>AMOUNT</t>
        </is>
      </c>
      <c r="L64" s="124" t="inlineStr">
        <is>
          <t>REMARKS</t>
        </is>
      </c>
      <c r="M64" s="1" t="n"/>
      <c r="N64" s="123" t="inlineStr">
        <is>
          <t xml:space="preserve">MONTH </t>
        </is>
      </c>
      <c r="O64" s="124" t="inlineStr">
        <is>
          <t>AMOUNT</t>
        </is>
      </c>
      <c r="P64" s="124" t="inlineStr">
        <is>
          <t>REMARKS</t>
        </is>
      </c>
      <c r="Q64" s="1" t="n"/>
      <c r="R64" s="31" t="inlineStr">
        <is>
          <t>DIGICADCAM</t>
        </is>
      </c>
      <c r="S64" s="100" t="n"/>
      <c r="T64" s="90" t="n"/>
      <c r="U64" s="1" t="n"/>
      <c r="V64" s="123" t="inlineStr">
        <is>
          <t xml:space="preserve">MONTH </t>
        </is>
      </c>
      <c r="W64" s="124" t="inlineStr">
        <is>
          <t>AMOUNT</t>
        </is>
      </c>
      <c r="X64" s="124" t="inlineStr">
        <is>
          <t>REMARKS</t>
        </is>
      </c>
      <c r="Y64" s="1" t="n"/>
      <c r="Z64" s="123" t="inlineStr">
        <is>
          <t xml:space="preserve">MONTH </t>
        </is>
      </c>
      <c r="AA64" s="124" t="inlineStr">
        <is>
          <t>AMOUNT</t>
        </is>
      </c>
      <c r="AB64" s="124" t="inlineStr">
        <is>
          <t>REMARKS</t>
        </is>
      </c>
      <c r="AC64" s="1" t="n"/>
      <c r="AD64" s="1" t="n"/>
      <c r="AE64" s="123" t="inlineStr">
        <is>
          <t xml:space="preserve">MONTH </t>
        </is>
      </c>
      <c r="AF64" s="124" t="inlineStr">
        <is>
          <t>AMOUNT</t>
        </is>
      </c>
      <c r="AG64" s="124" t="inlineStr">
        <is>
          <t>REMARKS</t>
        </is>
      </c>
      <c r="AH64" s="1" t="n"/>
      <c r="AI64" s="1" t="n"/>
      <c r="AJ64" s="31" t="inlineStr">
        <is>
          <t>DIGICADCAM</t>
        </is>
      </c>
      <c r="AK64" s="100" t="n"/>
      <c r="AL64" s="90" t="n"/>
      <c r="AM64" s="1" t="n"/>
      <c r="AN64" s="1" t="n"/>
      <c r="AO64" s="123" t="inlineStr">
        <is>
          <t xml:space="preserve">MONTH </t>
        </is>
      </c>
      <c r="AP64" s="124" t="inlineStr">
        <is>
          <t>AMOUNT</t>
        </is>
      </c>
      <c r="AQ64" s="124" t="inlineStr">
        <is>
          <t>REMARKS</t>
        </is>
      </c>
      <c r="AR64" s="1" t="n"/>
      <c r="AS64" s="1" t="n"/>
      <c r="AT64" s="123" t="inlineStr">
        <is>
          <t xml:space="preserve">MONTH </t>
        </is>
      </c>
      <c r="AU64" s="124" t="inlineStr">
        <is>
          <t>AMOUNT</t>
        </is>
      </c>
      <c r="AV64" s="124" t="inlineStr">
        <is>
          <t>REMARKS</t>
        </is>
      </c>
      <c r="AW64" s="1" t="n"/>
      <c r="AX64" s="1" t="n"/>
      <c r="AY64" s="123" t="inlineStr">
        <is>
          <t xml:space="preserve">MONTH </t>
        </is>
      </c>
      <c r="AZ64" s="124" t="inlineStr">
        <is>
          <t>AMOUNT</t>
        </is>
      </c>
      <c r="BA64" s="124" t="inlineStr">
        <is>
          <t>REMARKS</t>
        </is>
      </c>
    </row>
    <row r="65" ht="41.25" customHeight="1" s="220">
      <c r="A65" s="1" t="n"/>
      <c r="B65" s="96" t="inlineStr">
        <is>
          <t>COURIER</t>
        </is>
      </c>
      <c r="C65" s="97" t="n">
        <v>129.44</v>
      </c>
      <c r="D65" s="1" t="n"/>
      <c r="E65" s="1" t="n"/>
      <c r="F65" s="125">
        <f>B3</f>
        <v/>
      </c>
      <c r="G65" s="128" t="n"/>
      <c r="H65" s="127" t="n"/>
      <c r="I65" s="1" t="n"/>
      <c r="J65" s="125">
        <f>F65</f>
        <v/>
      </c>
      <c r="K65" s="128" t="n">
        <v>150</v>
      </c>
      <c r="L65" s="127" t="n"/>
      <c r="M65" s="1" t="n"/>
      <c r="N65" s="125">
        <f>F65</f>
        <v/>
      </c>
      <c r="O65" s="128" t="n">
        <v>300</v>
      </c>
      <c r="P65" s="127" t="n"/>
      <c r="Q65" s="1" t="n"/>
      <c r="R65" s="31" t="inlineStr">
        <is>
          <t>OTHER LAB</t>
        </is>
      </c>
      <c r="S65" s="100" t="n"/>
      <c r="T65" s="90" t="n"/>
      <c r="U65" s="1" t="n"/>
      <c r="V65" s="125">
        <f>V3</f>
        <v/>
      </c>
      <c r="W65" s="128" t="n">
        <v>180</v>
      </c>
      <c r="X65" s="127" t="n"/>
      <c r="Y65" s="1" t="n"/>
      <c r="Z65" s="125">
        <f>V65</f>
        <v/>
      </c>
      <c r="AA65" s="128" t="n"/>
      <c r="AB65" s="127" t="n"/>
      <c r="AC65" s="1" t="n"/>
      <c r="AD65" s="1" t="n"/>
      <c r="AE65" s="125">
        <f>AE3</f>
        <v/>
      </c>
      <c r="AF65" s="128" t="n"/>
      <c r="AG65" s="127" t="n"/>
      <c r="AH65" s="1" t="n"/>
      <c r="AI65" s="1" t="n"/>
      <c r="AJ65" s="31" t="inlineStr">
        <is>
          <t>OTHER LAB</t>
        </is>
      </c>
      <c r="AK65" s="100" t="n"/>
      <c r="AL65" s="90" t="n"/>
      <c r="AM65" s="1" t="n"/>
      <c r="AN65" s="1" t="n"/>
      <c r="AO65" s="125">
        <f>AO3</f>
        <v/>
      </c>
      <c r="AP65" s="128" t="n"/>
      <c r="AQ65" s="127" t="n"/>
      <c r="AR65" s="1" t="n"/>
      <c r="AS65" s="1" t="n"/>
      <c r="AT65" s="125">
        <f>AT3</f>
        <v/>
      </c>
      <c r="AU65" s="128" t="n"/>
      <c r="AV65" s="127" t="n"/>
      <c r="AW65" s="1" t="n"/>
      <c r="AX65" s="1" t="n"/>
      <c r="AY65" s="125">
        <f>AY3</f>
        <v/>
      </c>
      <c r="AZ65" s="128" t="n"/>
      <c r="BA65" s="127" t="n"/>
    </row>
    <row r="66" ht="36" customHeight="1" s="220">
      <c r="A66" s="1" t="n"/>
      <c r="B66" s="96" t="inlineStr">
        <is>
          <t>REPAIR &amp; MAINTENANCE</t>
        </is>
      </c>
      <c r="C66" s="97" t="n"/>
      <c r="D66" s="2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31" t="inlineStr">
        <is>
          <t>INVISALIGN</t>
        </is>
      </c>
      <c r="S66" s="100" t="n"/>
      <c r="T66" s="90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31" t="inlineStr">
        <is>
          <t>INVISALIGN</t>
        </is>
      </c>
      <c r="AK66" s="100" t="n"/>
      <c r="AL66" s="90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</row>
    <row r="67" ht="33" customHeight="1" s="220">
      <c r="A67" s="1" t="n"/>
      <c r="B67" s="131" t="inlineStr">
        <is>
          <t>MOM LEVY</t>
        </is>
      </c>
      <c r="C67" s="130">
        <f>400+400+138.11</f>
        <v/>
      </c>
      <c r="D67" s="1" t="n"/>
      <c r="E67" s="1" t="n"/>
      <c r="F67" s="122" t="inlineStr">
        <is>
          <t>OTHERS: (CPF,PERSONAL REFUND, COURSEFEE)</t>
        </is>
      </c>
      <c r="G67" s="1" t="n"/>
      <c r="H67" s="1" t="n"/>
      <c r="I67" s="1" t="n"/>
      <c r="J67" s="122" t="inlineStr">
        <is>
          <t>OTHERS: (CPF,PERSONAL REFUND, COURSEFEE)</t>
        </is>
      </c>
      <c r="K67" s="1" t="n"/>
      <c r="L67" s="1" t="n"/>
      <c r="M67" s="1" t="n"/>
      <c r="N67" s="122" t="inlineStr">
        <is>
          <t>OTHERS: (CPF,PERSONAL REFUND, COURSEFEE)</t>
        </is>
      </c>
      <c r="O67" s="1" t="n"/>
      <c r="P67" s="1" t="n"/>
      <c r="Q67" s="1" t="n"/>
      <c r="R67" s="31" t="inlineStr">
        <is>
          <t>TRANSFER (+)</t>
        </is>
      </c>
      <c r="S67" s="100" t="n"/>
      <c r="T67" s="90" t="n"/>
      <c r="U67" s="1" t="n"/>
      <c r="V67" s="122" t="inlineStr">
        <is>
          <t>OTHERS: (CPF,PERSONAL REFUND, COURSEFEE)</t>
        </is>
      </c>
      <c r="W67" s="1" t="n"/>
      <c r="X67" s="1" t="n"/>
      <c r="Y67" s="1" t="n"/>
      <c r="Z67" s="122" t="inlineStr">
        <is>
          <t>OTHERS: (CPF,PERSONAL REFUND, COURSEFEE)</t>
        </is>
      </c>
      <c r="AA67" s="1" t="n"/>
      <c r="AB67" s="1" t="n"/>
      <c r="AC67" s="1" t="n"/>
      <c r="AD67" s="1" t="n"/>
      <c r="AE67" s="122" t="inlineStr">
        <is>
          <t>OTHERS: (CPF,PERSONAL REFUND, COURSEFEE)</t>
        </is>
      </c>
      <c r="AF67" s="1" t="n"/>
      <c r="AG67" s="1" t="n"/>
      <c r="AH67" s="1" t="n"/>
      <c r="AI67" s="1" t="n"/>
      <c r="AJ67" s="31" t="inlineStr">
        <is>
          <t>TRANSFER (+)</t>
        </is>
      </c>
      <c r="AK67" s="100" t="n"/>
      <c r="AL67" s="98" t="n"/>
      <c r="AM67" s="1" t="n"/>
      <c r="AN67" s="1" t="n"/>
      <c r="AO67" s="122" t="inlineStr">
        <is>
          <t>OTHERS: (CPF,PERSONAL REFUND, COURSEFEE)</t>
        </is>
      </c>
      <c r="AP67" s="1" t="n"/>
      <c r="AQ67" s="1" t="n"/>
      <c r="AR67" s="1" t="n"/>
      <c r="AS67" s="1" t="n"/>
      <c r="AT67" s="122" t="inlineStr">
        <is>
          <t>OTHERS: (CPF,PERSONAL REFUND, COURSEFEE)</t>
        </is>
      </c>
      <c r="AU67" s="1" t="n"/>
      <c r="AV67" s="1" t="n"/>
      <c r="AW67" s="1" t="n"/>
      <c r="AX67" s="1" t="n"/>
      <c r="AY67" s="122" t="inlineStr">
        <is>
          <t>OTHERS: (CPF,PERSONAL REFUND, COURSEFEE)</t>
        </is>
      </c>
      <c r="AZ67" s="1" t="n"/>
      <c r="BA67" s="1" t="n"/>
    </row>
    <row r="68" ht="33.75" customHeight="1" s="220">
      <c r="A68" s="1" t="n"/>
      <c r="B68" s="90" t="n"/>
      <c r="C68" s="90" t="n"/>
      <c r="D68" s="1" t="n"/>
      <c r="E68" s="1" t="n"/>
      <c r="F68" s="122" t="n"/>
      <c r="G68" s="1" t="n"/>
      <c r="H68" s="1" t="n"/>
      <c r="I68" s="1" t="n"/>
      <c r="J68" s="122" t="n"/>
      <c r="K68" s="1" t="n"/>
      <c r="L68" s="1" t="n"/>
      <c r="M68" s="1" t="n"/>
      <c r="N68" s="122" t="n"/>
      <c r="O68" s="1" t="n"/>
      <c r="P68" s="1" t="n"/>
      <c r="Q68" s="1" t="n"/>
      <c r="R68" s="31" t="inlineStr">
        <is>
          <t>TRANSFER (-)</t>
        </is>
      </c>
      <c r="S68" s="100" t="n"/>
      <c r="T68" s="90" t="n"/>
      <c r="U68" s="1" t="n"/>
      <c r="V68" s="122" t="n"/>
      <c r="W68" s="1" t="n"/>
      <c r="X68" s="1" t="n"/>
      <c r="Y68" s="1" t="n"/>
      <c r="Z68" s="122" t="n"/>
      <c r="AA68" s="1" t="n"/>
      <c r="AB68" s="1" t="n"/>
      <c r="AC68" s="1" t="n"/>
      <c r="AD68" s="1" t="n"/>
      <c r="AE68" s="122" t="n"/>
      <c r="AF68" s="1" t="n"/>
      <c r="AG68" s="1" t="n"/>
      <c r="AH68" s="1" t="n"/>
      <c r="AI68" s="1" t="n"/>
      <c r="AJ68" s="31" t="inlineStr">
        <is>
          <t>TRANSFER (-)</t>
        </is>
      </c>
      <c r="AK68" s="100" t="n"/>
      <c r="AL68" s="102" t="n"/>
      <c r="AM68" s="1" t="n"/>
      <c r="AN68" s="1" t="n"/>
      <c r="AO68" s="122" t="n"/>
      <c r="AP68" s="1" t="n"/>
      <c r="AQ68" s="1" t="n"/>
      <c r="AR68" s="1" t="n"/>
      <c r="AS68" s="1" t="n"/>
      <c r="AT68" s="122" t="n"/>
      <c r="AU68" s="1" t="n"/>
      <c r="AV68" s="1" t="n"/>
      <c r="AW68" s="1" t="n"/>
      <c r="AX68" s="1" t="n"/>
      <c r="AY68" s="122" t="n"/>
      <c r="AZ68" s="1" t="n"/>
      <c r="BA68" s="1" t="n"/>
    </row>
    <row r="69" ht="45" customHeight="1" s="220">
      <c r="A69" s="1" t="n"/>
      <c r="B69" s="90" t="n"/>
      <c r="C69" s="90" t="n"/>
      <c r="D69" s="1" t="n"/>
      <c r="E69" s="1" t="n"/>
      <c r="F69" s="134" t="inlineStr">
        <is>
          <t>DETAILS</t>
        </is>
      </c>
      <c r="G69" s="134" t="inlineStr">
        <is>
          <t>AMOUNT</t>
        </is>
      </c>
      <c r="H69" s="127" t="n"/>
      <c r="I69" s="1" t="n"/>
      <c r="J69" s="134" t="inlineStr">
        <is>
          <t>DETAILS</t>
        </is>
      </c>
      <c r="K69" s="134" t="inlineStr">
        <is>
          <t>AMOUNT</t>
        </is>
      </c>
      <c r="L69" s="127" t="n"/>
      <c r="M69" s="1" t="n"/>
      <c r="N69" s="134" t="inlineStr">
        <is>
          <t>DETAILS</t>
        </is>
      </c>
      <c r="O69" s="134" t="inlineStr">
        <is>
          <t>AMOUNT</t>
        </is>
      </c>
      <c r="P69" s="127" t="n"/>
      <c r="Q69" s="1" t="n"/>
      <c r="R69" s="52" t="inlineStr">
        <is>
          <t>REFUND</t>
        </is>
      </c>
      <c r="S69" s="105" t="n"/>
      <c r="T69" s="90" t="n"/>
      <c r="U69" s="1" t="n"/>
      <c r="V69" s="134" t="inlineStr">
        <is>
          <t>DETAILS</t>
        </is>
      </c>
      <c r="W69" s="134" t="inlineStr">
        <is>
          <t>AMOUNT</t>
        </is>
      </c>
      <c r="X69" s="127" t="n"/>
      <c r="Y69" s="1" t="n"/>
      <c r="Z69" s="134" t="inlineStr">
        <is>
          <t>DETAILS</t>
        </is>
      </c>
      <c r="AA69" s="134" t="inlineStr">
        <is>
          <t>AMOUNT</t>
        </is>
      </c>
      <c r="AB69" s="127" t="n"/>
      <c r="AC69" s="1" t="n"/>
      <c r="AD69" s="1" t="n"/>
      <c r="AE69" s="134" t="inlineStr">
        <is>
          <t>DETAILS</t>
        </is>
      </c>
      <c r="AF69" s="134" t="inlineStr">
        <is>
          <t>AMOUNT</t>
        </is>
      </c>
      <c r="AG69" s="127" t="n"/>
      <c r="AH69" s="1" t="n"/>
      <c r="AI69" s="1" t="n"/>
      <c r="AJ69" s="52" t="inlineStr">
        <is>
          <t>REFUND</t>
        </is>
      </c>
      <c r="AK69" s="105" t="n"/>
      <c r="AL69" s="90" t="n"/>
      <c r="AM69" s="1" t="n"/>
      <c r="AN69" s="1" t="n"/>
      <c r="AO69" s="134" t="inlineStr">
        <is>
          <t>DETAILS</t>
        </is>
      </c>
      <c r="AP69" s="134" t="inlineStr">
        <is>
          <t>AMOUNT</t>
        </is>
      </c>
      <c r="AQ69" s="127" t="n"/>
      <c r="AR69" s="1" t="n"/>
      <c r="AS69" s="1" t="n"/>
      <c r="AT69" s="134" t="inlineStr">
        <is>
          <t>DETAILS</t>
        </is>
      </c>
      <c r="AU69" s="134" t="inlineStr">
        <is>
          <t>AMOUNT</t>
        </is>
      </c>
      <c r="AV69" s="127" t="n"/>
      <c r="AW69" s="1" t="n"/>
      <c r="AX69" s="1" t="n"/>
      <c r="AY69" s="134" t="inlineStr">
        <is>
          <t>DETAILS</t>
        </is>
      </c>
      <c r="AZ69" s="134" t="inlineStr">
        <is>
          <t>AMOUNT</t>
        </is>
      </c>
      <c r="BA69" s="127" t="n"/>
    </row>
    <row r="70" ht="27.75" customHeight="1" s="220">
      <c r="A70" s="1" t="n"/>
      <c r="B70" s="90" t="n"/>
      <c r="C70" s="90" t="n"/>
      <c r="D70" s="1" t="n"/>
      <c r="E70" s="1" t="n"/>
      <c r="F70" s="134" t="inlineStr">
        <is>
          <t>CPF CONT SALARY</t>
        </is>
      </c>
      <c r="G70" s="134" t="n"/>
      <c r="H70" s="127" t="n"/>
      <c r="I70" s="135" t="n"/>
      <c r="J70" s="134" t="n"/>
      <c r="K70" s="134" t="n"/>
      <c r="L70" s="127" t="n"/>
      <c r="M70" s="135" t="n"/>
      <c r="N70" s="134" t="n"/>
      <c r="O70" s="134" t="n"/>
      <c r="P70" s="127" t="n"/>
      <c r="Q70" s="135" t="n"/>
      <c r="R70" s="52" t="inlineStr">
        <is>
          <t>VOUCHER</t>
        </is>
      </c>
      <c r="S70" s="105" t="n"/>
      <c r="T70" s="90" t="n"/>
      <c r="U70" s="135" t="n"/>
      <c r="V70" s="134" t="n"/>
      <c r="W70" s="134" t="n"/>
      <c r="X70" s="127" t="n"/>
      <c r="Y70" s="136" t="n"/>
      <c r="Z70" s="134" t="n"/>
      <c r="AA70" s="134" t="n"/>
      <c r="AB70" s="127" t="n"/>
      <c r="AC70" s="136" t="n"/>
      <c r="AD70" s="135" t="n"/>
      <c r="AE70" s="134" t="n"/>
      <c r="AF70" s="134" t="n"/>
      <c r="AG70" s="127" t="n"/>
      <c r="AH70" s="1" t="n"/>
      <c r="AI70" s="135" t="n"/>
      <c r="AJ70" s="52" t="inlineStr">
        <is>
          <t>SEDATION</t>
        </is>
      </c>
      <c r="AK70" s="105" t="n"/>
      <c r="AL70" s="90" t="n"/>
      <c r="AM70" s="1" t="n"/>
      <c r="AN70" s="135" t="n"/>
      <c r="AO70" s="134" t="n"/>
      <c r="AP70" s="134" t="n"/>
      <c r="AQ70" s="127" t="n"/>
      <c r="AR70" s="1" t="n"/>
      <c r="AS70" s="135" t="n"/>
      <c r="AT70" s="134" t="n"/>
      <c r="AU70" s="134" t="n"/>
      <c r="AV70" s="127" t="n"/>
      <c r="AW70" s="1" t="n"/>
      <c r="AX70" s="135" t="n"/>
      <c r="AY70" s="134" t="n"/>
      <c r="AZ70" s="134" t="n"/>
      <c r="BA70" s="127" t="n"/>
    </row>
    <row r="71" ht="27.75" customHeight="1" s="220">
      <c r="A71" s="137" t="n"/>
      <c r="B71" s="137" t="n"/>
      <c r="C71" s="137" t="n"/>
      <c r="D71" s="137" t="n"/>
      <c r="E71" s="137" t="n"/>
      <c r="F71" s="134" t="n"/>
      <c r="G71" s="134" t="n"/>
      <c r="H71" s="127" t="n"/>
      <c r="I71" s="138" t="n"/>
      <c r="J71" s="134" t="n"/>
      <c r="K71" s="134" t="n"/>
      <c r="L71" s="127" t="n"/>
      <c r="M71" s="138" t="n"/>
      <c r="N71" s="134" t="n"/>
      <c r="O71" s="134" t="n"/>
      <c r="P71" s="127" t="n"/>
      <c r="Q71" s="138" t="n"/>
      <c r="R71" s="31" t="n"/>
      <c r="S71" s="105" t="n"/>
      <c r="T71" s="90" t="n"/>
      <c r="U71" s="138" t="n"/>
      <c r="V71" s="134" t="n"/>
      <c r="W71" s="134" t="n"/>
      <c r="X71" s="127" t="n"/>
      <c r="Y71" s="138" t="n"/>
      <c r="Z71" s="134" t="n"/>
      <c r="AA71" s="134" t="n"/>
      <c r="AB71" s="127" t="n"/>
      <c r="AC71" s="137" t="n"/>
      <c r="AD71" s="138" t="n"/>
      <c r="AE71" s="134" t="n"/>
      <c r="AF71" s="134" t="n"/>
      <c r="AG71" s="127" t="n"/>
      <c r="AH71" s="137" t="n"/>
      <c r="AI71" s="138" t="n"/>
      <c r="AJ71" s="31" t="inlineStr">
        <is>
          <t>RETAINERS/BT/SPLINT</t>
        </is>
      </c>
      <c r="AK71" s="105" t="n"/>
      <c r="AL71" s="90" t="n"/>
      <c r="AM71" s="137" t="n"/>
      <c r="AN71" s="138" t="n"/>
      <c r="AO71" s="134" t="n"/>
      <c r="AP71" s="134" t="n"/>
      <c r="AQ71" s="127" t="n"/>
      <c r="AR71" s="137" t="n"/>
      <c r="AS71" s="138" t="n"/>
      <c r="AT71" s="134" t="n"/>
      <c r="AU71" s="134" t="n"/>
      <c r="AV71" s="127" t="n"/>
      <c r="AW71" s="137" t="n"/>
      <c r="AX71" s="138" t="n"/>
      <c r="AY71" s="134" t="n"/>
      <c r="AZ71" s="134" t="n"/>
      <c r="BA71" s="127" t="n"/>
    </row>
    <row r="72" ht="46.5" customHeight="1" s="220">
      <c r="A72" s="1" t="n"/>
      <c r="B72" s="139" t="inlineStr">
        <is>
          <t>TOTAL</t>
        </is>
      </c>
      <c r="C72" s="140">
        <f>B31-C34-C35-C58-C36-C37-C42-C43-C38-C46-C39-C45-C48-C49-C51-C50-C55-C54-C53-C59-C60-C61-C62-C47-C63-C40-C64-C41-C67-C66-C65-C90-C91-C92-C93-C94-C95-C68-C69-C70</f>
        <v/>
      </c>
      <c r="D72" s="137" t="n"/>
      <c r="E72" s="1" t="n"/>
      <c r="F72" s="134" t="n"/>
      <c r="G72" s="134" t="n"/>
      <c r="H72" s="127" t="n"/>
      <c r="I72" s="1" t="n"/>
      <c r="J72" s="134" t="n"/>
      <c r="K72" s="134" t="n"/>
      <c r="L72" s="127" t="n"/>
      <c r="M72" s="1" t="n"/>
      <c r="N72" s="134" t="n"/>
      <c r="O72" s="134" t="n"/>
      <c r="P72" s="127" t="n"/>
      <c r="Q72" s="1" t="n"/>
      <c r="R72" s="31" t="n"/>
      <c r="S72" s="105" t="n"/>
      <c r="T72" s="90" t="n"/>
      <c r="U72" s="1" t="n"/>
      <c r="V72" s="134" t="n"/>
      <c r="W72" s="127" t="n"/>
      <c r="X72" s="127" t="n"/>
      <c r="Y72" s="1" t="n"/>
      <c r="Z72" s="134" t="n"/>
      <c r="AA72" s="134" t="n"/>
      <c r="AB72" s="127" t="n"/>
      <c r="AC72" s="1" t="n"/>
      <c r="AD72" s="1" t="n"/>
      <c r="AE72" s="134" t="n"/>
      <c r="AF72" s="134" t="n"/>
      <c r="AG72" s="127" t="n"/>
      <c r="AH72" s="1" t="n"/>
      <c r="AI72" s="1" t="n"/>
      <c r="AJ72" s="31" t="inlineStr">
        <is>
          <t>INSTALLMENT</t>
        </is>
      </c>
      <c r="AK72" s="105" t="n"/>
      <c r="AL72" s="90" t="n"/>
      <c r="AM72" s="1" t="n"/>
      <c r="AN72" s="1" t="n"/>
      <c r="AO72" s="134" t="n"/>
      <c r="AP72" s="134" t="n"/>
      <c r="AQ72" s="127" t="n"/>
      <c r="AR72" s="1" t="n"/>
      <c r="AS72" s="1" t="n"/>
      <c r="AT72" s="134" t="n"/>
      <c r="AU72" s="134" t="n"/>
      <c r="AV72" s="127" t="n"/>
      <c r="AW72" s="1" t="n"/>
      <c r="AX72" s="1" t="n"/>
      <c r="AY72" s="134" t="n"/>
      <c r="AZ72" s="134" t="n"/>
      <c r="BA72" s="127" t="n"/>
    </row>
    <row r="73" ht="31.5" customHeight="1" s="220">
      <c r="A73" s="1" t="n"/>
      <c r="B73" s="141" t="inlineStr">
        <is>
          <t xml:space="preserve">FOR INCENTIVE % </t>
        </is>
      </c>
      <c r="C73" s="142">
        <f>B31-C34-C35-C58-C42-C43-C46-C45-C48-C44-C49-C50-C47-C63-C40-C64-C41-C65-C93-C95-C94-C66-C92-C90</f>
        <v/>
      </c>
      <c r="D73" s="143" t="n"/>
      <c r="E73" s="1" t="n"/>
      <c r="F73" s="134" t="n"/>
      <c r="G73" s="134" t="n"/>
      <c r="H73" s="127" t="n"/>
      <c r="I73" s="1" t="n"/>
      <c r="J73" s="134" t="n"/>
      <c r="K73" s="134" t="n"/>
      <c r="L73" s="127" t="n"/>
      <c r="M73" s="1" t="n"/>
      <c r="N73" s="134" t="n"/>
      <c r="O73" s="134" t="n"/>
      <c r="P73" s="127" t="n"/>
      <c r="Q73" s="1" t="n"/>
      <c r="R73" s="144" t="n"/>
      <c r="S73" s="145" t="n"/>
      <c r="T73" s="90" t="n"/>
      <c r="U73" s="1" t="n"/>
      <c r="V73" s="134" t="n"/>
      <c r="W73" s="134" t="n"/>
      <c r="X73" s="127" t="n"/>
      <c r="Y73" s="1" t="n"/>
      <c r="Z73" s="134" t="n"/>
      <c r="AA73" s="134" t="n"/>
      <c r="AB73" s="127" t="n"/>
      <c r="AC73" s="1" t="n"/>
      <c r="AD73" s="1" t="n"/>
      <c r="AE73" s="134" t="n"/>
      <c r="AF73" s="134" t="n"/>
      <c r="AG73" s="127" t="n"/>
      <c r="AH73" s="1" t="n"/>
      <c r="AI73" s="1" t="n"/>
      <c r="AJ73" s="144" t="inlineStr">
        <is>
          <t>DEDUCTIONS</t>
        </is>
      </c>
      <c r="AK73" s="145" t="n"/>
      <c r="AL73" s="102" t="n"/>
      <c r="AM73" s="1" t="n"/>
      <c r="AN73" s="1" t="n"/>
      <c r="AO73" s="134" t="n"/>
      <c r="AP73" s="134" t="n"/>
      <c r="AQ73" s="127" t="n"/>
      <c r="AR73" s="1" t="n"/>
      <c r="AS73" s="1" t="n"/>
      <c r="AT73" s="134" t="n"/>
      <c r="AU73" s="134" t="n"/>
      <c r="AV73" s="127" t="n"/>
      <c r="AW73" s="1" t="n"/>
      <c r="AX73" s="1" t="n"/>
      <c r="AY73" s="134" t="n"/>
      <c r="AZ73" s="134" t="n"/>
      <c r="BA73" s="127" t="n"/>
    </row>
    <row r="74" ht="31.5" customHeight="1" s="220">
      <c r="A74" s="1" t="n"/>
      <c r="B74" s="146" t="inlineStr">
        <is>
          <t xml:space="preserve">PERCENT </t>
        </is>
      </c>
      <c r="C74" s="147">
        <f>VLOOKUP(C73,'% RATES INCENTIVES'!C:D,2,TRUE)</f>
        <v/>
      </c>
      <c r="D74" s="1" t="n"/>
      <c r="E74" s="1" t="n"/>
      <c r="F74" s="134" t="n"/>
      <c r="G74" s="134" t="n"/>
      <c r="H74" s="127" t="n"/>
      <c r="I74" s="1" t="n"/>
      <c r="J74" s="134" t="n"/>
      <c r="K74" s="134" t="n"/>
      <c r="L74" s="127" t="n"/>
      <c r="M74" s="1" t="n"/>
      <c r="N74" s="134" t="n"/>
      <c r="O74" s="134" t="n"/>
      <c r="P74" s="127" t="n"/>
      <c r="Q74" s="1" t="n"/>
      <c r="R74" s="148" t="n"/>
      <c r="S74" s="148" t="n"/>
      <c r="T74" s="1" t="n"/>
      <c r="U74" s="1" t="n"/>
      <c r="V74" s="134" t="n"/>
      <c r="W74" s="134" t="n"/>
      <c r="X74" s="127" t="n"/>
      <c r="Y74" s="1" t="n"/>
      <c r="Z74" s="134" t="n"/>
      <c r="AA74" s="134" t="n"/>
      <c r="AB74" s="127" t="n"/>
      <c r="AC74" s="1" t="n"/>
      <c r="AD74" s="1" t="n"/>
      <c r="AE74" s="134" t="n"/>
      <c r="AF74" s="134" t="n"/>
      <c r="AG74" s="127" t="n"/>
      <c r="AH74" s="1" t="n"/>
      <c r="AI74" s="1" t="n"/>
      <c r="AJ74" s="148" t="n"/>
      <c r="AK74" s="148" t="n"/>
      <c r="AL74" s="1" t="n"/>
      <c r="AM74" s="1" t="n"/>
      <c r="AN74" s="1" t="n"/>
      <c r="AO74" s="134" t="n"/>
      <c r="AP74" s="134" t="n"/>
      <c r="AQ74" s="127" t="n"/>
      <c r="AR74" s="1" t="n"/>
      <c r="AS74" s="1" t="n"/>
      <c r="AT74" s="134" t="n"/>
      <c r="AU74" s="134" t="n"/>
      <c r="AV74" s="127" t="n"/>
      <c r="AW74" s="1" t="n"/>
      <c r="AX74" s="1" t="n"/>
      <c r="AY74" s="134" t="n"/>
      <c r="AZ74" s="134" t="n"/>
      <c r="BA74" s="127" t="n"/>
    </row>
    <row r="75" ht="34.5" customHeight="1" s="220">
      <c r="A75" s="1" t="inlineStr">
        <is>
          <t>INCOME LESS GST</t>
        </is>
      </c>
      <c r="B75" s="149">
        <f>B31-C35</f>
        <v/>
      </c>
      <c r="C75" s="150">
        <f>C72/B75*100</f>
        <v/>
      </c>
      <c r="D75" s="151" t="inlineStr">
        <is>
          <t>%</t>
        </is>
      </c>
      <c r="E75" s="1" t="n"/>
      <c r="F75" s="134" t="n"/>
      <c r="G75" s="134" t="n"/>
      <c r="H75" s="127" t="n"/>
      <c r="I75" s="1" t="n"/>
      <c r="J75" s="134" t="n"/>
      <c r="K75" s="134" t="n"/>
      <c r="L75" s="127" t="n"/>
      <c r="M75" s="1" t="n"/>
      <c r="N75" s="134" t="n"/>
      <c r="O75" s="134" t="n"/>
      <c r="P75" s="127" t="n"/>
      <c r="Q75" s="1" t="n"/>
      <c r="R75" s="61" t="inlineStr">
        <is>
          <t>TOTAL</t>
        </is>
      </c>
      <c r="S75" s="109">
        <f>#REF!-S34-S35-S59-S58-S60-S61-S62-S63-S64-S65-S66+S67-S68-S69-S70-S71-S72-S73</f>
        <v/>
      </c>
      <c r="T75" s="90" t="n"/>
      <c r="U75" s="1" t="n"/>
      <c r="V75" s="134" t="n"/>
      <c r="W75" s="134" t="n"/>
      <c r="X75" s="127" t="n"/>
      <c r="Y75" s="1" t="n"/>
      <c r="Z75" s="134" t="n"/>
      <c r="AA75" s="134" t="n"/>
      <c r="AB75" s="127" t="n"/>
      <c r="AC75" s="1" t="n"/>
      <c r="AD75" s="1" t="n"/>
      <c r="AE75" s="134" t="n"/>
      <c r="AF75" s="134" t="n"/>
      <c r="AG75" s="127" t="n"/>
      <c r="AH75" s="1" t="n"/>
      <c r="AI75" s="1" t="n"/>
      <c r="AJ75" s="61" t="inlineStr">
        <is>
          <t>TOTAL</t>
        </is>
      </c>
      <c r="AK75" s="109">
        <f>#REF!-AK34-AK35-AK58-AK59-AK60-AK61-AK62-AK63-AK64-AK65-AK66+AK67-AK68-AK69-AK70-AK71-AK72-AK73</f>
        <v/>
      </c>
      <c r="AL75" s="90" t="n"/>
      <c r="AM75" s="1" t="n"/>
      <c r="AN75" s="1" t="n"/>
      <c r="AO75" s="134" t="n"/>
      <c r="AP75" s="134" t="n"/>
      <c r="AQ75" s="127" t="n"/>
      <c r="AR75" s="1" t="n"/>
      <c r="AS75" s="1" t="n"/>
      <c r="AT75" s="134" t="n"/>
      <c r="AU75" s="134" t="n"/>
      <c r="AV75" s="127" t="n"/>
      <c r="AW75" s="1" t="n"/>
      <c r="AX75" s="1" t="n"/>
      <c r="AY75" s="134" t="n"/>
      <c r="AZ75" s="134" t="n"/>
      <c r="BA75" s="127" t="n"/>
    </row>
    <row r="76" ht="33.75" customHeight="1" s="220">
      <c r="A76" s="1" t="n"/>
      <c r="B76" s="152" t="inlineStr">
        <is>
          <t> </t>
        </is>
      </c>
      <c r="C76" s="153" t="n"/>
      <c r="D76" s="1" t="n"/>
      <c r="E76" s="1" t="n"/>
      <c r="F76" s="154" t="n"/>
      <c r="G76" s="154" t="n"/>
      <c r="H76" s="155" t="n"/>
      <c r="I76" s="1" t="n"/>
      <c r="J76" s="154" t="n"/>
      <c r="K76" s="154" t="n"/>
      <c r="L76" s="155" t="n"/>
      <c r="M76" s="1" t="n"/>
      <c r="N76" s="154" t="n"/>
      <c r="O76" s="154" t="n"/>
      <c r="P76" s="155" t="n"/>
      <c r="Q76" s="1" t="n"/>
      <c r="R76" s="112" t="inlineStr">
        <is>
          <t>DOCTORS PAY</t>
        </is>
      </c>
      <c r="S76" s="111">
        <f>(S75*50%)+S77</f>
        <v/>
      </c>
      <c r="T76" s="90" t="n"/>
      <c r="U76" s="1" t="n"/>
      <c r="V76" s="154" t="n"/>
      <c r="W76" s="154" t="n"/>
      <c r="X76" s="155" t="n"/>
      <c r="Y76" s="1" t="n"/>
      <c r="Z76" s="154" t="n"/>
      <c r="AA76" s="154" t="n"/>
      <c r="AB76" s="155" t="n"/>
      <c r="AC76" s="1" t="n"/>
      <c r="AD76" s="1" t="n"/>
      <c r="AE76" s="154" t="n"/>
      <c r="AF76" s="154" t="n"/>
      <c r="AG76" s="155" t="n"/>
      <c r="AH76" s="1" t="n"/>
      <c r="AI76" s="1" t="n"/>
      <c r="AJ76" s="112" t="inlineStr">
        <is>
          <t>DOCTORS PAY</t>
        </is>
      </c>
      <c r="AK76" s="111">
        <f>(AK75*50%)+AK77</f>
        <v/>
      </c>
      <c r="AL76" s="90" t="n"/>
      <c r="AM76" s="1" t="n"/>
      <c r="AN76" s="1" t="n"/>
      <c r="AO76" s="154" t="n"/>
      <c r="AP76" s="154" t="n"/>
      <c r="AQ76" s="155" t="n"/>
      <c r="AR76" s="1" t="n"/>
      <c r="AS76" s="1" t="n"/>
      <c r="AT76" s="154" t="n"/>
      <c r="AU76" s="154" t="n"/>
      <c r="AV76" s="155" t="n"/>
      <c r="AW76" s="1" t="n"/>
      <c r="AX76" s="1" t="n"/>
      <c r="AY76" s="154" t="n"/>
      <c r="AZ76" s="154" t="n"/>
      <c r="BA76" s="155" t="n"/>
    </row>
    <row r="77" ht="36.75" customHeight="1" s="220">
      <c r="A77" s="1" t="n"/>
      <c r="B77" s="156" t="inlineStr">
        <is>
          <t>MEDISAVE ADMIN</t>
        </is>
      </c>
      <c r="C77" s="157">
        <f>G61+K61+O61+S83+W61+AA61+AF61+AK83</f>
        <v/>
      </c>
      <c r="D77" s="158">
        <f>C77/20</f>
        <v/>
      </c>
      <c r="E77" s="1" t="n"/>
      <c r="F77" s="159" t="inlineStr">
        <is>
          <t>TOTAL PAYMENT</t>
        </is>
      </c>
      <c r="G77" s="160">
        <f>G57-G70-G74-G75-G71-G72-G73</f>
        <v/>
      </c>
      <c r="H77" s="1" t="n"/>
      <c r="I77" s="1" t="n"/>
      <c r="J77" s="159" t="inlineStr">
        <is>
          <t>TOTAL PAYMENT</t>
        </is>
      </c>
      <c r="K77" s="160">
        <f>K57-K70-K74-K75-K71-K72-K73</f>
        <v/>
      </c>
      <c r="L77" s="1" t="n"/>
      <c r="M77" s="1" t="n"/>
      <c r="N77" s="159" t="inlineStr">
        <is>
          <t>TOTAL PAYMENT</t>
        </is>
      </c>
      <c r="O77" s="160">
        <f>O57-O70-O74-O75-O71-O72-O73</f>
        <v/>
      </c>
      <c r="P77" s="1" t="inlineStr">
        <is>
          <t>  </t>
        </is>
      </c>
      <c r="Q77" s="1" t="n"/>
      <c r="R77" s="50" t="inlineStr">
        <is>
          <t>ADJUSTMENTS (+)</t>
        </is>
      </c>
      <c r="S77" s="36" t="n"/>
      <c r="T77" s="90" t="n"/>
      <c r="U77" s="1" t="n"/>
      <c r="V77" s="159" t="inlineStr">
        <is>
          <t>TOTAL PAYMENT</t>
        </is>
      </c>
      <c r="W77" s="160">
        <f>W57-W70-W74-W75-W71-W72-W73</f>
        <v/>
      </c>
      <c r="X77" s="1" t="n"/>
      <c r="Y77" s="1" t="n"/>
      <c r="Z77" s="159" t="inlineStr">
        <is>
          <t>TOTAL PAYMENT</t>
        </is>
      </c>
      <c r="AA77" s="160">
        <f>AA57-AA70-AA74-AA75-AA71-AA72-AA73</f>
        <v/>
      </c>
      <c r="AB77" s="1" t="n"/>
      <c r="AC77" s="1" t="n"/>
      <c r="AD77" s="1" t="n"/>
      <c r="AE77" s="159" t="inlineStr">
        <is>
          <t>TOTAL PAYMENT</t>
        </is>
      </c>
      <c r="AF77" s="160">
        <f>AF57-AF70-AF74-AF75-AF71-AF72-AF73</f>
        <v/>
      </c>
      <c r="AG77" s="1" t="n"/>
      <c r="AH77" s="1" t="n"/>
      <c r="AI77" s="1" t="n"/>
      <c r="AJ77" s="50" t="inlineStr">
        <is>
          <t>ADJUSTMENTS (+)</t>
        </is>
      </c>
      <c r="AK77" s="36" t="n"/>
      <c r="AL77" s="98" t="n"/>
      <c r="AM77" s="1" t="n"/>
      <c r="AN77" s="1" t="n"/>
      <c r="AO77" s="159" t="inlineStr">
        <is>
          <t>TOTAL PAYMENT</t>
        </is>
      </c>
      <c r="AP77" s="160">
        <f>AP57-AP70-AP74-AP75-AP71-AP72-AP73</f>
        <v/>
      </c>
      <c r="AQ77" s="1" t="n"/>
      <c r="AR77" s="1" t="n"/>
      <c r="AS77" s="1" t="n"/>
      <c r="AT77" s="159" t="inlineStr">
        <is>
          <t>TOTAL PAYMENT</t>
        </is>
      </c>
      <c r="AU77" s="160">
        <f>AU57-AU70-AU74-AU75-AU71-AU72-AU73</f>
        <v/>
      </c>
      <c r="AV77" s="1" t="n"/>
      <c r="AW77" s="1" t="n"/>
      <c r="AX77" s="1" t="n"/>
      <c r="AY77" s="159" t="inlineStr">
        <is>
          <t>TOTAL PAYMENT</t>
        </is>
      </c>
      <c r="AZ77" s="160">
        <f>AZ57-AZ70-AZ74-AZ75-AZ71-AZ72-AZ73</f>
        <v/>
      </c>
      <c r="BA77" s="1" t="n"/>
    </row>
    <row r="78" ht="39" customHeight="1" s="220">
      <c r="A78" s="1" t="n"/>
      <c r="B78" s="156" t="inlineStr">
        <is>
          <t>ADDITIONAL MARKETING</t>
        </is>
      </c>
      <c r="C78" s="157">
        <f>G65+K65+O65+S87+W65+AA65+AF65+AP65+AU65+AZ65</f>
        <v/>
      </c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50" t="inlineStr">
        <is>
          <t>ADJUSTMENTS (-)</t>
        </is>
      </c>
      <c r="S78" s="115">
        <f>S83+S87</f>
        <v/>
      </c>
      <c r="T78" s="98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50" t="inlineStr">
        <is>
          <t>ADJUSTMENTS (-)</t>
        </is>
      </c>
      <c r="AK78" s="116">
        <f>AK83+AK87</f>
        <v/>
      </c>
      <c r="AL78" s="102" t="inlineStr">
        <is>
          <t>MARKETING FEE &amp; MEDISAVE ADMIN</t>
        </is>
      </c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</row>
    <row r="79" ht="27.75" customHeight="1" s="220">
      <c r="A79" s="1" t="n"/>
      <c r="B79" s="161" t="inlineStr">
        <is>
          <t>DOCTORS PERSONAL DEDUCTION</t>
        </is>
      </c>
      <c r="C79" s="157">
        <f>G70+G74+G75+K70+K74+K75+O70+O74+O75+S92+S96+S97+W70+W74+W75+AA70+AA74+AA75+AF70+AF74+AF75+G71+G72+G73+K71+K72+K73+O71+O72+O73+S93+S94+S95+W71+W72+W73+AA71+AA72+AA73+AF71+AF72+AF73+AP70+AP71+AP72+AP73+AP74+AP75+AU70+AU71+AU72+AU73+AU74+AU75+AZ70+AZ71+AZ72+AZ73+AZ74+AZ75</f>
        <v/>
      </c>
      <c r="D79" s="137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50" t="inlineStr">
        <is>
          <t>NET PAY</t>
        </is>
      </c>
      <c r="S79" s="111">
        <f>S76-S78</f>
        <v/>
      </c>
      <c r="T79" s="90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50" t="inlineStr">
        <is>
          <t>NET PAY</t>
        </is>
      </c>
      <c r="AK79" s="111">
        <f>AK76-AK78</f>
        <v/>
      </c>
      <c r="AL79" s="90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</row>
    <row r="80" ht="28.5" customHeight="1" s="220">
      <c r="A80" s="1" t="n"/>
      <c r="B80" s="156" t="inlineStr">
        <is>
          <t>TOTAL</t>
        </is>
      </c>
      <c r="C80" s="162">
        <f>SUM(C77:C79)</f>
        <v/>
      </c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63" t="n"/>
      <c r="Z80" s="1" t="n"/>
      <c r="AA80" s="1" t="n"/>
      <c r="AB80" s="1" t="n"/>
      <c r="AC80" s="1" t="n"/>
      <c r="AD80" s="163" t="n"/>
      <c r="AE80" s="1" t="n"/>
      <c r="AF80" s="1" t="n"/>
      <c r="AG80" s="1" t="n"/>
      <c r="AH80" s="1" t="n"/>
      <c r="AI80" s="163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</row>
    <row r="81" ht="28.5" customHeight="1" s="220">
      <c r="A81" s="1" t="n"/>
      <c r="B81" s="164" t="inlineStr">
        <is>
          <t>TOTAL ICC-5</t>
        </is>
      </c>
      <c r="C81" s="164">
        <f>G36+K36+O36+S58+AA36+W36+AF36+AP36+AU36+AZ36</f>
        <v/>
      </c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17" t="inlineStr">
        <is>
          <t>MEDISAVE ADMIN FEE CALCULATION:</t>
        </is>
      </c>
      <c r="S81" s="1" t="n"/>
      <c r="T81" s="1" t="n"/>
      <c r="U81" s="1" t="n"/>
      <c r="V81" s="1" t="n"/>
      <c r="W81" s="1" t="n"/>
      <c r="X81" s="1" t="n"/>
      <c r="Y81" s="163" t="n"/>
      <c r="Z81" s="1" t="n"/>
      <c r="AA81" s="1" t="n"/>
      <c r="AB81" s="1" t="n"/>
      <c r="AC81" s="1" t="n"/>
      <c r="AD81" s="163" t="n"/>
      <c r="AE81" s="1" t="n"/>
      <c r="AF81" s="1" t="n"/>
      <c r="AG81" s="1" t="n"/>
      <c r="AH81" s="1" t="n"/>
      <c r="AI81" s="163" t="n"/>
      <c r="AJ81" s="117" t="inlineStr">
        <is>
          <t>MEDISAVE ADMIN FEE CALCULATION:</t>
        </is>
      </c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</row>
    <row r="82" ht="49.5" customHeight="1" s="22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63" t="n"/>
      <c r="N82" s="1" t="n"/>
      <c r="O82" s="1" t="n"/>
      <c r="P82" s="1" t="n"/>
      <c r="Q82" s="1" t="n"/>
      <c r="R82" s="118" t="inlineStr">
        <is>
          <t>Medisave Claim</t>
        </is>
      </c>
      <c r="S82" s="119" t="inlineStr">
        <is>
          <t>Admin Fee</t>
        </is>
      </c>
      <c r="T82" s="119" t="inlineStr">
        <is>
          <t>REMARKS</t>
        </is>
      </c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18" t="inlineStr">
        <is>
          <t>Medisave Claim</t>
        </is>
      </c>
      <c r="AK82" s="119" t="inlineStr">
        <is>
          <t>Admin Fee</t>
        </is>
      </c>
      <c r="AL82" s="119" t="inlineStr">
        <is>
          <t>REMARKS</t>
        </is>
      </c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</row>
    <row r="83" ht="26.25" customHeight="1" s="220">
      <c r="A83" s="1" t="n"/>
      <c r="B83" s="165" t="inlineStr">
        <is>
          <t>NURSES FEE-REVENUE</t>
        </is>
      </c>
      <c r="C83" s="166">
        <f>(C60+C61+C62)/B31</f>
        <v/>
      </c>
      <c r="D83" s="137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20" t="n"/>
      <c r="S83" s="121">
        <f>R83*20</f>
        <v/>
      </c>
      <c r="T83" s="12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20" t="n"/>
      <c r="AK83" s="121">
        <f>AJ83*20</f>
        <v/>
      </c>
      <c r="AL83" s="12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</row>
    <row r="84" ht="21" customHeight="1" s="220">
      <c r="A84" s="1" t="n"/>
      <c r="B84" s="165" t="inlineStr">
        <is>
          <t>CONSUMABLE EXCL OFFICE RENT - REVENUE</t>
        </is>
      </c>
      <c r="C84" s="166">
        <f>(C49+C46+C48)/B31</f>
        <v/>
      </c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</row>
    <row r="85" ht="21" customHeight="1" s="220">
      <c r="A85" s="1" t="n"/>
      <c r="B85" s="165" t="inlineStr">
        <is>
          <t>OFFICE RENT &amp; ADMIN STAFF - REVENUE</t>
        </is>
      </c>
      <c r="C85" s="166">
        <f>(C45/B31)</f>
        <v/>
      </c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22" t="inlineStr">
        <is>
          <t>ADDITIONAL MARKETING:</t>
        </is>
      </c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22" t="inlineStr">
        <is>
          <t>ADDITIONAL MARKETING:</t>
        </is>
      </c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</row>
    <row r="86" ht="21" customHeight="1" s="220">
      <c r="A86" s="1" t="n"/>
      <c r="B86" s="167" t="inlineStr">
        <is>
          <t>MARKETING - REVENUE</t>
        </is>
      </c>
      <c r="C86" s="166">
        <f>C50/B31</f>
        <v/>
      </c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23" t="inlineStr">
        <is>
          <t xml:space="preserve">MONTH </t>
        </is>
      </c>
      <c r="S86" s="124" t="inlineStr">
        <is>
          <t>AMOUNT</t>
        </is>
      </c>
      <c r="T86" s="124" t="inlineStr">
        <is>
          <t>REMARKS</t>
        </is>
      </c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23" t="inlineStr">
        <is>
          <t xml:space="preserve">MONTH </t>
        </is>
      </c>
      <c r="AK86" s="124" t="inlineStr">
        <is>
          <t>AMOUNT</t>
        </is>
      </c>
      <c r="AL86" s="124" t="inlineStr">
        <is>
          <t>REMARKS</t>
        </is>
      </c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</row>
    <row r="87" ht="18.75" customHeight="1" s="220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25">
        <f>R3</f>
        <v/>
      </c>
      <c r="S87" s="128" t="n"/>
      <c r="T87" s="127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25">
        <f>AJ3</f>
        <v/>
      </c>
      <c r="AK87" s="128" t="n"/>
      <c r="AL87" s="127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</row>
    <row r="88" ht="30.75" customHeight="1" s="220">
      <c r="A88" s="1" t="n"/>
      <c r="B88" s="183" t="n"/>
      <c r="C88" s="184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</row>
    <row r="89" ht="16.5" customHeight="1" s="220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22" t="inlineStr">
        <is>
          <t>OTHERS: (CPF,PERSONAL REFUND, COURSEFEE)</t>
        </is>
      </c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22" t="inlineStr">
        <is>
          <t>OTHERS: (CPF,PERSONAL REFUND, COURSEFEE)</t>
        </is>
      </c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</row>
    <row r="90" ht="30.75" customHeight="1" s="220">
      <c r="A90" s="1" t="n"/>
      <c r="B90" s="168" t="n"/>
      <c r="C90" s="169" t="n"/>
      <c r="D90" s="1" t="inlineStr">
        <is>
          <t> </t>
        </is>
      </c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22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22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</row>
    <row r="91" ht="30.75" customHeight="1" s="220">
      <c r="A91" s="1" t="n"/>
      <c r="B91" s="168" t="n"/>
      <c r="C91" s="169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34" t="inlineStr">
        <is>
          <t>DETAILS</t>
        </is>
      </c>
      <c r="S91" s="134" t="inlineStr">
        <is>
          <t>AMOUNT</t>
        </is>
      </c>
      <c r="T91" s="127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34" t="inlineStr">
        <is>
          <t>DETAILS</t>
        </is>
      </c>
      <c r="AK91" s="134" t="inlineStr">
        <is>
          <t>AMOUNT</t>
        </is>
      </c>
      <c r="AL91" s="127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</row>
    <row r="92" ht="30.75" customHeight="1" s="220">
      <c r="A92" s="1" t="n"/>
      <c r="B92" s="168" t="n"/>
      <c r="C92" s="169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34" t="n"/>
      <c r="S92" s="134" t="n"/>
      <c r="T92" s="127" t="n"/>
      <c r="U92" s="1" t="n"/>
      <c r="V92" s="1" t="n"/>
      <c r="W92" s="1" t="n"/>
      <c r="X92" s="1" t="n"/>
      <c r="Y92" s="136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inlineStr">
        <is>
          <t>feb 2191</t>
        </is>
      </c>
      <c r="AI92" s="1" t="n"/>
      <c r="AJ92" s="134" t="n"/>
      <c r="AK92" s="134" t="n"/>
      <c r="AL92" s="127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</row>
    <row r="93" ht="30.75" customHeight="1" s="220">
      <c r="A93" s="1" t="n"/>
      <c r="B93" s="168" t="n"/>
      <c r="C93" s="169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34" t="n"/>
      <c r="S93" s="134" t="n"/>
      <c r="T93" s="127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34" t="n"/>
      <c r="AK93" s="134" t="n"/>
      <c r="AL93" s="127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</row>
    <row r="94" ht="30.75" customHeight="1" s="220">
      <c r="A94" s="1" t="n"/>
      <c r="B94" s="117" t="n"/>
      <c r="C94" s="169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34" t="n"/>
      <c r="S94" s="134" t="n"/>
      <c r="T94" s="127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34" t="n"/>
      <c r="AK94" s="134" t="n"/>
      <c r="AL94" s="127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</row>
    <row r="95" ht="30.75" customHeight="1" s="220">
      <c r="A95" s="1" t="n"/>
      <c r="B95" s="117" t="n"/>
      <c r="C95" s="169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34" t="n"/>
      <c r="S95" s="134" t="n"/>
      <c r="T95" s="127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34" t="n"/>
      <c r="AK95" s="134" t="n"/>
      <c r="AL95" s="127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</row>
    <row r="96" ht="18.75" customHeight="1" s="220">
      <c r="A96" s="137" t="n"/>
      <c r="B96" s="137" t="n"/>
      <c r="C96" s="137" t="n"/>
      <c r="D96" s="137" t="n"/>
      <c r="E96" s="137" t="n"/>
      <c r="F96" s="137" t="n"/>
      <c r="G96" s="137" t="n"/>
      <c r="H96" s="137" t="n"/>
      <c r="I96" s="137" t="n"/>
      <c r="J96" s="137" t="n"/>
      <c r="K96" s="137" t="n"/>
      <c r="L96" s="137" t="n"/>
      <c r="M96" s="1" t="n"/>
      <c r="N96" s="137" t="n"/>
      <c r="O96" s="137" t="n"/>
      <c r="P96" s="137" t="n"/>
      <c r="Q96" s="137" t="n"/>
      <c r="R96" s="134" t="n"/>
      <c r="S96" s="134" t="n"/>
      <c r="T96" s="127" t="n"/>
      <c r="U96" s="137" t="n"/>
      <c r="V96" s="137" t="n"/>
      <c r="W96" s="137" t="n"/>
      <c r="X96" s="137" t="n"/>
      <c r="Y96" s="137" t="n"/>
      <c r="Z96" s="137" t="n"/>
      <c r="AA96" s="137" t="n"/>
      <c r="AB96" s="137" t="n"/>
      <c r="AC96" s="137" t="n"/>
      <c r="AD96" s="137" t="n"/>
      <c r="AE96" s="137" t="n"/>
      <c r="AF96" s="137" t="n"/>
      <c r="AG96" s="137" t="n"/>
      <c r="AH96" s="137" t="n"/>
      <c r="AI96" s="137" t="n"/>
      <c r="AJ96" s="134" t="n"/>
      <c r="AK96" s="134" t="n"/>
      <c r="AL96" s="127" t="n"/>
      <c r="AM96" s="137" t="n"/>
      <c r="AN96" s="137" t="n"/>
      <c r="AO96" s="137" t="n"/>
      <c r="AP96" s="137" t="n"/>
      <c r="AQ96" s="137" t="n"/>
      <c r="AR96" s="137" t="n"/>
      <c r="AS96" s="137" t="n"/>
      <c r="AT96" s="137" t="n"/>
      <c r="AU96" s="137" t="n"/>
      <c r="AV96" s="137" t="n"/>
      <c r="AW96" s="137" t="n"/>
      <c r="AX96" s="137" t="n"/>
      <c r="AY96" s="137" t="n"/>
      <c r="AZ96" s="137" t="n"/>
      <c r="BA96" s="137" t="n"/>
    </row>
    <row r="97" ht="41.25" customHeight="1" s="220">
      <c r="A97" s="1" t="n"/>
      <c r="B97" s="1" t="n"/>
      <c r="C97" s="2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37" t="n"/>
      <c r="N97" s="1" t="n"/>
      <c r="O97" s="1" t="n"/>
      <c r="P97" s="1" t="n"/>
      <c r="Q97" s="1" t="n"/>
      <c r="R97" s="134" t="n"/>
      <c r="S97" s="134" t="n"/>
      <c r="T97" s="127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34" t="n"/>
      <c r="AK97" s="134" t="n"/>
      <c r="AL97" s="127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</row>
    <row r="98" ht="18.75" customHeight="1" s="220">
      <c r="A98" s="1" t="n"/>
      <c r="B98" s="1" t="n"/>
      <c r="C98" s="2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54" t="n"/>
      <c r="S98" s="154" t="n"/>
      <c r="T98" s="155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54" t="n"/>
      <c r="AK98" s="154" t="n"/>
      <c r="AL98" s="155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</row>
    <row r="99" ht="30.75" customHeight="1" s="220">
      <c r="A99" s="1" t="n"/>
      <c r="B99" s="1" t="n"/>
      <c r="C99" s="2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59" t="inlineStr">
        <is>
          <t>TOTAL CHEQUE AMOUNT</t>
        </is>
      </c>
      <c r="S99" s="160">
        <f>S79-S92-S96-S97-S93-S94-S95</f>
        <v/>
      </c>
      <c r="T99" s="2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59" t="inlineStr">
        <is>
          <t>TOTAL CHEQUE AMOUNT</t>
        </is>
      </c>
      <c r="AK99" s="160">
        <f>AK79-AK92-AK96-AK97-AK93-AK94-AK95</f>
        <v/>
      </c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</row>
    <row r="100" ht="16.5" customHeight="1" s="220">
      <c r="A100" s="1" t="n"/>
      <c r="B100" s="1" t="n"/>
      <c r="C100" s="2" t="n"/>
      <c r="D100" s="1" t="n"/>
      <c r="E100" s="1" t="n"/>
      <c r="F100" s="137" t="n"/>
      <c r="G100" s="137" t="n"/>
      <c r="H100" s="137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</row>
    <row r="101" ht="16.5" customHeight="1" s="220">
      <c r="A101" s="1" t="n"/>
      <c r="B101" s="1" t="n"/>
      <c r="C101" s="2" t="n"/>
      <c r="D101" s="1" t="n"/>
      <c r="E101" s="2" t="n"/>
      <c r="F101" s="1" t="n"/>
      <c r="G101" s="1" t="n"/>
      <c r="H101" s="137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</row>
    <row r="102" ht="16.5" customHeight="1" s="220">
      <c r="A102" s="1" t="n"/>
      <c r="B102" s="1" t="n"/>
      <c r="C102" s="2" t="n"/>
      <c r="D102" s="1" t="n"/>
      <c r="E102" s="1" t="n"/>
      <c r="F102" s="1" t="n"/>
      <c r="G102" s="1" t="n"/>
      <c r="H102" s="137" t="n"/>
      <c r="I102" s="1" t="n"/>
      <c r="J102" s="1" t="n"/>
      <c r="K102" s="1" t="n"/>
      <c r="L102" s="137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</row>
    <row r="103" ht="16.5" customHeight="1" s="220">
      <c r="A103" s="137" t="n"/>
      <c r="B103" s="1" t="n"/>
      <c r="C103" s="2" t="n"/>
      <c r="D103" s="1" t="n"/>
      <c r="E103" s="137" t="n"/>
      <c r="F103" s="1" t="n"/>
      <c r="G103" s="1" t="n"/>
      <c r="H103" s="137" t="n"/>
      <c r="I103" s="1" t="n"/>
      <c r="J103" s="137" t="n"/>
      <c r="K103" s="137" t="n"/>
      <c r="L103" s="137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</row>
    <row r="104" ht="16.5" customHeight="1" s="220">
      <c r="A104" s="1" t="n"/>
      <c r="B104" s="1" t="n"/>
      <c r="C104" s="2" t="n"/>
      <c r="D104" s="1" t="n"/>
      <c r="E104" s="1" t="n"/>
      <c r="F104" s="1" t="n"/>
      <c r="G104" s="1" t="n"/>
      <c r="H104" s="137" t="n"/>
      <c r="I104" s="1" t="n"/>
      <c r="J104" s="1" t="n"/>
      <c r="K104" s="1" t="n"/>
      <c r="L104" s="137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</row>
    <row r="105" ht="16.5" customHeight="1" s="220">
      <c r="A105" s="1" t="n"/>
      <c r="B105" s="1" t="n"/>
      <c r="C105" s="2" t="n"/>
      <c r="D105" s="1" t="n"/>
      <c r="E105" s="1" t="n"/>
      <c r="F105" s="137" t="n"/>
      <c r="G105" s="137" t="n"/>
      <c r="H105" s="137" t="n"/>
      <c r="I105" s="1" t="n"/>
      <c r="J105" s="1" t="n"/>
      <c r="K105" s="1" t="n"/>
      <c r="L105" s="137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</row>
    <row r="106" ht="16.5" customHeight="1" s="220">
      <c r="A106" s="1" t="n"/>
      <c r="B106" s="1" t="n"/>
      <c r="C106" s="2" t="n"/>
      <c r="D106" s="1" t="n"/>
      <c r="E106" s="1" t="n"/>
      <c r="F106" s="1" t="n"/>
      <c r="G106" s="1" t="n"/>
      <c r="H106" s="137" t="n"/>
      <c r="I106" s="1" t="n"/>
      <c r="J106" s="1" t="n"/>
      <c r="K106" s="1" t="n"/>
      <c r="L106" s="137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</row>
    <row r="107" ht="16.5" customHeight="1" s="220">
      <c r="A107" s="137" t="n"/>
      <c r="B107" s="1" t="n"/>
      <c r="C107" s="2" t="n"/>
      <c r="D107" s="1" t="n"/>
      <c r="E107" s="137" t="n"/>
      <c r="F107" s="1" t="n"/>
      <c r="G107" s="1" t="n"/>
      <c r="H107" s="137" t="n"/>
      <c r="I107" s="1" t="n"/>
      <c r="J107" s="137" t="n"/>
      <c r="K107" s="137" t="n"/>
      <c r="L107" s="137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</row>
    <row r="108" ht="16.5" customHeight="1" s="220">
      <c r="A108" s="1" t="n"/>
      <c r="B108" s="1" t="n"/>
      <c r="C108" s="2" t="n"/>
      <c r="D108" s="1" t="n"/>
      <c r="E108" s="1" t="n"/>
      <c r="F108" s="137" t="n"/>
      <c r="G108" s="137" t="n"/>
      <c r="H108" s="137" t="n"/>
      <c r="I108" s="1" t="n"/>
      <c r="J108" s="1" t="n"/>
      <c r="K108" s="1" t="n"/>
      <c r="L108" s="137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</row>
    <row r="109" ht="16.5" customHeight="1" s="220">
      <c r="A109" s="1" t="n"/>
      <c r="B109" s="1" t="n"/>
      <c r="C109" s="2" t="n"/>
      <c r="D109" s="1" t="n"/>
      <c r="E109" s="137" t="n"/>
      <c r="F109" s="1" t="n"/>
      <c r="G109" s="1" t="n"/>
      <c r="H109" s="137" t="n"/>
      <c r="I109" s="1" t="n"/>
      <c r="J109" s="1" t="n"/>
      <c r="K109" s="1" t="n"/>
      <c r="L109" s="137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</row>
    <row r="110" ht="16.5" customHeight="1" s="220">
      <c r="A110" s="1" t="n"/>
      <c r="B110" s="1" t="n"/>
      <c r="C110" s="2" t="n"/>
      <c r="D110" s="1" t="n"/>
      <c r="E110" s="1" t="n"/>
      <c r="F110" s="1" t="n"/>
      <c r="G110" s="1" t="n"/>
      <c r="H110" s="137" t="n"/>
      <c r="I110" s="1" t="n"/>
      <c r="J110" s="1" t="n"/>
      <c r="K110" s="1" t="n"/>
      <c r="L110" s="137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</row>
    <row r="111" ht="16.5" customHeight="1" s="220">
      <c r="A111" s="137" t="n"/>
      <c r="B111" s="1" t="n"/>
      <c r="C111" s="2" t="n"/>
      <c r="D111" s="1" t="n"/>
      <c r="E111" s="1" t="n"/>
      <c r="F111" s="1" t="n"/>
      <c r="G111" s="1" t="n"/>
      <c r="H111" s="137" t="n"/>
      <c r="I111" s="1" t="n"/>
      <c r="J111" s="1" t="n"/>
      <c r="K111" s="1" t="n"/>
      <c r="L111" s="137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</row>
    <row r="112" ht="16.5" customHeight="1" s="220">
      <c r="A112" s="1" t="n"/>
      <c r="B112" s="1" t="n"/>
      <c r="C112" s="1" t="n"/>
      <c r="D112" s="1" t="n"/>
      <c r="E112" s="1" t="n"/>
      <c r="F112" s="137" t="n"/>
      <c r="G112" s="137" t="n"/>
      <c r="H112" s="137" t="n"/>
      <c r="I112" s="1" t="n"/>
      <c r="J112" s="137" t="n"/>
      <c r="K112" s="137" t="n"/>
      <c r="L112" s="137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</row>
    <row r="113" ht="16.5" customHeight="1" s="220">
      <c r="A113" s="1" t="n"/>
      <c r="B113" s="1" t="n"/>
      <c r="C113" s="137" t="n"/>
      <c r="D113" s="137" t="n"/>
      <c r="E113" s="137" t="n"/>
      <c r="F113" s="1" t="n"/>
      <c r="G113" s="1" t="n"/>
      <c r="H113" s="137" t="n"/>
      <c r="I113" s="1" t="n"/>
      <c r="J113" s="1" t="n"/>
      <c r="K113" s="1" t="n"/>
      <c r="L113" s="137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</row>
    <row r="114" ht="16.5" customHeight="1" s="220">
      <c r="A114" s="1" t="n"/>
      <c r="B114" s="1" t="n"/>
      <c r="C114" s="1" t="n"/>
      <c r="D114" s="1" t="n"/>
      <c r="E114" s="1" t="n"/>
      <c r="F114" s="1" t="n"/>
      <c r="G114" s="1" t="n"/>
      <c r="H114" s="137" t="n"/>
      <c r="I114" s="1" t="n"/>
      <c r="J114" s="1" t="n"/>
      <c r="K114" s="1" t="n"/>
      <c r="L114" s="137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</row>
    <row r="115" ht="16.5" customHeight="1" s="220">
      <c r="A115" s="137" t="n"/>
      <c r="B115" s="137" t="n"/>
      <c r="C115" s="137" t="n"/>
      <c r="D115" s="1" t="n"/>
      <c r="E115" s="1" t="n"/>
      <c r="F115" s="1" t="n"/>
      <c r="G115" s="1" t="n"/>
      <c r="H115" s="137" t="n"/>
      <c r="I115" s="1" t="n"/>
      <c r="J115" s="1" t="n"/>
      <c r="K115" s="1" t="n"/>
      <c r="L115" s="137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</row>
    <row r="116" ht="16.5" customHeight="1" s="220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</row>
    <row r="117" ht="16.5" customHeight="1" s="220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</row>
    <row r="118" ht="16.5" customHeight="1" s="220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</row>
    <row r="119" ht="16.5" customHeight="1" s="220">
      <c r="A119" s="137" t="n"/>
      <c r="B119" s="137" t="n"/>
      <c r="C119" s="137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</row>
    <row r="120" ht="16.5" customHeight="1" s="2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</row>
    <row r="121" ht="16.5" customHeight="1" s="220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</row>
    <row r="122" ht="16.5" customHeight="1" s="220">
      <c r="A122" s="137" t="n"/>
      <c r="B122" s="137" t="n"/>
      <c r="C122" s="137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</row>
    <row r="123" ht="16.5" customHeight="1" s="220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</row>
    <row r="124" ht="16.5" customHeight="1" s="220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</row>
    <row r="125" ht="16.5" customHeight="1" s="220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</row>
    <row r="126" ht="16.5" customHeight="1" s="220">
      <c r="A126" s="137" t="n"/>
      <c r="B126" s="137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</row>
    <row r="127" ht="16.5" customHeight="1" s="220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</row>
    <row r="128" ht="16.5" customHeight="1" s="220">
      <c r="A128" s="1" t="n"/>
      <c r="B128" s="1" t="n"/>
      <c r="C128" s="137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</row>
    <row r="129" ht="16.5" customHeight="1" s="220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</row>
    <row r="130" ht="16.5" customHeight="1" s="220">
      <c r="A130" s="137" t="n"/>
      <c r="B130" s="137" t="n"/>
      <c r="C130" s="137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</row>
    <row r="131" ht="16.5" customHeight="1" s="220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</row>
    <row r="132" ht="16.5" customHeight="1" s="220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</row>
    <row r="133" ht="16.5" customHeight="1" s="220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</row>
    <row r="134" ht="16.5" customHeight="1" s="220">
      <c r="A134" s="1" t="n"/>
      <c r="B134" s="1" t="n"/>
      <c r="C134" s="2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</row>
    <row r="135" ht="16.5" customHeight="1" s="220">
      <c r="A135" s="1" t="n"/>
      <c r="B135" s="1" t="n"/>
      <c r="C135" s="2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</row>
    <row r="136" ht="16.5" customHeight="1" s="220">
      <c r="A136" s="1" t="n"/>
      <c r="B136" s="1" t="n"/>
      <c r="C136" s="2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</row>
    <row r="137" ht="16.5" customHeight="1" s="220">
      <c r="A137" s="1" t="n"/>
      <c r="B137" s="1" t="n"/>
      <c r="C137" s="2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</row>
    <row r="138" ht="16.5" customHeight="1" s="220">
      <c r="A138" s="1" t="n"/>
      <c r="B138" s="1" t="n"/>
      <c r="C138" s="2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</row>
    <row r="139" ht="16.5" customHeight="1" s="220">
      <c r="A139" s="1" t="n"/>
      <c r="B139" s="1" t="n"/>
      <c r="C139" s="2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</row>
    <row r="140" ht="16.5" customHeight="1" s="220">
      <c r="A140" s="1" t="n"/>
      <c r="B140" s="1" t="n"/>
      <c r="C140" s="2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</row>
    <row r="141" ht="16.5" customHeight="1" s="220">
      <c r="A141" s="1" t="n"/>
      <c r="B141" s="1" t="n"/>
      <c r="C141" s="2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</row>
    <row r="142" ht="16.5" customHeight="1" s="220">
      <c r="A142" s="1" t="n"/>
      <c r="B142" s="1" t="n"/>
      <c r="C142" s="2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</row>
    <row r="143" ht="16.5" customHeight="1" s="220">
      <c r="A143" s="1" t="n"/>
      <c r="B143" s="1" t="n"/>
      <c r="C143" s="2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</row>
    <row r="144" ht="16.5" customHeight="1" s="220">
      <c r="A144" s="1" t="n"/>
      <c r="B144" s="1" t="n"/>
      <c r="C144" s="2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</row>
    <row r="145" ht="16.5" customHeight="1" s="220">
      <c r="A145" s="1" t="n"/>
      <c r="B145" s="1" t="n"/>
      <c r="C145" s="2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</row>
    <row r="146" ht="16.5" customHeight="1" s="220">
      <c r="A146" s="1" t="n"/>
      <c r="B146" s="1" t="n"/>
      <c r="C146" s="2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</row>
    <row r="147" ht="16.5" customHeight="1" s="220">
      <c r="A147" s="1" t="n"/>
      <c r="B147" s="1" t="n"/>
      <c r="C147" s="2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</row>
    <row r="148" ht="16.5" customHeight="1" s="220">
      <c r="A148" s="1" t="n"/>
      <c r="B148" s="1" t="n"/>
      <c r="C148" s="2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</row>
    <row r="149" ht="16.5" customHeight="1" s="220">
      <c r="A149" s="1" t="n"/>
      <c r="B149" s="1" t="n"/>
      <c r="C149" s="2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</row>
    <row r="150" ht="16.5" customHeight="1" s="220">
      <c r="A150" s="1" t="n"/>
      <c r="B150" s="1" t="n"/>
      <c r="C150" s="2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</row>
    <row r="151" ht="16.5" customHeight="1" s="220">
      <c r="A151" s="1" t="n"/>
      <c r="B151" s="1" t="n"/>
      <c r="C151" s="2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</row>
    <row r="152" ht="16.5" customHeight="1" s="220">
      <c r="A152" s="1" t="n"/>
      <c r="B152" s="1" t="n"/>
      <c r="C152" s="2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</row>
    <row r="153" ht="16.5" customHeight="1" s="220">
      <c r="A153" s="1" t="n"/>
      <c r="B153" s="1" t="n"/>
      <c r="C153" s="2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</row>
    <row r="154" ht="16.5" customHeight="1" s="220">
      <c r="A154" s="1" t="n"/>
      <c r="B154" s="1" t="n"/>
      <c r="C154" s="2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</row>
    <row r="155" ht="16.5" customHeight="1" s="220">
      <c r="A155" s="1" t="n"/>
      <c r="B155" s="1" t="n"/>
      <c r="C155" s="2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</row>
    <row r="156" ht="16.5" customHeight="1" s="220">
      <c r="A156" s="1" t="n"/>
      <c r="B156" s="1" t="n"/>
      <c r="C156" s="2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</row>
    <row r="157" ht="16.5" customHeight="1" s="220">
      <c r="A157" s="1" t="n"/>
      <c r="B157" s="1" t="n"/>
      <c r="C157" s="2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</row>
    <row r="158" ht="16.5" customHeight="1" s="220">
      <c r="A158" s="1" t="n"/>
      <c r="B158" s="1" t="n"/>
      <c r="C158" s="2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  <c r="BA158" s="1" t="n"/>
    </row>
    <row r="159" ht="16.5" customHeight="1" s="220">
      <c r="A159" s="1" t="n"/>
      <c r="B159" s="1" t="n"/>
      <c r="C159" s="2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</row>
    <row r="160" ht="16.5" customHeight="1" s="220">
      <c r="A160" s="1" t="n"/>
      <c r="B160" s="1" t="n"/>
      <c r="C160" s="2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</row>
    <row r="161" ht="16.5" customHeight="1" s="220">
      <c r="A161" s="1" t="n"/>
      <c r="B161" s="1" t="n"/>
      <c r="C161" s="2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</row>
    <row r="162" ht="16.5" customHeight="1" s="220">
      <c r="A162" s="1" t="n"/>
      <c r="B162" s="1" t="n"/>
      <c r="C162" s="2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</row>
    <row r="163" ht="16.5" customHeight="1" s="220">
      <c r="A163" s="1" t="n"/>
      <c r="B163" s="1" t="n"/>
      <c r="C163" s="2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</row>
    <row r="164" ht="16.5" customHeight="1" s="220">
      <c r="A164" s="1" t="n"/>
      <c r="B164" s="1" t="n"/>
      <c r="C164" s="2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</row>
    <row r="165" ht="16.5" customHeight="1" s="220">
      <c r="A165" s="1" t="n"/>
      <c r="B165" s="1" t="n"/>
      <c r="C165" s="2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</row>
    <row r="166" ht="16.5" customHeight="1" s="220">
      <c r="A166" s="1" t="n"/>
      <c r="B166" s="1" t="n"/>
      <c r="C166" s="2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</row>
    <row r="167" ht="16.5" customHeight="1" s="220">
      <c r="A167" s="1" t="n"/>
      <c r="B167" s="1" t="n"/>
      <c r="C167" s="2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</row>
    <row r="168" ht="16.5" customHeight="1" s="220">
      <c r="A168" s="1" t="n"/>
      <c r="B168" s="1" t="n"/>
      <c r="C168" s="2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1" t="n"/>
    </row>
    <row r="169" ht="16.5" customHeight="1" s="220">
      <c r="A169" s="1" t="n"/>
      <c r="B169" s="1" t="n"/>
      <c r="C169" s="2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</row>
    <row r="170" ht="16.5" customHeight="1" s="220">
      <c r="A170" s="1" t="n"/>
      <c r="B170" s="1" t="n"/>
      <c r="C170" s="2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</row>
    <row r="171" ht="16.5" customHeight="1" s="220">
      <c r="A171" s="1" t="n"/>
      <c r="B171" s="1" t="n"/>
      <c r="C171" s="2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1" t="n"/>
    </row>
    <row r="172" ht="16.5" customHeight="1" s="220">
      <c r="A172" s="1" t="n"/>
      <c r="B172" s="1" t="n"/>
      <c r="C172" s="2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</row>
    <row r="173" ht="16.5" customHeight="1" s="220">
      <c r="A173" s="1" t="n"/>
      <c r="B173" s="1" t="n"/>
      <c r="C173" s="2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</row>
    <row r="174" ht="16.5" customHeight="1" s="220">
      <c r="A174" s="1" t="n"/>
      <c r="B174" s="1" t="n"/>
      <c r="C174" s="2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</row>
    <row r="175" ht="16.5" customHeight="1" s="220">
      <c r="A175" s="1" t="n"/>
      <c r="B175" s="1" t="n"/>
      <c r="C175" s="2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</row>
    <row r="176" ht="16.5" customHeight="1" s="220">
      <c r="A176" s="1" t="n"/>
      <c r="B176" s="1" t="n"/>
      <c r="C176" s="2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</row>
    <row r="177" ht="16.5" customHeight="1" s="220">
      <c r="A177" s="1" t="n"/>
      <c r="B177" s="1" t="n"/>
      <c r="C177" s="2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</row>
    <row r="178" ht="16.5" customHeight="1" s="220">
      <c r="A178" s="1" t="n"/>
      <c r="B178" s="1" t="n"/>
      <c r="C178" s="2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</row>
    <row r="179" ht="16.5" customHeight="1" s="220">
      <c r="A179" s="1" t="n"/>
      <c r="B179" s="1" t="n"/>
      <c r="C179" s="2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</row>
    <row r="180" ht="16.5" customHeight="1" s="220">
      <c r="A180" s="1" t="n"/>
      <c r="B180" s="1" t="n"/>
      <c r="C180" s="2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</row>
    <row r="181" ht="16.5" customHeight="1" s="220">
      <c r="A181" s="1" t="n"/>
      <c r="B181" s="1" t="n"/>
      <c r="C181" s="2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</row>
    <row r="182" ht="16.5" customHeight="1" s="220">
      <c r="A182" s="1" t="n"/>
      <c r="B182" s="1" t="n"/>
      <c r="C182" s="2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</row>
    <row r="183" ht="16.5" customHeight="1" s="220">
      <c r="A183" s="1" t="n"/>
      <c r="B183" s="1" t="n"/>
      <c r="C183" s="2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</row>
    <row r="184" ht="16.5" customHeight="1" s="220">
      <c r="A184" s="1" t="n"/>
      <c r="B184" s="1" t="n"/>
      <c r="C184" s="2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</row>
    <row r="185" ht="16.5" customHeight="1" s="220">
      <c r="A185" s="1" t="n"/>
      <c r="B185" s="1" t="n"/>
      <c r="C185" s="2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</row>
    <row r="186" ht="16.5" customHeight="1" s="220">
      <c r="A186" s="1" t="n"/>
      <c r="B186" s="1" t="n"/>
      <c r="C186" s="2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</row>
    <row r="187" ht="16.5" customHeight="1" s="220">
      <c r="A187" s="1" t="n"/>
      <c r="B187" s="1" t="n"/>
      <c r="C187" s="2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</row>
    <row r="188" ht="16.5" customHeight="1" s="220">
      <c r="A188" s="1" t="n"/>
      <c r="B188" s="1" t="n"/>
      <c r="C188" s="2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</row>
    <row r="189" ht="16.5" customHeight="1" s="220">
      <c r="A189" s="1" t="n"/>
      <c r="B189" s="1" t="n"/>
      <c r="C189" s="2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</row>
    <row r="190" ht="16.5" customHeight="1" s="220">
      <c r="A190" s="1" t="n"/>
      <c r="B190" s="1" t="n"/>
      <c r="C190" s="2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</row>
    <row r="191" ht="16.5" customHeight="1" s="220">
      <c r="A191" s="1" t="n"/>
      <c r="B191" s="1" t="n"/>
      <c r="C191" s="2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</row>
    <row r="192" ht="16.5" customHeight="1" s="220">
      <c r="A192" s="1" t="n"/>
      <c r="B192" s="1" t="n"/>
      <c r="C192" s="2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</row>
    <row r="193" ht="16.5" customHeight="1" s="220">
      <c r="A193" s="1" t="n"/>
      <c r="B193" s="1" t="n"/>
      <c r="C193" s="2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</row>
    <row r="194" ht="16.5" customHeight="1" s="220">
      <c r="A194" s="1" t="n"/>
      <c r="B194" s="1" t="n"/>
      <c r="C194" s="2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1" t="n"/>
    </row>
    <row r="195" ht="16.5" customHeight="1" s="220">
      <c r="A195" s="1" t="n"/>
      <c r="B195" s="1" t="n"/>
      <c r="C195" s="2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</row>
    <row r="196" ht="16.5" customHeight="1" s="220">
      <c r="A196" s="1" t="n"/>
      <c r="B196" s="1" t="n"/>
      <c r="C196" s="2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</row>
    <row r="197" ht="16.5" customHeight="1" s="220">
      <c r="A197" s="1" t="n"/>
      <c r="B197" s="1" t="n"/>
      <c r="C197" s="2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</row>
    <row r="198" ht="16.5" customHeight="1" s="220">
      <c r="A198" s="1" t="n"/>
      <c r="B198" s="1" t="n"/>
      <c r="C198" s="2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</row>
    <row r="199" ht="16.5" customHeight="1" s="220">
      <c r="A199" s="1" t="n"/>
      <c r="B199" s="1" t="n"/>
      <c r="C199" s="2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</row>
    <row r="200" ht="16.5" customHeight="1" s="220">
      <c r="A200" s="1" t="n"/>
      <c r="B200" s="1" t="n"/>
      <c r="C200" s="2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</row>
    <row r="201" ht="16.5" customHeight="1" s="220">
      <c r="A201" s="1" t="n"/>
      <c r="B201" s="1" t="n"/>
      <c r="C201" s="2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  <c r="BA201" s="1" t="n"/>
    </row>
    <row r="202" ht="16.5" customHeight="1" s="220">
      <c r="A202" s="1" t="n"/>
      <c r="B202" s="1" t="n"/>
      <c r="C202" s="2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  <c r="BA202" s="1" t="n"/>
    </row>
    <row r="203" ht="16.5" customHeight="1" s="220">
      <c r="A203" s="1" t="n"/>
      <c r="B203" s="1" t="n"/>
      <c r="C203" s="2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  <c r="BA203" s="1" t="n"/>
    </row>
    <row r="204" ht="16.5" customHeight="1" s="220">
      <c r="A204" s="1" t="n"/>
      <c r="B204" s="1" t="n"/>
      <c r="C204" s="2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  <c r="BA204" s="1" t="n"/>
    </row>
    <row r="205" ht="16.5" customHeight="1" s="220">
      <c r="A205" s="1" t="n"/>
      <c r="B205" s="1" t="n"/>
      <c r="C205" s="2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  <c r="BA205" s="1" t="n"/>
    </row>
    <row r="206" ht="16.5" customHeight="1" s="220">
      <c r="A206" s="1" t="n"/>
      <c r="B206" s="1" t="n"/>
      <c r="C206" s="2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  <c r="BA206" s="1" t="n"/>
    </row>
    <row r="207" ht="16.5" customHeight="1" s="220">
      <c r="A207" s="1" t="n"/>
      <c r="B207" s="1" t="n"/>
      <c r="C207" s="2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  <c r="BA207" s="1" t="n"/>
    </row>
    <row r="208" ht="16.5" customHeight="1" s="220">
      <c r="A208" s="1" t="n"/>
      <c r="B208" s="1" t="n"/>
      <c r="C208" s="2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  <c r="BA208" s="1" t="n"/>
    </row>
    <row r="209" ht="16.5" customHeight="1" s="220">
      <c r="A209" s="1" t="n"/>
      <c r="B209" s="1" t="n"/>
      <c r="C209" s="2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  <c r="BA209" s="1" t="n"/>
    </row>
    <row r="210" ht="16.5" customHeight="1" s="220">
      <c r="A210" s="1" t="n"/>
      <c r="B210" s="1" t="n"/>
      <c r="C210" s="2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  <c r="BA210" s="1" t="n"/>
    </row>
    <row r="211" ht="16.5" customHeight="1" s="220">
      <c r="A211" s="1" t="n"/>
      <c r="B211" s="1" t="n"/>
      <c r="C211" s="2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  <c r="BA211" s="1" t="n"/>
    </row>
    <row r="212" ht="16.5" customHeight="1" s="220">
      <c r="A212" s="1" t="n"/>
      <c r="B212" s="1" t="n"/>
      <c r="C212" s="2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  <c r="BA212" s="1" t="n"/>
    </row>
    <row r="213" ht="16.5" customHeight="1" s="220">
      <c r="A213" s="1" t="n"/>
      <c r="B213" s="1" t="n"/>
      <c r="C213" s="2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  <c r="BA213" s="1" t="n"/>
    </row>
    <row r="214" ht="16.5" customHeight="1" s="220">
      <c r="A214" s="1" t="n"/>
      <c r="B214" s="1" t="n"/>
      <c r="C214" s="2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  <c r="BA214" s="1" t="n"/>
    </row>
    <row r="215" ht="16.5" customHeight="1" s="220">
      <c r="A215" s="1" t="n"/>
      <c r="B215" s="1" t="n"/>
      <c r="C215" s="2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  <c r="BA215" s="1" t="n"/>
    </row>
    <row r="216" ht="16.5" customHeight="1" s="220">
      <c r="A216" s="1" t="n"/>
      <c r="B216" s="1" t="n"/>
      <c r="C216" s="2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  <c r="BA216" s="1" t="n"/>
    </row>
    <row r="217" ht="16.5" customHeight="1" s="220">
      <c r="A217" s="1" t="n"/>
      <c r="B217" s="1" t="n"/>
      <c r="C217" s="2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  <c r="BA217" s="1" t="n"/>
    </row>
    <row r="218" ht="16.5" customHeight="1" s="220">
      <c r="A218" s="1" t="n"/>
      <c r="B218" s="1" t="n"/>
      <c r="C218" s="2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  <c r="BA218" s="1" t="n"/>
    </row>
    <row r="219" ht="16.5" customHeight="1" s="220">
      <c r="A219" s="1" t="n"/>
      <c r="B219" s="1" t="n"/>
      <c r="C219" s="2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  <c r="BA219" s="1" t="n"/>
    </row>
    <row r="220" ht="16.5" customHeight="1" s="220">
      <c r="A220" s="1" t="n"/>
      <c r="B220" s="1" t="n"/>
      <c r="C220" s="2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  <c r="BA220" s="1" t="n"/>
    </row>
    <row r="221" ht="16.5" customHeight="1" s="220">
      <c r="A221" s="1" t="n"/>
      <c r="B221" s="1" t="n"/>
      <c r="C221" s="2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  <c r="BA221" s="1" t="n"/>
    </row>
    <row r="222" ht="16.5" customHeight="1" s="220">
      <c r="A222" s="1" t="n"/>
      <c r="B222" s="1" t="n"/>
      <c r="C222" s="2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  <c r="BA222" s="1" t="n"/>
    </row>
    <row r="223" ht="16.5" customHeight="1" s="220">
      <c r="A223" s="1" t="n"/>
      <c r="B223" s="1" t="n"/>
      <c r="C223" s="2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  <c r="BA223" s="1" t="n"/>
    </row>
    <row r="224" ht="16.5" customHeight="1" s="220">
      <c r="A224" s="1" t="n"/>
      <c r="B224" s="1" t="n"/>
      <c r="C224" s="2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  <c r="BA224" s="1" t="n"/>
    </row>
    <row r="225" ht="16.5" customHeight="1" s="220">
      <c r="A225" s="1" t="n"/>
      <c r="B225" s="1" t="n"/>
      <c r="C225" s="2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  <c r="BA225" s="1" t="n"/>
    </row>
    <row r="226" ht="16.5" customHeight="1" s="220">
      <c r="A226" s="1" t="n"/>
      <c r="B226" s="1" t="n"/>
      <c r="C226" s="2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  <c r="AZ226" s="1" t="n"/>
      <c r="BA226" s="1" t="n"/>
    </row>
    <row r="227" ht="16.5" customHeight="1" s="220">
      <c r="A227" s="1" t="n"/>
      <c r="B227" s="1" t="n"/>
      <c r="C227" s="2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  <c r="BA227" s="1" t="n"/>
    </row>
    <row r="228" ht="16.5" customHeight="1" s="220">
      <c r="A228" s="1" t="n"/>
      <c r="B228" s="1" t="n"/>
      <c r="C228" s="2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  <c r="AZ228" s="1" t="n"/>
      <c r="BA228" s="1" t="n"/>
    </row>
    <row r="229" ht="16.5" customHeight="1" s="220">
      <c r="A229" s="1" t="n"/>
      <c r="B229" s="1" t="n"/>
      <c r="C229" s="2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  <c r="BA229" s="1" t="n"/>
    </row>
    <row r="230" ht="16.5" customHeight="1" s="220">
      <c r="A230" s="1" t="n"/>
      <c r="B230" s="1" t="n"/>
      <c r="C230" s="2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  <c r="AZ230" s="1" t="n"/>
      <c r="BA230" s="1" t="n"/>
    </row>
    <row r="231" ht="16.5" customHeight="1" s="220">
      <c r="A231" s="1" t="n"/>
      <c r="B231" s="1" t="n"/>
      <c r="C231" s="2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  <c r="BA231" s="1" t="n"/>
    </row>
    <row r="232" ht="16.5" customHeight="1" s="220">
      <c r="A232" s="1" t="n"/>
      <c r="B232" s="1" t="n"/>
      <c r="C232" s="2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  <c r="AZ232" s="1" t="n"/>
      <c r="BA232" s="1" t="n"/>
    </row>
    <row r="233" ht="16.5" customHeight="1" s="220">
      <c r="A233" s="1" t="n"/>
      <c r="B233" s="1" t="n"/>
      <c r="C233" s="2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  <c r="BA233" s="1" t="n"/>
    </row>
    <row r="234" ht="16.5" customHeight="1" s="220">
      <c r="A234" s="1" t="n"/>
      <c r="B234" s="1" t="n"/>
      <c r="C234" s="2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  <c r="AY234" s="1" t="n"/>
      <c r="AZ234" s="1" t="n"/>
      <c r="BA234" s="1" t="n"/>
    </row>
    <row r="235" ht="16.5" customHeight="1" s="220">
      <c r="A235" s="1" t="n"/>
      <c r="B235" s="1" t="n"/>
      <c r="C235" s="2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  <c r="AZ235" s="1" t="n"/>
      <c r="BA235" s="1" t="n"/>
    </row>
    <row r="236" ht="16.5" customHeight="1" s="220">
      <c r="A236" s="1" t="n"/>
      <c r="B236" s="1" t="n"/>
      <c r="C236" s="2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  <c r="AY236" s="1" t="n"/>
      <c r="AZ236" s="1" t="n"/>
      <c r="BA236" s="1" t="n"/>
    </row>
    <row r="237" ht="16.5" customHeight="1" s="220">
      <c r="A237" s="1" t="n"/>
      <c r="B237" s="1" t="n"/>
      <c r="C237" s="2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  <c r="BA237" s="1" t="n"/>
    </row>
    <row r="238" ht="16.5" customHeight="1" s="220">
      <c r="A238" s="1" t="n"/>
      <c r="B238" s="1" t="n"/>
      <c r="C238" s="2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  <c r="AZ238" s="1" t="n"/>
      <c r="BA238" s="1" t="n"/>
    </row>
    <row r="239" ht="16.5" customHeight="1" s="220">
      <c r="A239" s="1" t="n"/>
      <c r="B239" s="1" t="n"/>
      <c r="C239" s="2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  <c r="AZ239" s="1" t="n"/>
      <c r="BA239" s="1" t="n"/>
    </row>
    <row r="240" ht="16.5" customHeight="1" s="220">
      <c r="A240" s="1" t="n"/>
      <c r="B240" s="1" t="n"/>
      <c r="C240" s="2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</row>
    <row r="241" ht="16.5" customHeight="1" s="220">
      <c r="A241" s="1" t="n"/>
      <c r="B241" s="1" t="n"/>
      <c r="C241" s="2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  <c r="AZ241" s="1" t="n"/>
      <c r="BA241" s="1" t="n"/>
    </row>
    <row r="242" ht="16.5" customHeight="1" s="220">
      <c r="A242" s="1" t="n"/>
      <c r="B242" s="1" t="n"/>
      <c r="C242" s="2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  <c r="BA242" s="1" t="n"/>
    </row>
    <row r="243" ht="16.5" customHeight="1" s="220">
      <c r="A243" s="1" t="n"/>
      <c r="B243" s="1" t="n"/>
      <c r="C243" s="2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  <c r="AZ243" s="1" t="n"/>
      <c r="BA243" s="1" t="n"/>
    </row>
    <row r="244" ht="16.5" customHeight="1" s="220">
      <c r="A244" s="1" t="n"/>
      <c r="B244" s="1" t="n"/>
      <c r="C244" s="2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  <c r="AY244" s="1" t="n"/>
      <c r="AZ244" s="1" t="n"/>
      <c r="BA244" s="1" t="n"/>
    </row>
    <row r="245" ht="16.5" customHeight="1" s="220">
      <c r="A245" s="1" t="n"/>
      <c r="B245" s="1" t="n"/>
      <c r="C245" s="2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  <c r="AZ245" s="1" t="n"/>
      <c r="BA245" s="1" t="n"/>
    </row>
    <row r="246" ht="16.5" customHeight="1" s="220">
      <c r="A246" s="1" t="n"/>
      <c r="B246" s="1" t="n"/>
      <c r="C246" s="2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  <c r="AX246" s="1" t="n"/>
      <c r="AY246" s="1" t="n"/>
      <c r="AZ246" s="1" t="n"/>
      <c r="BA246" s="1" t="n"/>
    </row>
    <row r="247" ht="16.5" customHeight="1" s="220">
      <c r="A247" s="1" t="n"/>
      <c r="B247" s="1" t="n"/>
      <c r="C247" s="2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  <c r="AY247" s="1" t="n"/>
      <c r="AZ247" s="1" t="n"/>
      <c r="BA247" s="1" t="n"/>
    </row>
    <row r="248" ht="16.5" customHeight="1" s="220">
      <c r="A248" s="1" t="n"/>
      <c r="B248" s="1" t="n"/>
      <c r="C248" s="2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  <c r="AX248" s="1" t="n"/>
      <c r="AY248" s="1" t="n"/>
      <c r="AZ248" s="1" t="n"/>
      <c r="BA248" s="1" t="n"/>
    </row>
    <row r="249" ht="16.5" customHeight="1" s="220">
      <c r="A249" s="1" t="n"/>
      <c r="B249" s="1" t="n"/>
      <c r="C249" s="2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  <c r="AY249" s="1" t="n"/>
      <c r="AZ249" s="1" t="n"/>
      <c r="BA249" s="1" t="n"/>
    </row>
    <row r="250" ht="16.5" customHeight="1" s="220">
      <c r="A250" s="1" t="n"/>
      <c r="B250" s="1" t="n"/>
      <c r="C250" s="2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  <c r="AY250" s="1" t="n"/>
      <c r="AZ250" s="1" t="n"/>
      <c r="BA250" s="1" t="n"/>
    </row>
    <row r="251" ht="16.5" customHeight="1" s="220">
      <c r="A251" s="1" t="n"/>
      <c r="B251" s="1" t="n"/>
      <c r="C251" s="2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  <c r="AZ251" s="1" t="n"/>
      <c r="BA251" s="1" t="n"/>
    </row>
    <row r="252" ht="16.5" customHeight="1" s="220">
      <c r="A252" s="1" t="n"/>
      <c r="B252" s="1" t="n"/>
      <c r="C252" s="2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  <c r="AY252" s="1" t="n"/>
      <c r="AZ252" s="1" t="n"/>
      <c r="BA252" s="1" t="n"/>
    </row>
    <row r="253" ht="16.5" customHeight="1" s="220">
      <c r="A253" s="1" t="n"/>
      <c r="B253" s="1" t="n"/>
      <c r="C253" s="2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  <c r="AZ253" s="1" t="n"/>
      <c r="BA253" s="1" t="n"/>
    </row>
    <row r="254" ht="16.5" customHeight="1" s="220">
      <c r="A254" s="1" t="n"/>
      <c r="B254" s="1" t="n"/>
      <c r="C254" s="2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  <c r="AX254" s="1" t="n"/>
      <c r="AY254" s="1" t="n"/>
      <c r="AZ254" s="1" t="n"/>
      <c r="BA254" s="1" t="n"/>
    </row>
    <row r="255" ht="16.5" customHeight="1" s="220">
      <c r="A255" s="1" t="n"/>
      <c r="B255" s="1" t="n"/>
      <c r="C255" s="2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  <c r="AZ255" s="1" t="n"/>
      <c r="BA255" s="1" t="n"/>
    </row>
    <row r="256" ht="16.5" customHeight="1" s="220">
      <c r="A256" s="1" t="n"/>
      <c r="B256" s="1" t="n"/>
      <c r="C256" s="2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  <c r="AY256" s="1" t="n"/>
      <c r="AZ256" s="1" t="n"/>
      <c r="BA256" s="1" t="n"/>
    </row>
    <row r="257" ht="16.5" customHeight="1" s="220">
      <c r="A257" s="1" t="n"/>
      <c r="B257" s="1" t="n"/>
      <c r="C257" s="2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  <c r="BA257" s="1" t="n"/>
    </row>
    <row r="258" ht="16.5" customHeight="1" s="220">
      <c r="A258" s="1" t="n"/>
      <c r="B258" s="1" t="n"/>
      <c r="C258" s="2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  <c r="AY258" s="1" t="n"/>
      <c r="AZ258" s="1" t="n"/>
      <c r="BA258" s="1" t="n"/>
    </row>
    <row r="259" ht="16.5" customHeight="1" s="220">
      <c r="A259" s="1" t="n"/>
      <c r="B259" s="1" t="n"/>
      <c r="C259" s="2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  <c r="BA259" s="1" t="n"/>
    </row>
    <row r="260" ht="16.5" customHeight="1" s="220">
      <c r="A260" s="1" t="n"/>
      <c r="B260" s="1" t="n"/>
      <c r="C260" s="2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  <c r="AX260" s="1" t="n"/>
      <c r="AY260" s="1" t="n"/>
      <c r="AZ260" s="1" t="n"/>
      <c r="BA260" s="1" t="n"/>
    </row>
    <row r="261" ht="16.5" customHeight="1" s="220">
      <c r="A261" s="1" t="n"/>
      <c r="B261" s="1" t="n"/>
      <c r="C261" s="2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  <c r="AZ261" s="1" t="n"/>
      <c r="BA261" s="1" t="n"/>
    </row>
    <row r="262" ht="16.5" customHeight="1" s="220">
      <c r="A262" s="1" t="n"/>
      <c r="B262" s="1" t="n"/>
      <c r="C262" s="2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  <c r="AX262" s="1" t="n"/>
      <c r="AY262" s="1" t="n"/>
      <c r="AZ262" s="1" t="n"/>
      <c r="BA262" s="1" t="n"/>
    </row>
    <row r="263" ht="16.5" customHeight="1" s="220">
      <c r="A263" s="1" t="n"/>
      <c r="B263" s="1" t="n"/>
      <c r="C263" s="2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  <c r="AZ263" s="1" t="n"/>
      <c r="BA263" s="1" t="n"/>
    </row>
    <row r="264" ht="16.5" customHeight="1" s="220">
      <c r="A264" s="1" t="n"/>
      <c r="B264" s="1" t="n"/>
      <c r="C264" s="2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  <c r="AX264" s="1" t="n"/>
      <c r="AY264" s="1" t="n"/>
      <c r="AZ264" s="1" t="n"/>
      <c r="BA264" s="1" t="n"/>
    </row>
    <row r="265" ht="16.5" customHeight="1" s="220">
      <c r="A265" s="1" t="n"/>
      <c r="B265" s="1" t="n"/>
      <c r="C265" s="2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  <c r="BA265" s="1" t="n"/>
    </row>
    <row r="266" ht="16.5" customHeight="1" s="220">
      <c r="A266" s="1" t="n"/>
      <c r="B266" s="1" t="n"/>
      <c r="C266" s="2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  <c r="AX266" s="1" t="n"/>
      <c r="AY266" s="1" t="n"/>
      <c r="AZ266" s="1" t="n"/>
      <c r="BA266" s="1" t="n"/>
    </row>
    <row r="267" ht="16.5" customHeight="1" s="220">
      <c r="A267" s="1" t="n"/>
      <c r="B267" s="1" t="n"/>
      <c r="C267" s="2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  <c r="BA267" s="1" t="n"/>
    </row>
    <row r="268" ht="16.5" customHeight="1" s="220">
      <c r="A268" s="1" t="n"/>
      <c r="B268" s="1" t="n"/>
      <c r="C268" s="2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  <c r="AZ268" s="1" t="n"/>
      <c r="BA268" s="1" t="n"/>
    </row>
    <row r="269" ht="16.5" customHeight="1" s="220">
      <c r="A269" s="1" t="n"/>
      <c r="B269" s="1" t="n"/>
      <c r="C269" s="2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  <c r="AZ269" s="1" t="n"/>
      <c r="BA269" s="1" t="n"/>
    </row>
    <row r="270" ht="16.5" customHeight="1" s="220">
      <c r="A270" s="1" t="n"/>
      <c r="B270" s="1" t="n"/>
      <c r="C270" s="2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  <c r="BA270" s="1" t="n"/>
    </row>
    <row r="271" ht="16.5" customHeight="1" s="220">
      <c r="A271" s="1" t="n"/>
      <c r="B271" s="1" t="n"/>
      <c r="C271" s="2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  <c r="AZ271" s="1" t="n"/>
      <c r="BA271" s="1" t="n"/>
    </row>
    <row r="272" ht="16.5" customHeight="1" s="220">
      <c r="A272" s="1" t="n"/>
      <c r="B272" s="1" t="n"/>
      <c r="C272" s="2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  <c r="AY272" s="1" t="n"/>
      <c r="AZ272" s="1" t="n"/>
      <c r="BA272" s="1" t="n"/>
    </row>
    <row r="273" ht="16.5" customHeight="1" s="220">
      <c r="A273" s="1" t="n"/>
      <c r="B273" s="1" t="n"/>
      <c r="C273" s="2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  <c r="AZ273" s="1" t="n"/>
      <c r="BA273" s="1" t="n"/>
    </row>
    <row r="274" ht="16.5" customHeight="1" s="220">
      <c r="A274" s="1" t="n"/>
      <c r="B274" s="1" t="n"/>
      <c r="C274" s="2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  <c r="AX274" s="1" t="n"/>
      <c r="AY274" s="1" t="n"/>
      <c r="AZ274" s="1" t="n"/>
      <c r="BA274" s="1" t="n"/>
    </row>
    <row r="275" ht="16.5" customHeight="1" s="220">
      <c r="A275" s="1" t="n"/>
      <c r="B275" s="1" t="n"/>
      <c r="C275" s="2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  <c r="AY275" s="1" t="n"/>
      <c r="AZ275" s="1" t="n"/>
      <c r="BA275" s="1" t="n"/>
    </row>
    <row r="276" ht="16.5" customHeight="1" s="220">
      <c r="A276" s="1" t="n"/>
      <c r="B276" s="1" t="n"/>
      <c r="C276" s="2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  <c r="BA276" s="1" t="n"/>
    </row>
    <row r="277" ht="16.5" customHeight="1" s="220">
      <c r="A277" s="1" t="n"/>
      <c r="B277" s="1" t="n"/>
      <c r="C277" s="2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  <c r="AX277" s="1" t="n"/>
      <c r="AY277" s="1" t="n"/>
      <c r="AZ277" s="1" t="n"/>
      <c r="BA277" s="1" t="n"/>
    </row>
    <row r="278" ht="16.5" customHeight="1" s="220">
      <c r="A278" s="1" t="n"/>
      <c r="B278" s="1" t="n"/>
      <c r="C278" s="2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  <c r="AZ278" s="1" t="n"/>
      <c r="BA278" s="1" t="n"/>
    </row>
    <row r="279" ht="16.5" customHeight="1" s="220">
      <c r="A279" s="1" t="n"/>
      <c r="B279" s="1" t="n"/>
      <c r="C279" s="2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  <c r="AX279" s="1" t="n"/>
      <c r="AY279" s="1" t="n"/>
      <c r="AZ279" s="1" t="n"/>
      <c r="BA279" s="1" t="n"/>
    </row>
    <row r="280" ht="16.5" customHeight="1" s="220">
      <c r="A280" s="1" t="n"/>
      <c r="B280" s="1" t="n"/>
      <c r="C280" s="2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  <c r="AX280" s="1" t="n"/>
      <c r="AY280" s="1" t="n"/>
      <c r="AZ280" s="1" t="n"/>
      <c r="BA280" s="1" t="n"/>
    </row>
    <row r="281" ht="16.5" customHeight="1" s="220">
      <c r="A281" s="1" t="n"/>
      <c r="B281" s="1" t="n"/>
      <c r="C281" s="2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  <c r="AX281" s="1" t="n"/>
      <c r="AY281" s="1" t="n"/>
      <c r="AZ281" s="1" t="n"/>
      <c r="BA281" s="1" t="n"/>
    </row>
    <row r="282" ht="16.5" customHeight="1" s="220">
      <c r="A282" s="1" t="n"/>
      <c r="B282" s="1" t="n"/>
      <c r="C282" s="2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  <c r="AX282" s="1" t="n"/>
      <c r="AY282" s="1" t="n"/>
      <c r="AZ282" s="1" t="n"/>
      <c r="BA282" s="1" t="n"/>
    </row>
    <row r="283" ht="16.5" customHeight="1" s="220">
      <c r="A283" s="1" t="n"/>
      <c r="B283" s="1" t="n"/>
      <c r="C283" s="2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  <c r="AX283" s="1" t="n"/>
      <c r="AY283" s="1" t="n"/>
      <c r="AZ283" s="1" t="n"/>
      <c r="BA283" s="1" t="n"/>
    </row>
    <row r="284" ht="16.5" customHeight="1" s="220">
      <c r="A284" s="1" t="n"/>
      <c r="B284" s="1" t="n"/>
      <c r="C284" s="2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  <c r="AX284" s="1" t="n"/>
      <c r="AY284" s="1" t="n"/>
      <c r="AZ284" s="1" t="n"/>
      <c r="BA284" s="1" t="n"/>
    </row>
    <row r="285" ht="16.5" customHeight="1" s="220">
      <c r="A285" s="1" t="n"/>
      <c r="B285" s="1" t="n"/>
      <c r="C285" s="2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  <c r="AX285" s="1" t="n"/>
      <c r="AY285" s="1" t="n"/>
      <c r="AZ285" s="1" t="n"/>
      <c r="BA285" s="1" t="n"/>
    </row>
    <row r="286" ht="16.5" customHeight="1" s="220">
      <c r="A286" s="1" t="n"/>
      <c r="B286" s="1" t="n"/>
      <c r="C286" s="2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  <c r="AX286" s="1" t="n"/>
      <c r="AY286" s="1" t="n"/>
      <c r="AZ286" s="1" t="n"/>
      <c r="BA286" s="1" t="n"/>
    </row>
    <row r="287" ht="16.5" customHeight="1" s="220">
      <c r="A287" s="1" t="n"/>
      <c r="B287" s="1" t="n"/>
      <c r="C287" s="2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  <c r="AX287" s="1" t="n"/>
      <c r="AY287" s="1" t="n"/>
      <c r="AZ287" s="1" t="n"/>
      <c r="BA287" s="1" t="n"/>
    </row>
    <row r="288" ht="16.5" customHeight="1" s="220">
      <c r="A288" s="1" t="n"/>
      <c r="B288" s="1" t="n"/>
      <c r="C288" s="2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  <c r="AX288" s="1" t="n"/>
      <c r="AY288" s="1" t="n"/>
      <c r="AZ288" s="1" t="n"/>
      <c r="BA288" s="1" t="n"/>
    </row>
    <row r="289" ht="16.5" customHeight="1" s="220">
      <c r="A289" s="1" t="n"/>
      <c r="B289" s="1" t="n"/>
      <c r="C289" s="2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  <c r="AX289" s="1" t="n"/>
      <c r="AY289" s="1" t="n"/>
      <c r="AZ289" s="1" t="n"/>
      <c r="BA289" s="1" t="n"/>
    </row>
    <row r="290" ht="16.5" customHeight="1" s="220">
      <c r="A290" s="1" t="n"/>
      <c r="B290" s="1" t="n"/>
      <c r="C290" s="2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  <c r="AX290" s="1" t="n"/>
      <c r="AY290" s="1" t="n"/>
      <c r="AZ290" s="1" t="n"/>
      <c r="BA290" s="1" t="n"/>
    </row>
    <row r="291" ht="16.5" customHeight="1" s="220">
      <c r="A291" s="1" t="n"/>
      <c r="B291" s="1" t="n"/>
      <c r="C291" s="2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  <c r="AX291" s="1" t="n"/>
      <c r="AY291" s="1" t="n"/>
      <c r="AZ291" s="1" t="n"/>
      <c r="BA291" s="1" t="n"/>
    </row>
    <row r="292" ht="16.5" customHeight="1" s="220">
      <c r="A292" s="1" t="n"/>
      <c r="B292" s="1" t="n"/>
      <c r="C292" s="2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  <c r="AW292" s="1" t="n"/>
      <c r="AX292" s="1" t="n"/>
      <c r="AY292" s="1" t="n"/>
      <c r="AZ292" s="1" t="n"/>
      <c r="BA292" s="1" t="n"/>
    </row>
    <row r="293" ht="16.5" customHeight="1" s="220">
      <c r="A293" s="1" t="n"/>
      <c r="B293" s="1" t="n"/>
      <c r="C293" s="2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  <c r="AX293" s="1" t="n"/>
      <c r="AY293" s="1" t="n"/>
      <c r="AZ293" s="1" t="n"/>
      <c r="BA293" s="1" t="n"/>
    </row>
    <row r="294" ht="16.5" customHeight="1" s="220">
      <c r="A294" s="1" t="n"/>
      <c r="B294" s="1" t="n"/>
      <c r="C294" s="2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  <c r="AS294" s="1" t="n"/>
      <c r="AT294" s="1" t="n"/>
      <c r="AU294" s="1" t="n"/>
      <c r="AV294" s="1" t="n"/>
      <c r="AW294" s="1" t="n"/>
      <c r="AX294" s="1" t="n"/>
      <c r="AY294" s="1" t="n"/>
      <c r="AZ294" s="1" t="n"/>
      <c r="BA294" s="1" t="n"/>
    </row>
    <row r="295" ht="16.5" customHeight="1" s="220">
      <c r="A295" s="1" t="n"/>
      <c r="B295" s="1" t="n"/>
      <c r="C295" s="2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  <c r="AX295" s="1" t="n"/>
      <c r="AY295" s="1" t="n"/>
      <c r="AZ295" s="1" t="n"/>
      <c r="BA295" s="1" t="n"/>
    </row>
    <row r="296" ht="16.5" customHeight="1" s="220">
      <c r="A296" s="1" t="n"/>
      <c r="B296" s="1" t="n"/>
      <c r="C296" s="2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T296" s="1" t="n"/>
      <c r="AU296" s="1" t="n"/>
      <c r="AV296" s="1" t="n"/>
      <c r="AW296" s="1" t="n"/>
      <c r="AX296" s="1" t="n"/>
      <c r="AY296" s="1" t="n"/>
      <c r="AZ296" s="1" t="n"/>
      <c r="BA296" s="1" t="n"/>
    </row>
    <row r="297" ht="16.5" customHeight="1" s="220">
      <c r="A297" s="1" t="n"/>
      <c r="B297" s="1" t="n"/>
      <c r="C297" s="2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  <c r="AX297" s="1" t="n"/>
      <c r="AY297" s="1" t="n"/>
      <c r="AZ297" s="1" t="n"/>
      <c r="BA297" s="1" t="n"/>
    </row>
    <row r="298" ht="16.5" customHeight="1" s="220">
      <c r="A298" s="1" t="n"/>
      <c r="B298" s="1" t="n"/>
      <c r="C298" s="2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  <c r="AW298" s="1" t="n"/>
      <c r="AX298" s="1" t="n"/>
      <c r="AY298" s="1" t="n"/>
      <c r="AZ298" s="1" t="n"/>
      <c r="BA298" s="1" t="n"/>
    </row>
    <row r="299" ht="16.5" customHeight="1" s="220">
      <c r="A299" s="1" t="n"/>
      <c r="B299" s="1" t="n"/>
      <c r="C299" s="2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  <c r="AX299" s="1" t="n"/>
      <c r="AY299" s="1" t="n"/>
      <c r="AZ299" s="1" t="n"/>
      <c r="BA299" s="1" t="n"/>
    </row>
    <row r="300" ht="16.5" customHeight="1" s="220">
      <c r="A300" s="1" t="n"/>
      <c r="B300" s="1" t="n"/>
      <c r="C300" s="2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  <c r="AW300" s="1" t="n"/>
      <c r="AX300" s="1" t="n"/>
      <c r="AY300" s="1" t="n"/>
      <c r="AZ300" s="1" t="n"/>
      <c r="BA300" s="1" t="n"/>
    </row>
    <row r="301" ht="16.5" customHeight="1" s="220">
      <c r="A301" s="1" t="n"/>
      <c r="B301" s="1" t="n"/>
      <c r="C301" s="2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  <c r="AX301" s="1" t="n"/>
      <c r="AY301" s="1" t="n"/>
      <c r="AZ301" s="1" t="n"/>
      <c r="BA301" s="1" t="n"/>
    </row>
    <row r="302" ht="16.5" customHeight="1" s="220">
      <c r="A302" s="1" t="n"/>
      <c r="B302" s="1" t="n"/>
      <c r="C302" s="2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  <c r="AW302" s="1" t="n"/>
      <c r="AX302" s="1" t="n"/>
      <c r="AY302" s="1" t="n"/>
      <c r="AZ302" s="1" t="n"/>
      <c r="BA302" s="1" t="n"/>
    </row>
    <row r="303" ht="16.5" customHeight="1" s="220">
      <c r="A303" s="1" t="n"/>
      <c r="B303" s="1" t="n"/>
      <c r="C303" s="2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  <c r="AX303" s="1" t="n"/>
      <c r="AY303" s="1" t="n"/>
      <c r="AZ303" s="1" t="n"/>
      <c r="BA303" s="1" t="n"/>
    </row>
    <row r="304" ht="16.5" customHeight="1" s="220">
      <c r="A304" s="1" t="n"/>
      <c r="B304" s="1" t="n"/>
      <c r="C304" s="2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  <c r="AW304" s="1" t="n"/>
      <c r="AX304" s="1" t="n"/>
      <c r="AY304" s="1" t="n"/>
      <c r="AZ304" s="1" t="n"/>
      <c r="BA304" s="1" t="n"/>
    </row>
    <row r="305" ht="16.5" customHeight="1" s="220">
      <c r="A305" s="1" t="n"/>
      <c r="B305" s="1" t="n"/>
      <c r="C305" s="2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  <c r="AX305" s="1" t="n"/>
      <c r="AY305" s="1" t="n"/>
      <c r="AZ305" s="1" t="n"/>
      <c r="BA305" s="1" t="n"/>
    </row>
    <row r="306" ht="16.5" customHeight="1" s="220">
      <c r="A306" s="1" t="n"/>
      <c r="B306" s="1" t="n"/>
      <c r="C306" s="2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  <c r="AW306" s="1" t="n"/>
      <c r="AX306" s="1" t="n"/>
      <c r="AY306" s="1" t="n"/>
      <c r="AZ306" s="1" t="n"/>
      <c r="BA306" s="1" t="n"/>
    </row>
    <row r="307" ht="16.5" customHeight="1" s="220">
      <c r="A307" s="1" t="n"/>
      <c r="B307" s="1" t="n"/>
      <c r="C307" s="2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  <c r="AX307" s="1" t="n"/>
      <c r="AY307" s="1" t="n"/>
      <c r="AZ307" s="1" t="n"/>
      <c r="BA307" s="1" t="n"/>
    </row>
    <row r="308" ht="16.5" customHeight="1" s="220">
      <c r="A308" s="1" t="n"/>
      <c r="B308" s="1" t="n"/>
      <c r="C308" s="2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  <c r="AW308" s="1" t="n"/>
      <c r="AX308" s="1" t="n"/>
      <c r="AY308" s="1" t="n"/>
      <c r="AZ308" s="1" t="n"/>
      <c r="BA308" s="1" t="n"/>
    </row>
    <row r="309" ht="16.5" customHeight="1" s="220">
      <c r="A309" s="1" t="n"/>
      <c r="B309" s="1" t="n"/>
      <c r="C309" s="2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  <c r="AX309" s="1" t="n"/>
      <c r="AY309" s="1" t="n"/>
      <c r="AZ309" s="1" t="n"/>
      <c r="BA309" s="1" t="n"/>
    </row>
    <row r="310" ht="16.5" customHeight="1" s="220">
      <c r="A310" s="1" t="n"/>
      <c r="B310" s="1" t="n"/>
      <c r="C310" s="2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  <c r="AW310" s="1" t="n"/>
      <c r="AX310" s="1" t="n"/>
      <c r="AY310" s="1" t="n"/>
      <c r="AZ310" s="1" t="n"/>
      <c r="BA310" s="1" t="n"/>
    </row>
    <row r="311" ht="16.5" customHeight="1" s="220">
      <c r="A311" s="1" t="n"/>
      <c r="B311" s="1" t="n"/>
      <c r="C311" s="2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  <c r="AX311" s="1" t="n"/>
      <c r="AY311" s="1" t="n"/>
      <c r="AZ311" s="1" t="n"/>
      <c r="BA311" s="1" t="n"/>
    </row>
    <row r="312" ht="16.5" customHeight="1" s="220">
      <c r="A312" s="1" t="n"/>
      <c r="B312" s="1" t="n"/>
      <c r="C312" s="2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  <c r="AS312" s="1" t="n"/>
      <c r="AT312" s="1" t="n"/>
      <c r="AU312" s="1" t="n"/>
      <c r="AV312" s="1" t="n"/>
      <c r="AW312" s="1" t="n"/>
      <c r="AX312" s="1" t="n"/>
      <c r="AY312" s="1" t="n"/>
      <c r="AZ312" s="1" t="n"/>
      <c r="BA312" s="1" t="n"/>
    </row>
    <row r="313" ht="16.5" customHeight="1" s="220">
      <c r="A313" s="1" t="n"/>
      <c r="B313" s="1" t="n"/>
      <c r="C313" s="2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  <c r="AX313" s="1" t="n"/>
      <c r="AY313" s="1" t="n"/>
      <c r="AZ313" s="1" t="n"/>
      <c r="BA313" s="1" t="n"/>
    </row>
    <row r="314" ht="16.5" customHeight="1" s="220">
      <c r="A314" s="1" t="n"/>
      <c r="B314" s="1" t="n"/>
      <c r="C314" s="2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  <c r="AW314" s="1" t="n"/>
      <c r="AX314" s="1" t="n"/>
      <c r="AY314" s="1" t="n"/>
      <c r="AZ314" s="1" t="n"/>
      <c r="BA314" s="1" t="n"/>
    </row>
    <row r="315" ht="16.5" customHeight="1" s="220">
      <c r="A315" s="1" t="n"/>
      <c r="B315" s="1" t="n"/>
      <c r="C315" s="2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  <c r="AX315" s="1" t="n"/>
      <c r="AY315" s="1" t="n"/>
      <c r="AZ315" s="1" t="n"/>
      <c r="BA315" s="1" t="n"/>
    </row>
    <row r="316" ht="16.5" customHeight="1" s="220">
      <c r="A316" s="1" t="n"/>
      <c r="B316" s="1" t="n"/>
      <c r="C316" s="2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  <c r="AW316" s="1" t="n"/>
      <c r="AX316" s="1" t="n"/>
      <c r="AY316" s="1" t="n"/>
      <c r="AZ316" s="1" t="n"/>
      <c r="BA316" s="1" t="n"/>
    </row>
    <row r="317" ht="16.5" customHeight="1" s="220">
      <c r="A317" s="1" t="n"/>
      <c r="B317" s="1" t="n"/>
      <c r="C317" s="2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  <c r="AX317" s="1" t="n"/>
      <c r="AY317" s="1" t="n"/>
      <c r="AZ317" s="1" t="n"/>
      <c r="BA317" s="1" t="n"/>
    </row>
    <row r="318" ht="16.5" customHeight="1" s="220">
      <c r="A318" s="1" t="n"/>
      <c r="B318" s="1" t="n"/>
      <c r="C318" s="2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  <c r="AW318" s="1" t="n"/>
      <c r="AX318" s="1" t="n"/>
      <c r="AY318" s="1" t="n"/>
      <c r="AZ318" s="1" t="n"/>
      <c r="BA318" s="1" t="n"/>
    </row>
    <row r="319" ht="16.5" customHeight="1" s="220">
      <c r="A319" s="1" t="n"/>
      <c r="B319" s="1" t="n"/>
      <c r="C319" s="2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  <c r="AX319" s="1" t="n"/>
      <c r="AY319" s="1" t="n"/>
      <c r="AZ319" s="1" t="n"/>
      <c r="BA319" s="1" t="n"/>
    </row>
    <row r="320" ht="16.5" customHeight="1" s="220">
      <c r="A320" s="1" t="n"/>
      <c r="B320" s="1" t="n"/>
      <c r="C320" s="2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  <c r="AW320" s="1" t="n"/>
      <c r="AX320" s="1" t="n"/>
      <c r="AY320" s="1" t="n"/>
      <c r="AZ320" s="1" t="n"/>
      <c r="BA320" s="1" t="n"/>
    </row>
    <row r="321" ht="16.5" customHeight="1" s="220">
      <c r="A321" s="1" t="n"/>
      <c r="B321" s="1" t="n"/>
      <c r="C321" s="2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  <c r="AX321" s="1" t="n"/>
      <c r="AY321" s="1" t="n"/>
      <c r="AZ321" s="1" t="n"/>
      <c r="BA321" s="1" t="n"/>
    </row>
    <row r="322" ht="16.5" customHeight="1" s="220">
      <c r="A322" s="1" t="n"/>
      <c r="B322" s="1" t="n"/>
      <c r="C322" s="2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  <c r="AW322" s="1" t="n"/>
      <c r="AX322" s="1" t="n"/>
      <c r="AY322" s="1" t="n"/>
      <c r="AZ322" s="1" t="n"/>
      <c r="BA322" s="1" t="n"/>
    </row>
    <row r="323" ht="16.5" customHeight="1" s="220">
      <c r="A323" s="1" t="n"/>
      <c r="B323" s="1" t="n"/>
      <c r="C323" s="2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  <c r="AX323" s="1" t="n"/>
      <c r="AY323" s="1" t="n"/>
      <c r="AZ323" s="1" t="n"/>
      <c r="BA323" s="1" t="n"/>
    </row>
    <row r="324" ht="16.5" customHeight="1" s="220">
      <c r="A324" s="1" t="n"/>
      <c r="B324" s="1" t="n"/>
      <c r="C324" s="2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  <c r="AW324" s="1" t="n"/>
      <c r="AX324" s="1" t="n"/>
      <c r="AY324" s="1" t="n"/>
      <c r="AZ324" s="1" t="n"/>
      <c r="BA324" s="1" t="n"/>
    </row>
    <row r="325" ht="16.5" customHeight="1" s="220">
      <c r="A325" s="1" t="n"/>
      <c r="B325" s="1" t="n"/>
      <c r="C325" s="2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  <c r="AX325" s="1" t="n"/>
      <c r="AY325" s="1" t="n"/>
      <c r="AZ325" s="1" t="n"/>
      <c r="BA325" s="1" t="n"/>
    </row>
    <row r="326" ht="16.5" customHeight="1" s="220">
      <c r="A326" s="1" t="n"/>
      <c r="B326" s="1" t="n"/>
      <c r="C326" s="2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  <c r="AW326" s="1" t="n"/>
      <c r="AX326" s="1" t="n"/>
      <c r="AY326" s="1" t="n"/>
      <c r="AZ326" s="1" t="n"/>
      <c r="BA326" s="1" t="n"/>
    </row>
    <row r="327" ht="16.5" customHeight="1" s="220">
      <c r="A327" s="1" t="n"/>
      <c r="B327" s="1" t="n"/>
      <c r="C327" s="2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  <c r="AX327" s="1" t="n"/>
      <c r="AY327" s="1" t="n"/>
      <c r="AZ327" s="1" t="n"/>
      <c r="BA327" s="1" t="n"/>
    </row>
    <row r="328" ht="16.5" customHeight="1" s="220">
      <c r="A328" s="1" t="n"/>
      <c r="B328" s="1" t="n"/>
      <c r="C328" s="2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  <c r="AW328" s="1" t="n"/>
      <c r="AX328" s="1" t="n"/>
      <c r="AY328" s="1" t="n"/>
      <c r="AZ328" s="1" t="n"/>
      <c r="BA328" s="1" t="n"/>
    </row>
    <row r="329" ht="16.5" customHeight="1" s="220">
      <c r="A329" s="1" t="n"/>
      <c r="B329" s="1" t="n"/>
      <c r="C329" s="2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  <c r="AX329" s="1" t="n"/>
      <c r="AY329" s="1" t="n"/>
      <c r="AZ329" s="1" t="n"/>
      <c r="BA329" s="1" t="n"/>
    </row>
    <row r="330" ht="16.5" customHeight="1" s="220">
      <c r="A330" s="1" t="n"/>
      <c r="B330" s="1" t="n"/>
      <c r="C330" s="2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  <c r="AW330" s="1" t="n"/>
      <c r="AX330" s="1" t="n"/>
      <c r="AY330" s="1" t="n"/>
      <c r="AZ330" s="1" t="n"/>
      <c r="BA330" s="1" t="n"/>
    </row>
    <row r="331" ht="16.5" customHeight="1" s="220">
      <c r="A331" s="1" t="n"/>
      <c r="B331" s="1" t="n"/>
      <c r="C331" s="2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  <c r="AX331" s="1" t="n"/>
      <c r="AY331" s="1" t="n"/>
      <c r="AZ331" s="1" t="n"/>
      <c r="BA331" s="1" t="n"/>
    </row>
    <row r="332" ht="16.5" customHeight="1" s="220">
      <c r="A332" s="1" t="n"/>
      <c r="B332" s="1" t="n"/>
      <c r="C332" s="2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  <c r="AW332" s="1" t="n"/>
      <c r="AX332" s="1" t="n"/>
      <c r="AY332" s="1" t="n"/>
      <c r="AZ332" s="1" t="n"/>
      <c r="BA332" s="1" t="n"/>
    </row>
    <row r="333" ht="16.5" customHeight="1" s="220">
      <c r="A333" s="1" t="n"/>
      <c r="B333" s="1" t="n"/>
      <c r="C333" s="2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  <c r="AX333" s="1" t="n"/>
      <c r="AY333" s="1" t="n"/>
      <c r="AZ333" s="1" t="n"/>
      <c r="BA333" s="1" t="n"/>
    </row>
    <row r="334" ht="16.5" customHeight="1" s="220">
      <c r="A334" s="1" t="n"/>
      <c r="B334" s="1" t="n"/>
      <c r="C334" s="2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  <c r="AW334" s="1" t="n"/>
      <c r="AX334" s="1" t="n"/>
      <c r="AY334" s="1" t="n"/>
      <c r="AZ334" s="1" t="n"/>
      <c r="BA334" s="1" t="n"/>
    </row>
    <row r="335" ht="16.5" customHeight="1" s="220">
      <c r="A335" s="1" t="n"/>
      <c r="B335" s="1" t="n"/>
      <c r="C335" s="2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  <c r="AX335" s="1" t="n"/>
      <c r="AY335" s="1" t="n"/>
      <c r="AZ335" s="1" t="n"/>
      <c r="BA335" s="1" t="n"/>
    </row>
    <row r="336" ht="16.5" customHeight="1" s="220">
      <c r="A336" s="1" t="n"/>
      <c r="B336" s="1" t="n"/>
      <c r="C336" s="2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  <c r="AW336" s="1" t="n"/>
      <c r="AX336" s="1" t="n"/>
      <c r="AY336" s="1" t="n"/>
      <c r="AZ336" s="1" t="n"/>
      <c r="BA336" s="1" t="n"/>
    </row>
    <row r="337" ht="16.5" customHeight="1" s="220">
      <c r="A337" s="1" t="n"/>
      <c r="B337" s="1" t="n"/>
      <c r="C337" s="2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  <c r="AX337" s="1" t="n"/>
      <c r="AY337" s="1" t="n"/>
      <c r="AZ337" s="1" t="n"/>
      <c r="BA337" s="1" t="n"/>
    </row>
    <row r="338" ht="16.5" customHeight="1" s="220">
      <c r="A338" s="1" t="n"/>
      <c r="B338" s="1" t="n"/>
      <c r="C338" s="2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  <c r="AW338" s="1" t="n"/>
      <c r="AX338" s="1" t="n"/>
      <c r="AY338" s="1" t="n"/>
      <c r="AZ338" s="1" t="n"/>
      <c r="BA338" s="1" t="n"/>
    </row>
    <row r="339" ht="16.5" customHeight="1" s="220">
      <c r="A339" s="1" t="n"/>
      <c r="B339" s="1" t="n"/>
      <c r="C339" s="2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  <c r="AX339" s="1" t="n"/>
      <c r="AY339" s="1" t="n"/>
      <c r="AZ339" s="1" t="n"/>
      <c r="BA339" s="1" t="n"/>
    </row>
    <row r="340" ht="16.5" customHeight="1" s="220">
      <c r="A340" s="1" t="n"/>
      <c r="B340" s="1" t="n"/>
      <c r="C340" s="2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  <c r="AW340" s="1" t="n"/>
      <c r="AX340" s="1" t="n"/>
      <c r="AY340" s="1" t="n"/>
      <c r="AZ340" s="1" t="n"/>
      <c r="BA340" s="1" t="n"/>
    </row>
    <row r="341" ht="16.5" customHeight="1" s="220">
      <c r="A341" s="1" t="n"/>
      <c r="B341" s="1" t="n"/>
      <c r="C341" s="2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  <c r="AX341" s="1" t="n"/>
      <c r="AY341" s="1" t="n"/>
      <c r="AZ341" s="1" t="n"/>
      <c r="BA341" s="1" t="n"/>
    </row>
    <row r="342" ht="16.5" customHeight="1" s="220">
      <c r="A342" s="1" t="n"/>
      <c r="B342" s="1" t="n"/>
      <c r="C342" s="2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  <c r="AW342" s="1" t="n"/>
      <c r="AX342" s="1" t="n"/>
      <c r="AY342" s="1" t="n"/>
      <c r="AZ342" s="1" t="n"/>
      <c r="BA342" s="1" t="n"/>
    </row>
    <row r="343" ht="16.5" customHeight="1" s="220">
      <c r="A343" s="1" t="n"/>
      <c r="B343" s="1" t="n"/>
      <c r="C343" s="2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  <c r="AX343" s="1" t="n"/>
      <c r="AY343" s="1" t="n"/>
      <c r="AZ343" s="1" t="n"/>
      <c r="BA343" s="1" t="n"/>
    </row>
    <row r="344" ht="16.5" customHeight="1" s="220">
      <c r="A344" s="1" t="n"/>
      <c r="B344" s="1" t="n"/>
      <c r="C344" s="2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  <c r="AW344" s="1" t="n"/>
      <c r="AX344" s="1" t="n"/>
      <c r="AY344" s="1" t="n"/>
      <c r="AZ344" s="1" t="n"/>
      <c r="BA344" s="1" t="n"/>
    </row>
    <row r="345" ht="16.5" customHeight="1" s="220">
      <c r="A345" s="1" t="n"/>
      <c r="B345" s="1" t="n"/>
      <c r="C345" s="2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  <c r="AX345" s="1" t="n"/>
      <c r="AY345" s="1" t="n"/>
      <c r="AZ345" s="1" t="n"/>
      <c r="BA345" s="1" t="n"/>
    </row>
    <row r="346" ht="16.5" customHeight="1" s="220">
      <c r="A346" s="1" t="n"/>
      <c r="B346" s="1" t="n"/>
      <c r="C346" s="2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  <c r="AW346" s="1" t="n"/>
      <c r="AX346" s="1" t="n"/>
      <c r="AY346" s="1" t="n"/>
      <c r="AZ346" s="1" t="n"/>
      <c r="BA346" s="1" t="n"/>
    </row>
    <row r="347" ht="16.5" customHeight="1" s="220">
      <c r="A347" s="1" t="n"/>
      <c r="B347" s="1" t="n"/>
      <c r="C347" s="2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  <c r="AX347" s="1" t="n"/>
      <c r="AY347" s="1" t="n"/>
      <c r="AZ347" s="1" t="n"/>
      <c r="BA347" s="1" t="n"/>
    </row>
    <row r="348" ht="16.5" customHeight="1" s="220">
      <c r="A348" s="1" t="n"/>
      <c r="B348" s="1" t="n"/>
      <c r="C348" s="2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  <c r="AW348" s="1" t="n"/>
      <c r="AX348" s="1" t="n"/>
      <c r="AY348" s="1" t="n"/>
      <c r="AZ348" s="1" t="n"/>
      <c r="BA348" s="1" t="n"/>
    </row>
    <row r="349" ht="16.5" customHeight="1" s="220">
      <c r="A349" s="1" t="n"/>
      <c r="B349" s="1" t="n"/>
      <c r="C349" s="2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  <c r="AX349" s="1" t="n"/>
      <c r="AY349" s="1" t="n"/>
      <c r="AZ349" s="1" t="n"/>
      <c r="BA349" s="1" t="n"/>
    </row>
    <row r="350" ht="16.5" customHeight="1" s="220">
      <c r="A350" s="1" t="n"/>
      <c r="B350" s="1" t="n"/>
      <c r="C350" s="2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  <c r="AW350" s="1" t="n"/>
      <c r="AX350" s="1" t="n"/>
      <c r="AY350" s="1" t="n"/>
      <c r="AZ350" s="1" t="n"/>
      <c r="BA350" s="1" t="n"/>
    </row>
    <row r="351" ht="16.5" customHeight="1" s="220">
      <c r="A351" s="1" t="n"/>
      <c r="B351" s="1" t="n"/>
      <c r="C351" s="2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  <c r="AX351" s="1" t="n"/>
      <c r="AY351" s="1" t="n"/>
      <c r="AZ351" s="1" t="n"/>
      <c r="BA351" s="1" t="n"/>
    </row>
    <row r="352" ht="16.5" customHeight="1" s="220">
      <c r="A352" s="1" t="n"/>
      <c r="B352" s="1" t="n"/>
      <c r="C352" s="2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  <c r="AW352" s="1" t="n"/>
      <c r="AX352" s="1" t="n"/>
      <c r="AY352" s="1" t="n"/>
      <c r="AZ352" s="1" t="n"/>
      <c r="BA352" s="1" t="n"/>
    </row>
    <row r="353" ht="16.5" customHeight="1" s="220">
      <c r="A353" s="1" t="n"/>
      <c r="B353" s="1" t="n"/>
      <c r="C353" s="2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  <c r="AX353" s="1" t="n"/>
      <c r="AY353" s="1" t="n"/>
      <c r="AZ353" s="1" t="n"/>
      <c r="BA353" s="1" t="n"/>
    </row>
    <row r="354" ht="16.5" customHeight="1" s="220">
      <c r="A354" s="1" t="n"/>
      <c r="B354" s="1" t="n"/>
      <c r="C354" s="2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  <c r="AW354" s="1" t="n"/>
      <c r="AX354" s="1" t="n"/>
      <c r="AY354" s="1" t="n"/>
      <c r="AZ354" s="1" t="n"/>
      <c r="BA354" s="1" t="n"/>
    </row>
    <row r="355" ht="16.5" customHeight="1" s="220">
      <c r="A355" s="1" t="n"/>
      <c r="B355" s="1" t="n"/>
      <c r="C355" s="2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  <c r="AX355" s="1" t="n"/>
      <c r="AY355" s="1" t="n"/>
      <c r="AZ355" s="1" t="n"/>
      <c r="BA355" s="1" t="n"/>
    </row>
    <row r="356" ht="16.5" customHeight="1" s="220">
      <c r="A356" s="1" t="n"/>
      <c r="B356" s="1" t="n"/>
      <c r="C356" s="2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  <c r="AW356" s="1" t="n"/>
      <c r="AX356" s="1" t="n"/>
      <c r="AY356" s="1" t="n"/>
      <c r="AZ356" s="1" t="n"/>
      <c r="BA356" s="1" t="n"/>
    </row>
    <row r="357" ht="16.5" customHeight="1" s="220">
      <c r="A357" s="1" t="n"/>
      <c r="B357" s="1" t="n"/>
      <c r="C357" s="2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  <c r="AX357" s="1" t="n"/>
      <c r="AY357" s="1" t="n"/>
      <c r="AZ357" s="1" t="n"/>
      <c r="BA357" s="1" t="n"/>
    </row>
    <row r="358" ht="16.5" customHeight="1" s="220">
      <c r="A358" s="1" t="n"/>
      <c r="B358" s="1" t="n"/>
      <c r="C358" s="2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  <c r="AW358" s="1" t="n"/>
      <c r="AX358" s="1" t="n"/>
      <c r="AY358" s="1" t="n"/>
      <c r="AZ358" s="1" t="n"/>
      <c r="BA358" s="1" t="n"/>
    </row>
    <row r="359" ht="16.5" customHeight="1" s="220">
      <c r="A359" s="1" t="n"/>
      <c r="B359" s="1" t="n"/>
      <c r="C359" s="2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  <c r="AX359" s="1" t="n"/>
      <c r="AY359" s="1" t="n"/>
      <c r="AZ359" s="1" t="n"/>
      <c r="BA359" s="1" t="n"/>
    </row>
    <row r="360" ht="16.5" customHeight="1" s="220">
      <c r="A360" s="1" t="n"/>
      <c r="B360" s="1" t="n"/>
      <c r="C360" s="2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  <c r="AW360" s="1" t="n"/>
      <c r="AX360" s="1" t="n"/>
      <c r="AY360" s="1" t="n"/>
      <c r="AZ360" s="1" t="n"/>
      <c r="BA360" s="1" t="n"/>
    </row>
    <row r="361" ht="16.5" customHeight="1" s="220">
      <c r="A361" s="1" t="n"/>
      <c r="B361" s="1" t="n"/>
      <c r="C361" s="2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  <c r="AX361" s="1" t="n"/>
      <c r="AY361" s="1" t="n"/>
      <c r="AZ361" s="1" t="n"/>
      <c r="BA361" s="1" t="n"/>
    </row>
    <row r="362" ht="16.5" customHeight="1" s="220">
      <c r="A362" s="1" t="n"/>
      <c r="B362" s="1" t="n"/>
      <c r="C362" s="2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  <c r="AW362" s="1" t="n"/>
      <c r="AX362" s="1" t="n"/>
      <c r="AY362" s="1" t="n"/>
      <c r="AZ362" s="1" t="n"/>
      <c r="BA362" s="1" t="n"/>
    </row>
    <row r="363" ht="16.5" customHeight="1" s="220">
      <c r="A363" s="1" t="n"/>
      <c r="B363" s="1" t="n"/>
      <c r="C363" s="2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  <c r="AX363" s="1" t="n"/>
      <c r="AY363" s="1" t="n"/>
      <c r="AZ363" s="1" t="n"/>
      <c r="BA363" s="1" t="n"/>
    </row>
    <row r="364" ht="16.5" customHeight="1" s="220">
      <c r="A364" s="1" t="n"/>
      <c r="B364" s="1" t="n"/>
      <c r="C364" s="2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  <c r="AW364" s="1" t="n"/>
      <c r="AX364" s="1" t="n"/>
      <c r="AY364" s="1" t="n"/>
      <c r="AZ364" s="1" t="n"/>
      <c r="BA364" s="1" t="n"/>
    </row>
    <row r="365" ht="16.5" customHeight="1" s="220">
      <c r="A365" s="1" t="n"/>
      <c r="B365" s="1" t="n"/>
      <c r="C365" s="2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  <c r="AX365" s="1" t="n"/>
      <c r="AY365" s="1" t="n"/>
      <c r="AZ365" s="1" t="n"/>
      <c r="BA365" s="1" t="n"/>
    </row>
    <row r="366" ht="16.5" customHeight="1" s="220">
      <c r="A366" s="1" t="n"/>
      <c r="B366" s="1" t="n"/>
      <c r="C366" s="2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  <c r="AW366" s="1" t="n"/>
      <c r="AX366" s="1" t="n"/>
      <c r="AY366" s="1" t="n"/>
      <c r="AZ366" s="1" t="n"/>
      <c r="BA366" s="1" t="n"/>
    </row>
    <row r="367" ht="16.5" customHeight="1" s="220">
      <c r="A367" s="1" t="n"/>
      <c r="B367" s="1" t="n"/>
      <c r="C367" s="2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  <c r="AX367" s="1" t="n"/>
      <c r="AY367" s="1" t="n"/>
      <c r="AZ367" s="1" t="n"/>
      <c r="BA367" s="1" t="n"/>
    </row>
    <row r="368" ht="16.5" customHeight="1" s="220">
      <c r="A368" s="1" t="n"/>
      <c r="B368" s="1" t="n"/>
      <c r="C368" s="2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  <c r="AW368" s="1" t="n"/>
      <c r="AX368" s="1" t="n"/>
      <c r="AY368" s="1" t="n"/>
      <c r="AZ368" s="1" t="n"/>
      <c r="BA368" s="1" t="n"/>
    </row>
    <row r="369" ht="16.5" customHeight="1" s="220">
      <c r="A369" s="1" t="n"/>
      <c r="B369" s="1" t="n"/>
      <c r="C369" s="2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  <c r="AX369" s="1" t="n"/>
      <c r="AY369" s="1" t="n"/>
      <c r="AZ369" s="1" t="n"/>
      <c r="BA369" s="1" t="n"/>
    </row>
    <row r="370" ht="16.5" customHeight="1" s="220">
      <c r="A370" s="1" t="n"/>
      <c r="B370" s="1" t="n"/>
      <c r="C370" s="2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  <c r="AW370" s="1" t="n"/>
      <c r="AX370" s="1" t="n"/>
      <c r="AY370" s="1" t="n"/>
      <c r="AZ370" s="1" t="n"/>
      <c r="BA370" s="1" t="n"/>
    </row>
    <row r="371" ht="16.5" customHeight="1" s="220">
      <c r="A371" s="1" t="n"/>
      <c r="B371" s="1" t="n"/>
      <c r="C371" s="2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  <c r="AY371" s="1" t="n"/>
      <c r="AZ371" s="1" t="n"/>
      <c r="BA371" s="1" t="n"/>
    </row>
    <row r="372" ht="16.5" customHeight="1" s="220">
      <c r="A372" s="1" t="n"/>
      <c r="B372" s="1" t="n"/>
      <c r="C372" s="2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  <c r="AW372" s="1" t="n"/>
      <c r="AX372" s="1" t="n"/>
      <c r="AY372" s="1" t="n"/>
      <c r="AZ372" s="1" t="n"/>
      <c r="BA372" s="1" t="n"/>
    </row>
    <row r="373" ht="16.5" customHeight="1" s="220">
      <c r="A373" s="1" t="n"/>
      <c r="B373" s="1" t="n"/>
      <c r="C373" s="2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  <c r="AY373" s="1" t="n"/>
      <c r="AZ373" s="1" t="n"/>
      <c r="BA373" s="1" t="n"/>
    </row>
    <row r="374" ht="16.5" customHeight="1" s="220">
      <c r="A374" s="1" t="n"/>
      <c r="B374" s="1" t="n"/>
      <c r="C374" s="2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  <c r="AW374" s="1" t="n"/>
      <c r="AX374" s="1" t="n"/>
      <c r="AY374" s="1" t="n"/>
      <c r="AZ374" s="1" t="n"/>
      <c r="BA374" s="1" t="n"/>
    </row>
    <row r="375" ht="16.5" customHeight="1" s="220">
      <c r="A375" s="1" t="n"/>
      <c r="B375" s="1" t="n"/>
      <c r="C375" s="2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  <c r="AX375" s="1" t="n"/>
      <c r="AY375" s="1" t="n"/>
      <c r="AZ375" s="1" t="n"/>
      <c r="BA375" s="1" t="n"/>
    </row>
    <row r="376" ht="16.5" customHeight="1" s="220">
      <c r="A376" s="1" t="n"/>
      <c r="B376" s="1" t="n"/>
      <c r="C376" s="2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  <c r="AW376" s="1" t="n"/>
      <c r="AX376" s="1" t="n"/>
      <c r="AY376" s="1" t="n"/>
      <c r="AZ376" s="1" t="n"/>
      <c r="BA376" s="1" t="n"/>
    </row>
    <row r="377" ht="16.5" customHeight="1" s="220">
      <c r="A377" s="1" t="n"/>
      <c r="B377" s="1" t="n"/>
      <c r="C377" s="2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</row>
    <row r="378" ht="16.5" customHeight="1" s="220">
      <c r="A378" s="1" t="n"/>
      <c r="B378" s="1" t="n"/>
      <c r="C378" s="2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  <c r="AW378" s="1" t="n"/>
      <c r="AX378" s="1" t="n"/>
      <c r="AY378" s="1" t="n"/>
      <c r="AZ378" s="1" t="n"/>
      <c r="BA378" s="1" t="n"/>
    </row>
    <row r="379" ht="16.5" customHeight="1" s="220">
      <c r="A379" s="1" t="n"/>
      <c r="B379" s="1" t="n"/>
      <c r="C379" s="2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  <c r="AX379" s="1" t="n"/>
      <c r="AY379" s="1" t="n"/>
      <c r="AZ379" s="1" t="n"/>
      <c r="BA379" s="1" t="n"/>
    </row>
    <row r="380" ht="16.5" customHeight="1" s="220">
      <c r="A380" s="1" t="n"/>
      <c r="B380" s="1" t="n"/>
      <c r="C380" s="2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  <c r="AW380" s="1" t="n"/>
      <c r="AX380" s="1" t="n"/>
      <c r="AY380" s="1" t="n"/>
      <c r="AZ380" s="1" t="n"/>
      <c r="BA380" s="1" t="n"/>
    </row>
    <row r="381" ht="16.5" customHeight="1" s="220">
      <c r="A381" s="1" t="n"/>
      <c r="B381" s="1" t="n"/>
      <c r="C381" s="2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  <c r="AX381" s="1" t="n"/>
      <c r="AY381" s="1" t="n"/>
      <c r="AZ381" s="1" t="n"/>
      <c r="BA381" s="1" t="n"/>
    </row>
    <row r="382" ht="16.5" customHeight="1" s="220">
      <c r="A382" s="1" t="n"/>
      <c r="B382" s="1" t="n"/>
      <c r="C382" s="2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  <c r="AW382" s="1" t="n"/>
      <c r="AX382" s="1" t="n"/>
      <c r="AY382" s="1" t="n"/>
      <c r="AZ382" s="1" t="n"/>
      <c r="BA382" s="1" t="n"/>
    </row>
    <row r="383" ht="16.5" customHeight="1" s="220">
      <c r="A383" s="1" t="n"/>
      <c r="B383" s="1" t="n"/>
      <c r="C383" s="2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  <c r="AX383" s="1" t="n"/>
      <c r="AY383" s="1" t="n"/>
      <c r="AZ383" s="1" t="n"/>
      <c r="BA383" s="1" t="n"/>
    </row>
    <row r="384" ht="16.5" customHeight="1" s="220">
      <c r="A384" s="1" t="n"/>
      <c r="B384" s="1" t="n"/>
      <c r="C384" s="2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  <c r="AW384" s="1" t="n"/>
      <c r="AX384" s="1" t="n"/>
      <c r="AY384" s="1" t="n"/>
      <c r="AZ384" s="1" t="n"/>
      <c r="BA384" s="1" t="n"/>
    </row>
    <row r="385" ht="16.5" customHeight="1" s="220">
      <c r="A385" s="1" t="n"/>
      <c r="B385" s="1" t="n"/>
      <c r="C385" s="2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  <c r="AX385" s="1" t="n"/>
      <c r="AY385" s="1" t="n"/>
      <c r="AZ385" s="1" t="n"/>
      <c r="BA385" s="1" t="n"/>
    </row>
    <row r="386" ht="16.5" customHeight="1" s="220">
      <c r="A386" s="1" t="n"/>
      <c r="B386" s="1" t="n"/>
      <c r="C386" s="2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  <c r="BA386" s="1" t="n"/>
    </row>
    <row r="387" ht="16.5" customHeight="1" s="220">
      <c r="A387" s="1" t="n"/>
      <c r="B387" s="1" t="n"/>
      <c r="C387" s="2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  <c r="AX387" s="1" t="n"/>
      <c r="AY387" s="1" t="n"/>
      <c r="AZ387" s="1" t="n"/>
      <c r="BA387" s="1" t="n"/>
    </row>
    <row r="388" ht="16.5" customHeight="1" s="220">
      <c r="A388" s="1" t="n"/>
      <c r="B388" s="1" t="n"/>
      <c r="C388" s="2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  <c r="BA388" s="1" t="n"/>
    </row>
    <row r="389" ht="16.5" customHeight="1" s="220">
      <c r="A389" s="1" t="n"/>
      <c r="B389" s="1" t="n"/>
      <c r="C389" s="2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  <c r="AX389" s="1" t="n"/>
      <c r="AY389" s="1" t="n"/>
      <c r="AZ389" s="1" t="n"/>
      <c r="BA389" s="1" t="n"/>
    </row>
    <row r="390" ht="16.5" customHeight="1" s="220">
      <c r="A390" s="1" t="n"/>
      <c r="B390" s="1" t="n"/>
      <c r="C390" s="2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  <c r="AW390" s="1" t="n"/>
      <c r="AX390" s="1" t="n"/>
      <c r="AY390" s="1" t="n"/>
      <c r="AZ390" s="1" t="n"/>
      <c r="BA390" s="1" t="n"/>
    </row>
    <row r="391" ht="16.5" customHeight="1" s="220">
      <c r="A391" s="1" t="n"/>
      <c r="B391" s="1" t="n"/>
      <c r="C391" s="2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</row>
    <row r="392" ht="16.5" customHeight="1" s="220">
      <c r="A392" s="1" t="n"/>
      <c r="B392" s="1" t="n"/>
      <c r="C392" s="2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  <c r="AW392" s="1" t="n"/>
      <c r="AX392" s="1" t="n"/>
      <c r="AY392" s="1" t="n"/>
      <c r="AZ392" s="1" t="n"/>
      <c r="BA392" s="1" t="n"/>
    </row>
    <row r="393" ht="16.5" customHeight="1" s="220">
      <c r="A393" s="1" t="n"/>
      <c r="B393" s="1" t="n"/>
      <c r="C393" s="2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  <c r="AX393" s="1" t="n"/>
      <c r="AY393" s="1" t="n"/>
      <c r="AZ393" s="1" t="n"/>
      <c r="BA393" s="1" t="n"/>
    </row>
    <row r="394" ht="16.5" customHeight="1" s="220">
      <c r="A394" s="1" t="n"/>
      <c r="B394" s="1" t="n"/>
      <c r="C394" s="2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  <c r="AW394" s="1" t="n"/>
      <c r="AX394" s="1" t="n"/>
      <c r="AY394" s="1" t="n"/>
      <c r="AZ394" s="1" t="n"/>
      <c r="BA394" s="1" t="n"/>
    </row>
    <row r="395" ht="16.5" customHeight="1" s="220">
      <c r="A395" s="1" t="n"/>
      <c r="B395" s="1" t="n"/>
      <c r="C395" s="2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  <c r="AX395" s="1" t="n"/>
      <c r="AY395" s="1" t="n"/>
      <c r="AZ395" s="1" t="n"/>
      <c r="BA395" s="1" t="n"/>
    </row>
    <row r="396" ht="16.5" customHeight="1" s="220">
      <c r="A396" s="1" t="n"/>
      <c r="B396" s="1" t="n"/>
      <c r="C396" s="2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  <c r="BA396" s="1" t="n"/>
    </row>
    <row r="397" ht="16.5" customHeight="1" s="220">
      <c r="A397" s="1" t="n"/>
      <c r="B397" s="1" t="n"/>
      <c r="C397" s="2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  <c r="AX397" s="1" t="n"/>
      <c r="AY397" s="1" t="n"/>
      <c r="AZ397" s="1" t="n"/>
      <c r="BA397" s="1" t="n"/>
    </row>
    <row r="398" ht="16.5" customHeight="1" s="220">
      <c r="A398" s="1" t="n"/>
      <c r="B398" s="1" t="n"/>
      <c r="C398" s="2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  <c r="BA398" s="1" t="n"/>
    </row>
    <row r="399" ht="16.5" customHeight="1" s="220">
      <c r="A399" s="1" t="n"/>
      <c r="B399" s="1" t="n"/>
      <c r="C399" s="2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  <c r="AX399" s="1" t="n"/>
      <c r="AY399" s="1" t="n"/>
      <c r="AZ399" s="1" t="n"/>
      <c r="BA399" s="1" t="n"/>
    </row>
    <row r="400" ht="16.5" customHeight="1" s="220">
      <c r="A400" s="1" t="n"/>
      <c r="B400" s="1" t="n"/>
      <c r="C400" s="2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  <c r="AW400" s="1" t="n"/>
      <c r="AX400" s="1" t="n"/>
      <c r="AY400" s="1" t="n"/>
      <c r="AZ400" s="1" t="n"/>
      <c r="BA400" s="1" t="n"/>
    </row>
    <row r="401" ht="16.5" customHeight="1" s="220">
      <c r="A401" s="1" t="n"/>
      <c r="B401" s="1" t="n"/>
      <c r="C401" s="2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  <c r="AX401" s="1" t="n"/>
      <c r="AY401" s="1" t="n"/>
      <c r="AZ401" s="1" t="n"/>
      <c r="BA401" s="1" t="n"/>
    </row>
    <row r="402" ht="16.5" customHeight="1" s="220">
      <c r="A402" s="1" t="n"/>
      <c r="B402" s="1" t="n"/>
      <c r="C402" s="2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  <c r="AW402" s="1" t="n"/>
      <c r="AX402" s="1" t="n"/>
      <c r="AY402" s="1" t="n"/>
      <c r="AZ402" s="1" t="n"/>
      <c r="BA402" s="1" t="n"/>
    </row>
    <row r="403" ht="16.5" customHeight="1" s="220">
      <c r="A403" s="1" t="n"/>
      <c r="B403" s="1" t="n"/>
      <c r="C403" s="2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  <c r="AX403" s="1" t="n"/>
      <c r="AY403" s="1" t="n"/>
      <c r="AZ403" s="1" t="n"/>
      <c r="BA403" s="1" t="n"/>
    </row>
    <row r="404" ht="16.5" customHeight="1" s="220">
      <c r="A404" s="1" t="n"/>
      <c r="B404" s="1" t="n"/>
      <c r="C404" s="2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  <c r="AW404" s="1" t="n"/>
      <c r="AX404" s="1" t="n"/>
      <c r="AY404" s="1" t="n"/>
      <c r="AZ404" s="1" t="n"/>
      <c r="BA404" s="1" t="n"/>
    </row>
    <row r="405" ht="16.5" customHeight="1" s="220">
      <c r="A405" s="1" t="n"/>
      <c r="B405" s="1" t="n"/>
      <c r="C405" s="2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  <c r="AX405" s="1" t="n"/>
      <c r="AY405" s="1" t="n"/>
      <c r="AZ405" s="1" t="n"/>
      <c r="BA405" s="1" t="n"/>
    </row>
    <row r="406" ht="16.5" customHeight="1" s="220">
      <c r="A406" s="1" t="n"/>
      <c r="B406" s="1" t="n"/>
      <c r="C406" s="2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  <c r="AW406" s="1" t="n"/>
      <c r="AX406" s="1" t="n"/>
      <c r="AY406" s="1" t="n"/>
      <c r="AZ406" s="1" t="n"/>
      <c r="BA406" s="1" t="n"/>
    </row>
    <row r="407" ht="16.5" customHeight="1" s="220">
      <c r="A407" s="1" t="n"/>
      <c r="B407" s="1" t="n"/>
      <c r="C407" s="2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</row>
    <row r="408" ht="16.5" customHeight="1" s="220">
      <c r="A408" s="1" t="n"/>
      <c r="B408" s="1" t="n"/>
      <c r="C408" s="2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  <c r="AW408" s="1" t="n"/>
      <c r="AX408" s="1" t="n"/>
      <c r="AY408" s="1" t="n"/>
      <c r="AZ408" s="1" t="n"/>
      <c r="BA408" s="1" t="n"/>
    </row>
    <row r="409" ht="16.5" customHeight="1" s="220">
      <c r="A409" s="1" t="n"/>
      <c r="B409" s="1" t="n"/>
      <c r="C409" s="2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  <c r="AX409" s="1" t="n"/>
      <c r="AY409" s="1" t="n"/>
      <c r="AZ409" s="1" t="n"/>
      <c r="BA409" s="1" t="n"/>
    </row>
    <row r="410" ht="16.5" customHeight="1" s="220">
      <c r="A410" s="1" t="n"/>
      <c r="B410" s="1" t="n"/>
      <c r="C410" s="2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  <c r="AW410" s="1" t="n"/>
      <c r="AX410" s="1" t="n"/>
      <c r="AY410" s="1" t="n"/>
      <c r="AZ410" s="1" t="n"/>
      <c r="BA410" s="1" t="n"/>
    </row>
    <row r="411" ht="16.5" customHeight="1" s="220">
      <c r="A411" s="1" t="n"/>
      <c r="B411" s="1" t="n"/>
      <c r="C411" s="2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  <c r="AX411" s="1" t="n"/>
      <c r="AY411" s="1" t="n"/>
      <c r="AZ411" s="1" t="n"/>
      <c r="BA411" s="1" t="n"/>
    </row>
    <row r="412" ht="16.5" customHeight="1" s="220">
      <c r="A412" s="1" t="n"/>
      <c r="B412" s="1" t="n"/>
      <c r="C412" s="2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  <c r="AW412" s="1" t="n"/>
      <c r="AX412" s="1" t="n"/>
      <c r="AY412" s="1" t="n"/>
      <c r="AZ412" s="1" t="n"/>
      <c r="BA412" s="1" t="n"/>
    </row>
    <row r="413" ht="16.5" customHeight="1" s="220">
      <c r="A413" s="1" t="n"/>
      <c r="B413" s="1" t="n"/>
      <c r="C413" s="2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  <c r="AX413" s="1" t="n"/>
      <c r="AY413" s="1" t="n"/>
      <c r="AZ413" s="1" t="n"/>
      <c r="BA413" s="1" t="n"/>
    </row>
    <row r="414" ht="16.5" customHeight="1" s="220">
      <c r="A414" s="1" t="n"/>
      <c r="B414" s="1" t="n"/>
      <c r="C414" s="2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  <c r="AW414" s="1" t="n"/>
      <c r="AX414" s="1" t="n"/>
      <c r="AY414" s="1" t="n"/>
      <c r="AZ414" s="1" t="n"/>
      <c r="BA414" s="1" t="n"/>
    </row>
    <row r="415" ht="16.5" customHeight="1" s="220">
      <c r="A415" s="1" t="n"/>
      <c r="B415" s="1" t="n"/>
      <c r="C415" s="2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  <c r="AX415" s="1" t="n"/>
      <c r="AY415" s="1" t="n"/>
      <c r="AZ415" s="1" t="n"/>
      <c r="BA415" s="1" t="n"/>
    </row>
    <row r="416" ht="16.5" customHeight="1" s="220">
      <c r="A416" s="1" t="n"/>
      <c r="B416" s="1" t="n"/>
      <c r="C416" s="2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  <c r="AW416" s="1" t="n"/>
      <c r="AX416" s="1" t="n"/>
      <c r="AY416" s="1" t="n"/>
      <c r="AZ416" s="1" t="n"/>
      <c r="BA416" s="1" t="n"/>
    </row>
    <row r="417" ht="16.5" customHeight="1" s="220">
      <c r="A417" s="1" t="n"/>
      <c r="B417" s="1" t="n"/>
      <c r="C417" s="2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  <c r="AX417" s="1" t="n"/>
      <c r="AY417" s="1" t="n"/>
      <c r="AZ417" s="1" t="n"/>
      <c r="BA417" s="1" t="n"/>
    </row>
    <row r="418" ht="16.5" customHeight="1" s="220">
      <c r="A418" s="1" t="n"/>
      <c r="B418" s="1" t="n"/>
      <c r="C418" s="2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  <c r="AW418" s="1" t="n"/>
      <c r="AX418" s="1" t="n"/>
      <c r="AY418" s="1" t="n"/>
      <c r="AZ418" s="1" t="n"/>
      <c r="BA418" s="1" t="n"/>
    </row>
    <row r="419" ht="16.5" customHeight="1" s="220">
      <c r="A419" s="1" t="n"/>
      <c r="B419" s="1" t="n"/>
      <c r="C419" s="2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  <c r="AX419" s="1" t="n"/>
      <c r="AY419" s="1" t="n"/>
      <c r="AZ419" s="1" t="n"/>
      <c r="BA419" s="1" t="n"/>
    </row>
    <row r="420" ht="16.5" customHeight="1" s="220">
      <c r="A420" s="1" t="n"/>
      <c r="B420" s="1" t="n"/>
      <c r="C420" s="2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  <c r="AW420" s="1" t="n"/>
      <c r="AX420" s="1" t="n"/>
      <c r="AY420" s="1" t="n"/>
      <c r="AZ420" s="1" t="n"/>
      <c r="BA420" s="1" t="n"/>
    </row>
    <row r="421" ht="16.5" customHeight="1" s="220">
      <c r="A421" s="1" t="n"/>
      <c r="B421" s="1" t="n"/>
      <c r="C421" s="2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  <c r="AX421" s="1" t="n"/>
      <c r="AY421" s="1" t="n"/>
      <c r="AZ421" s="1" t="n"/>
      <c r="BA421" s="1" t="n"/>
    </row>
    <row r="422" ht="16.5" customHeight="1" s="220">
      <c r="A422" s="1" t="n"/>
      <c r="B422" s="1" t="n"/>
      <c r="C422" s="2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  <c r="AW422" s="1" t="n"/>
      <c r="AX422" s="1" t="n"/>
      <c r="AY422" s="1" t="n"/>
      <c r="AZ422" s="1" t="n"/>
      <c r="BA422" s="1" t="n"/>
    </row>
    <row r="423" ht="16.5" customHeight="1" s="220">
      <c r="A423" s="1" t="n"/>
      <c r="B423" s="1" t="n"/>
      <c r="C423" s="2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  <c r="AX423" s="1" t="n"/>
      <c r="AY423" s="1" t="n"/>
      <c r="AZ423" s="1" t="n"/>
      <c r="BA423" s="1" t="n"/>
    </row>
    <row r="424" ht="16.5" customHeight="1" s="220">
      <c r="A424" s="1" t="n"/>
      <c r="B424" s="1" t="n"/>
      <c r="C424" s="2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  <c r="AW424" s="1" t="n"/>
      <c r="AX424" s="1" t="n"/>
      <c r="AY424" s="1" t="n"/>
      <c r="AZ424" s="1" t="n"/>
      <c r="BA424" s="1" t="n"/>
    </row>
    <row r="425" ht="16.5" customHeight="1" s="220">
      <c r="A425" s="1" t="n"/>
      <c r="B425" s="1" t="n"/>
      <c r="C425" s="2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  <c r="AX425" s="1" t="n"/>
      <c r="AY425" s="1" t="n"/>
      <c r="AZ425" s="1" t="n"/>
      <c r="BA425" s="1" t="n"/>
    </row>
    <row r="426" ht="16.5" customHeight="1" s="220">
      <c r="A426" s="1" t="n"/>
      <c r="B426" s="1" t="n"/>
      <c r="C426" s="2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  <c r="AW426" s="1" t="n"/>
      <c r="AX426" s="1" t="n"/>
      <c r="AY426" s="1" t="n"/>
      <c r="AZ426" s="1" t="n"/>
      <c r="BA426" s="1" t="n"/>
    </row>
    <row r="427" ht="16.5" customHeight="1" s="220">
      <c r="A427" s="1" t="n"/>
      <c r="B427" s="1" t="n"/>
      <c r="C427" s="2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  <c r="AX427" s="1" t="n"/>
      <c r="AY427" s="1" t="n"/>
      <c r="AZ427" s="1" t="n"/>
      <c r="BA427" s="1" t="n"/>
    </row>
    <row r="428" ht="16.5" customHeight="1" s="220">
      <c r="A428" s="1" t="n"/>
      <c r="B428" s="1" t="n"/>
      <c r="C428" s="2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  <c r="AW428" s="1" t="n"/>
      <c r="AX428" s="1" t="n"/>
      <c r="AY428" s="1" t="n"/>
      <c r="AZ428" s="1" t="n"/>
      <c r="BA428" s="1" t="n"/>
    </row>
    <row r="429" ht="16.5" customHeight="1" s="220">
      <c r="A429" s="1" t="n"/>
      <c r="B429" s="1" t="n"/>
      <c r="C429" s="2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  <c r="AX429" s="1" t="n"/>
      <c r="AY429" s="1" t="n"/>
      <c r="AZ429" s="1" t="n"/>
      <c r="BA429" s="1" t="n"/>
    </row>
    <row r="430" ht="16.5" customHeight="1" s="220">
      <c r="A430" s="1" t="n"/>
      <c r="B430" s="1" t="n"/>
      <c r="C430" s="2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  <c r="AW430" s="1" t="n"/>
      <c r="AX430" s="1" t="n"/>
      <c r="AY430" s="1" t="n"/>
      <c r="AZ430" s="1" t="n"/>
      <c r="BA430" s="1" t="n"/>
    </row>
    <row r="431" ht="16.5" customHeight="1" s="220">
      <c r="A431" s="1" t="n"/>
      <c r="B431" s="1" t="n"/>
      <c r="C431" s="2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  <c r="AX431" s="1" t="n"/>
      <c r="AY431" s="1" t="n"/>
      <c r="AZ431" s="1" t="n"/>
      <c r="BA431" s="1" t="n"/>
    </row>
    <row r="432" ht="16.5" customHeight="1" s="220">
      <c r="A432" s="1" t="n"/>
      <c r="B432" s="1" t="n"/>
      <c r="C432" s="2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  <c r="AW432" s="1" t="n"/>
      <c r="AX432" s="1" t="n"/>
      <c r="AY432" s="1" t="n"/>
      <c r="AZ432" s="1" t="n"/>
      <c r="BA432" s="1" t="n"/>
    </row>
    <row r="433" ht="16.5" customHeight="1" s="220">
      <c r="A433" s="1" t="n"/>
      <c r="B433" s="1" t="n"/>
      <c r="C433" s="2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  <c r="AX433" s="1" t="n"/>
      <c r="AY433" s="1" t="n"/>
      <c r="AZ433" s="1" t="n"/>
      <c r="BA433" s="1" t="n"/>
    </row>
    <row r="434" ht="16.5" customHeight="1" s="220">
      <c r="A434" s="1" t="n"/>
      <c r="B434" s="1" t="n"/>
      <c r="C434" s="2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  <c r="AS434" s="1" t="n"/>
      <c r="AT434" s="1" t="n"/>
      <c r="AU434" s="1" t="n"/>
      <c r="AV434" s="1" t="n"/>
      <c r="AW434" s="1" t="n"/>
      <c r="AX434" s="1" t="n"/>
      <c r="AY434" s="1" t="n"/>
      <c r="AZ434" s="1" t="n"/>
      <c r="BA434" s="1" t="n"/>
    </row>
    <row r="435" ht="16.5" customHeight="1" s="220">
      <c r="A435" s="1" t="n"/>
      <c r="B435" s="1" t="n"/>
      <c r="C435" s="2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  <c r="AX435" s="1" t="n"/>
      <c r="AY435" s="1" t="n"/>
      <c r="AZ435" s="1" t="n"/>
      <c r="BA435" s="1" t="n"/>
    </row>
    <row r="436" ht="16.5" customHeight="1" s="220">
      <c r="A436" s="1" t="n"/>
      <c r="B436" s="1" t="n"/>
      <c r="C436" s="2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  <c r="AW436" s="1" t="n"/>
      <c r="AX436" s="1" t="n"/>
      <c r="AY436" s="1" t="n"/>
      <c r="AZ436" s="1" t="n"/>
      <c r="BA436" s="1" t="n"/>
    </row>
    <row r="437" ht="16.5" customHeight="1" s="220">
      <c r="A437" s="1" t="n"/>
      <c r="B437" s="1" t="n"/>
      <c r="C437" s="2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  <c r="AX437" s="1" t="n"/>
      <c r="AY437" s="1" t="n"/>
      <c r="AZ437" s="1" t="n"/>
      <c r="BA437" s="1" t="n"/>
    </row>
    <row r="438" ht="16.5" customHeight="1" s="220">
      <c r="A438" s="1" t="n"/>
      <c r="B438" s="1" t="n"/>
      <c r="C438" s="2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  <c r="AW438" s="1" t="n"/>
      <c r="AX438" s="1" t="n"/>
      <c r="AY438" s="1" t="n"/>
      <c r="AZ438" s="1" t="n"/>
      <c r="BA438" s="1" t="n"/>
    </row>
    <row r="439" ht="16.5" customHeight="1" s="220">
      <c r="A439" s="1" t="n"/>
      <c r="B439" s="1" t="n"/>
      <c r="C439" s="2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  <c r="AX439" s="1" t="n"/>
      <c r="AY439" s="1" t="n"/>
      <c r="AZ439" s="1" t="n"/>
      <c r="BA439" s="1" t="n"/>
    </row>
    <row r="440" ht="16.5" customHeight="1" s="220">
      <c r="A440" s="1" t="n"/>
      <c r="B440" s="1" t="n"/>
      <c r="C440" s="2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  <c r="AW440" s="1" t="n"/>
      <c r="AX440" s="1" t="n"/>
      <c r="AY440" s="1" t="n"/>
      <c r="AZ440" s="1" t="n"/>
      <c r="BA440" s="1" t="n"/>
    </row>
    <row r="441" ht="16.5" customHeight="1" s="220">
      <c r="A441" s="1" t="n"/>
      <c r="B441" s="1" t="n"/>
      <c r="C441" s="2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  <c r="AX441" s="1" t="n"/>
      <c r="AY441" s="1" t="n"/>
      <c r="AZ441" s="1" t="n"/>
      <c r="BA441" s="1" t="n"/>
    </row>
    <row r="442" ht="16.5" customHeight="1" s="220">
      <c r="A442" s="1" t="n"/>
      <c r="B442" s="1" t="n"/>
      <c r="C442" s="2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  <c r="AW442" s="1" t="n"/>
      <c r="AX442" s="1" t="n"/>
      <c r="AY442" s="1" t="n"/>
      <c r="AZ442" s="1" t="n"/>
      <c r="BA442" s="1" t="n"/>
    </row>
    <row r="443" ht="16.5" customHeight="1" s="220">
      <c r="A443" s="1" t="n"/>
      <c r="B443" s="1" t="n"/>
      <c r="C443" s="2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  <c r="AX443" s="1" t="n"/>
      <c r="AY443" s="1" t="n"/>
      <c r="AZ443" s="1" t="n"/>
      <c r="BA443" s="1" t="n"/>
    </row>
    <row r="444" ht="16.5" customHeight="1" s="220">
      <c r="A444" s="1" t="n"/>
      <c r="B444" s="1" t="n"/>
      <c r="C444" s="2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  <c r="AW444" s="1" t="n"/>
      <c r="AX444" s="1" t="n"/>
      <c r="AY444" s="1" t="n"/>
      <c r="AZ444" s="1" t="n"/>
      <c r="BA444" s="1" t="n"/>
    </row>
    <row r="445" ht="16.5" customHeight="1" s="220">
      <c r="A445" s="1" t="n"/>
      <c r="B445" s="1" t="n"/>
      <c r="C445" s="2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  <c r="AW445" s="1" t="n"/>
      <c r="AX445" s="1" t="n"/>
      <c r="AY445" s="1" t="n"/>
      <c r="AZ445" s="1" t="n"/>
      <c r="BA445" s="1" t="n"/>
    </row>
    <row r="446" ht="16.5" customHeight="1" s="220">
      <c r="A446" s="1" t="n"/>
      <c r="B446" s="1" t="n"/>
      <c r="C446" s="2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  <c r="AW446" s="1" t="n"/>
      <c r="AX446" s="1" t="n"/>
      <c r="AY446" s="1" t="n"/>
      <c r="AZ446" s="1" t="n"/>
      <c r="BA446" s="1" t="n"/>
    </row>
    <row r="447" ht="16.5" customHeight="1" s="220">
      <c r="A447" s="1" t="n"/>
      <c r="B447" s="1" t="n"/>
      <c r="C447" s="2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  <c r="AX447" s="1" t="n"/>
      <c r="AY447" s="1" t="n"/>
      <c r="AZ447" s="1" t="n"/>
      <c r="BA447" s="1" t="n"/>
    </row>
    <row r="448" ht="16.5" customHeight="1" s="220">
      <c r="A448" s="1" t="n"/>
      <c r="B448" s="1" t="n"/>
      <c r="C448" s="2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  <c r="AW448" s="1" t="n"/>
      <c r="AX448" s="1" t="n"/>
      <c r="AY448" s="1" t="n"/>
      <c r="AZ448" s="1" t="n"/>
      <c r="BA448" s="1" t="n"/>
    </row>
    <row r="449" ht="16.5" customHeight="1" s="220">
      <c r="A449" s="1" t="n"/>
      <c r="B449" s="1" t="n"/>
      <c r="C449" s="2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  <c r="AX449" s="1" t="n"/>
      <c r="AY449" s="1" t="n"/>
      <c r="AZ449" s="1" t="n"/>
      <c r="BA449" s="1" t="n"/>
    </row>
    <row r="450" ht="16.5" customHeight="1" s="220">
      <c r="A450" s="1" t="n"/>
      <c r="B450" s="1" t="n"/>
      <c r="C450" s="2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  <c r="AS450" s="1" t="n"/>
      <c r="AT450" s="1" t="n"/>
      <c r="AU450" s="1" t="n"/>
      <c r="AV450" s="1" t="n"/>
      <c r="AW450" s="1" t="n"/>
      <c r="AX450" s="1" t="n"/>
      <c r="AY450" s="1" t="n"/>
      <c r="AZ450" s="1" t="n"/>
      <c r="BA450" s="1" t="n"/>
    </row>
    <row r="451" ht="16.5" customHeight="1" s="220">
      <c r="A451" s="1" t="n"/>
      <c r="B451" s="1" t="n"/>
      <c r="C451" s="2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  <c r="AW451" s="1" t="n"/>
      <c r="AX451" s="1" t="n"/>
      <c r="AY451" s="1" t="n"/>
      <c r="AZ451" s="1" t="n"/>
      <c r="BA451" s="1" t="n"/>
    </row>
    <row r="452" ht="16.5" customHeight="1" s="220">
      <c r="A452" s="1" t="n"/>
      <c r="B452" s="1" t="n"/>
      <c r="C452" s="2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  <c r="AS452" s="1" t="n"/>
      <c r="AT452" s="1" t="n"/>
      <c r="AU452" s="1" t="n"/>
      <c r="AV452" s="1" t="n"/>
      <c r="AW452" s="1" t="n"/>
      <c r="AX452" s="1" t="n"/>
      <c r="AY452" s="1" t="n"/>
      <c r="AZ452" s="1" t="n"/>
      <c r="BA452" s="1" t="n"/>
    </row>
    <row r="453" ht="16.5" customHeight="1" s="220">
      <c r="A453" s="1" t="n"/>
      <c r="B453" s="1" t="n"/>
      <c r="C453" s="2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  <c r="AW453" s="1" t="n"/>
      <c r="AX453" s="1" t="n"/>
      <c r="AY453" s="1" t="n"/>
      <c r="AZ453" s="1" t="n"/>
      <c r="BA453" s="1" t="n"/>
    </row>
    <row r="454" ht="16.5" customHeight="1" s="220">
      <c r="A454" s="1" t="n"/>
      <c r="B454" s="1" t="n"/>
      <c r="C454" s="2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  <c r="AS454" s="1" t="n"/>
      <c r="AT454" s="1" t="n"/>
      <c r="AU454" s="1" t="n"/>
      <c r="AV454" s="1" t="n"/>
      <c r="AW454" s="1" t="n"/>
      <c r="AX454" s="1" t="n"/>
      <c r="AY454" s="1" t="n"/>
      <c r="AZ454" s="1" t="n"/>
      <c r="BA454" s="1" t="n"/>
    </row>
    <row r="455" ht="16.5" customHeight="1" s="220">
      <c r="A455" s="1" t="n"/>
      <c r="B455" s="1" t="n"/>
      <c r="C455" s="2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  <c r="AW455" s="1" t="n"/>
      <c r="AX455" s="1" t="n"/>
      <c r="AY455" s="1" t="n"/>
      <c r="AZ455" s="1" t="n"/>
      <c r="BA455" s="1" t="n"/>
    </row>
    <row r="456" ht="16.5" customHeight="1" s="220">
      <c r="A456" s="1" t="n"/>
      <c r="B456" s="1" t="n"/>
      <c r="C456" s="2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  <c r="AS456" s="1" t="n"/>
      <c r="AT456" s="1" t="n"/>
      <c r="AU456" s="1" t="n"/>
      <c r="AV456" s="1" t="n"/>
      <c r="AW456" s="1" t="n"/>
      <c r="AX456" s="1" t="n"/>
      <c r="AY456" s="1" t="n"/>
      <c r="AZ456" s="1" t="n"/>
      <c r="BA456" s="1" t="n"/>
    </row>
    <row r="457" ht="16.5" customHeight="1" s="220">
      <c r="A457" s="1" t="n"/>
      <c r="B457" s="1" t="n"/>
      <c r="C457" s="2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  <c r="AW457" s="1" t="n"/>
      <c r="AX457" s="1" t="n"/>
      <c r="AY457" s="1" t="n"/>
      <c r="AZ457" s="1" t="n"/>
      <c r="BA457" s="1" t="n"/>
    </row>
    <row r="458" ht="16.5" customHeight="1" s="220">
      <c r="A458" s="1" t="n"/>
      <c r="B458" s="1" t="n"/>
      <c r="C458" s="2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  <c r="AS458" s="1" t="n"/>
      <c r="AT458" s="1" t="n"/>
      <c r="AU458" s="1" t="n"/>
      <c r="AV458" s="1" t="n"/>
      <c r="AW458" s="1" t="n"/>
      <c r="AX458" s="1" t="n"/>
      <c r="AY458" s="1" t="n"/>
      <c r="AZ458" s="1" t="n"/>
      <c r="BA458" s="1" t="n"/>
    </row>
    <row r="459" ht="16.5" customHeight="1" s="220">
      <c r="A459" s="1" t="n"/>
      <c r="B459" s="1" t="n"/>
      <c r="C459" s="2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  <c r="AW459" s="1" t="n"/>
      <c r="AX459" s="1" t="n"/>
      <c r="AY459" s="1" t="n"/>
      <c r="AZ459" s="1" t="n"/>
      <c r="BA459" s="1" t="n"/>
    </row>
    <row r="460" ht="16.5" customHeight="1" s="220">
      <c r="A460" s="1" t="n"/>
      <c r="B460" s="1" t="n"/>
      <c r="C460" s="2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  <c r="AS460" s="1" t="n"/>
      <c r="AT460" s="1" t="n"/>
      <c r="AU460" s="1" t="n"/>
      <c r="AV460" s="1" t="n"/>
      <c r="AW460" s="1" t="n"/>
      <c r="AX460" s="1" t="n"/>
      <c r="AY460" s="1" t="n"/>
      <c r="AZ460" s="1" t="n"/>
      <c r="BA460" s="1" t="n"/>
    </row>
    <row r="461" ht="16.5" customHeight="1" s="220">
      <c r="A461" s="1" t="n"/>
      <c r="B461" s="1" t="n"/>
      <c r="C461" s="2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  <c r="AW461" s="1" t="n"/>
      <c r="AX461" s="1" t="n"/>
      <c r="AY461" s="1" t="n"/>
      <c r="AZ461" s="1" t="n"/>
      <c r="BA461" s="1" t="n"/>
    </row>
    <row r="462" ht="16.5" customHeight="1" s="220">
      <c r="A462" s="1" t="n"/>
      <c r="B462" s="1" t="n"/>
      <c r="C462" s="2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  <c r="AS462" s="1" t="n"/>
      <c r="AT462" s="1" t="n"/>
      <c r="AU462" s="1" t="n"/>
      <c r="AV462" s="1" t="n"/>
      <c r="AW462" s="1" t="n"/>
      <c r="AX462" s="1" t="n"/>
      <c r="AY462" s="1" t="n"/>
      <c r="AZ462" s="1" t="n"/>
      <c r="BA462" s="1" t="n"/>
    </row>
    <row r="463" ht="16.5" customHeight="1" s="220">
      <c r="A463" s="1" t="n"/>
      <c r="B463" s="1" t="n"/>
      <c r="C463" s="2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  <c r="AW463" s="1" t="n"/>
      <c r="AX463" s="1" t="n"/>
      <c r="AY463" s="1" t="n"/>
      <c r="AZ463" s="1" t="n"/>
      <c r="BA463" s="1" t="n"/>
    </row>
    <row r="464" ht="16.5" customHeight="1" s="220">
      <c r="A464" s="1" t="n"/>
      <c r="B464" s="1" t="n"/>
      <c r="C464" s="2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  <c r="AS464" s="1" t="n"/>
      <c r="AT464" s="1" t="n"/>
      <c r="AU464" s="1" t="n"/>
      <c r="AV464" s="1" t="n"/>
      <c r="AW464" s="1" t="n"/>
      <c r="AX464" s="1" t="n"/>
      <c r="AY464" s="1" t="n"/>
      <c r="AZ464" s="1" t="n"/>
      <c r="BA464" s="1" t="n"/>
    </row>
    <row r="465" ht="16.5" customHeight="1" s="220">
      <c r="A465" s="1" t="n"/>
      <c r="B465" s="1" t="n"/>
      <c r="C465" s="2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  <c r="AW465" s="1" t="n"/>
      <c r="AX465" s="1" t="n"/>
      <c r="AY465" s="1" t="n"/>
      <c r="AZ465" s="1" t="n"/>
      <c r="BA465" s="1" t="n"/>
    </row>
    <row r="466" ht="16.5" customHeight="1" s="220">
      <c r="A466" s="1" t="n"/>
      <c r="B466" s="1" t="n"/>
      <c r="C466" s="2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  <c r="AS466" s="1" t="n"/>
      <c r="AT466" s="1" t="n"/>
      <c r="AU466" s="1" t="n"/>
      <c r="AV466" s="1" t="n"/>
      <c r="AW466" s="1" t="n"/>
      <c r="AX466" s="1" t="n"/>
      <c r="AY466" s="1" t="n"/>
      <c r="AZ466" s="1" t="n"/>
      <c r="BA466" s="1" t="n"/>
    </row>
    <row r="467" ht="16.5" customHeight="1" s="220">
      <c r="A467" s="1" t="n"/>
      <c r="B467" s="1" t="n"/>
      <c r="C467" s="2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  <c r="AW467" s="1" t="n"/>
      <c r="AX467" s="1" t="n"/>
      <c r="AY467" s="1" t="n"/>
      <c r="AZ467" s="1" t="n"/>
      <c r="BA467" s="1" t="n"/>
    </row>
    <row r="468" ht="16.5" customHeight="1" s="220">
      <c r="A468" s="1" t="n"/>
      <c r="B468" s="1" t="n"/>
      <c r="C468" s="2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  <c r="AS468" s="1" t="n"/>
      <c r="AT468" s="1" t="n"/>
      <c r="AU468" s="1" t="n"/>
      <c r="AV468" s="1" t="n"/>
      <c r="AW468" s="1" t="n"/>
      <c r="AX468" s="1" t="n"/>
      <c r="AY468" s="1" t="n"/>
      <c r="AZ468" s="1" t="n"/>
      <c r="BA468" s="1" t="n"/>
    </row>
    <row r="469" ht="16.5" customHeight="1" s="220">
      <c r="A469" s="1" t="n"/>
      <c r="B469" s="1" t="n"/>
      <c r="C469" s="2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  <c r="AW469" s="1" t="n"/>
      <c r="AX469" s="1" t="n"/>
      <c r="AY469" s="1" t="n"/>
      <c r="AZ469" s="1" t="n"/>
      <c r="BA469" s="1" t="n"/>
    </row>
    <row r="470" ht="16.5" customHeight="1" s="220">
      <c r="A470" s="1" t="n"/>
      <c r="B470" s="1" t="n"/>
      <c r="C470" s="2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  <c r="AS470" s="1" t="n"/>
      <c r="AT470" s="1" t="n"/>
      <c r="AU470" s="1" t="n"/>
      <c r="AV470" s="1" t="n"/>
      <c r="AW470" s="1" t="n"/>
      <c r="AX470" s="1" t="n"/>
      <c r="AY470" s="1" t="n"/>
      <c r="AZ470" s="1" t="n"/>
      <c r="BA470" s="1" t="n"/>
    </row>
    <row r="471" ht="16.5" customHeight="1" s="220">
      <c r="A471" s="1" t="n"/>
      <c r="B471" s="1" t="n"/>
      <c r="C471" s="2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  <c r="AW471" s="1" t="n"/>
      <c r="AX471" s="1" t="n"/>
      <c r="AY471" s="1" t="n"/>
      <c r="AZ471" s="1" t="n"/>
      <c r="BA471" s="1" t="n"/>
    </row>
    <row r="472" ht="16.5" customHeight="1" s="220">
      <c r="A472" s="1" t="n"/>
      <c r="B472" s="1" t="n"/>
      <c r="C472" s="2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  <c r="AS472" s="1" t="n"/>
      <c r="AT472" s="1" t="n"/>
      <c r="AU472" s="1" t="n"/>
      <c r="AV472" s="1" t="n"/>
      <c r="AW472" s="1" t="n"/>
      <c r="AX472" s="1" t="n"/>
      <c r="AY472" s="1" t="n"/>
      <c r="AZ472" s="1" t="n"/>
      <c r="BA472" s="1" t="n"/>
    </row>
    <row r="473" ht="16.5" customHeight="1" s="220">
      <c r="A473" s="1" t="n"/>
      <c r="B473" s="1" t="n"/>
      <c r="C473" s="2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  <c r="AW473" s="1" t="n"/>
      <c r="AX473" s="1" t="n"/>
      <c r="AY473" s="1" t="n"/>
      <c r="AZ473" s="1" t="n"/>
      <c r="BA473" s="1" t="n"/>
    </row>
    <row r="474" ht="16.5" customHeight="1" s="220">
      <c r="A474" s="1" t="n"/>
      <c r="B474" s="1" t="n"/>
      <c r="C474" s="2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  <c r="AS474" s="1" t="n"/>
      <c r="AT474" s="1" t="n"/>
      <c r="AU474" s="1" t="n"/>
      <c r="AV474" s="1" t="n"/>
      <c r="AW474" s="1" t="n"/>
      <c r="AX474" s="1" t="n"/>
      <c r="AY474" s="1" t="n"/>
      <c r="AZ474" s="1" t="n"/>
      <c r="BA474" s="1" t="n"/>
    </row>
    <row r="475" ht="16.5" customHeight="1" s="220">
      <c r="A475" s="1" t="n"/>
      <c r="B475" s="1" t="n"/>
      <c r="C475" s="2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  <c r="AW475" s="1" t="n"/>
      <c r="AX475" s="1" t="n"/>
      <c r="AY475" s="1" t="n"/>
      <c r="AZ475" s="1" t="n"/>
      <c r="BA475" s="1" t="n"/>
    </row>
    <row r="476" ht="16.5" customHeight="1" s="220">
      <c r="A476" s="1" t="n"/>
      <c r="B476" s="1" t="n"/>
      <c r="C476" s="2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  <c r="AS476" s="1" t="n"/>
      <c r="AT476" s="1" t="n"/>
      <c r="AU476" s="1" t="n"/>
      <c r="AV476" s="1" t="n"/>
      <c r="AW476" s="1" t="n"/>
      <c r="AX476" s="1" t="n"/>
      <c r="AY476" s="1" t="n"/>
      <c r="AZ476" s="1" t="n"/>
      <c r="BA476" s="1" t="n"/>
    </row>
    <row r="477" ht="16.5" customHeight="1" s="220">
      <c r="A477" s="1" t="n"/>
      <c r="B477" s="1" t="n"/>
      <c r="C477" s="2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  <c r="AW477" s="1" t="n"/>
      <c r="AX477" s="1" t="n"/>
      <c r="AY477" s="1" t="n"/>
      <c r="AZ477" s="1" t="n"/>
      <c r="BA477" s="1" t="n"/>
    </row>
    <row r="478" ht="16.5" customHeight="1" s="220">
      <c r="A478" s="1" t="n"/>
      <c r="B478" s="1" t="n"/>
      <c r="C478" s="2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  <c r="AS478" s="1" t="n"/>
      <c r="AT478" s="1" t="n"/>
      <c r="AU478" s="1" t="n"/>
      <c r="AV478" s="1" t="n"/>
      <c r="AW478" s="1" t="n"/>
      <c r="AX478" s="1" t="n"/>
      <c r="AY478" s="1" t="n"/>
      <c r="AZ478" s="1" t="n"/>
      <c r="BA478" s="1" t="n"/>
    </row>
    <row r="479" ht="16.5" customHeight="1" s="220">
      <c r="A479" s="1" t="n"/>
      <c r="B479" s="1" t="n"/>
      <c r="C479" s="2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  <c r="AW479" s="1" t="n"/>
      <c r="AX479" s="1" t="n"/>
      <c r="AY479" s="1" t="n"/>
      <c r="AZ479" s="1" t="n"/>
      <c r="BA479" s="1" t="n"/>
    </row>
    <row r="480" ht="16.5" customHeight="1" s="220">
      <c r="A480" s="1" t="n"/>
      <c r="B480" s="1" t="n"/>
      <c r="C480" s="2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  <c r="AS480" s="1" t="n"/>
      <c r="AT480" s="1" t="n"/>
      <c r="AU480" s="1" t="n"/>
      <c r="AV480" s="1" t="n"/>
      <c r="AW480" s="1" t="n"/>
      <c r="AX480" s="1" t="n"/>
      <c r="AY480" s="1" t="n"/>
      <c r="AZ480" s="1" t="n"/>
      <c r="BA480" s="1" t="n"/>
    </row>
    <row r="481" ht="16.5" customHeight="1" s="220">
      <c r="A481" s="1" t="n"/>
      <c r="B481" s="1" t="n"/>
      <c r="C481" s="2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  <c r="AW481" s="1" t="n"/>
      <c r="AX481" s="1" t="n"/>
      <c r="AY481" s="1" t="n"/>
      <c r="AZ481" s="1" t="n"/>
      <c r="BA481" s="1" t="n"/>
    </row>
    <row r="482" ht="16.5" customHeight="1" s="220">
      <c r="A482" s="1" t="n"/>
      <c r="B482" s="1" t="n"/>
      <c r="C482" s="2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  <c r="AR482" s="1" t="n"/>
      <c r="AS482" s="1" t="n"/>
      <c r="AT482" s="1" t="n"/>
      <c r="AU482" s="1" t="n"/>
      <c r="AV482" s="1" t="n"/>
      <c r="AW482" s="1" t="n"/>
      <c r="AX482" s="1" t="n"/>
      <c r="AY482" s="1" t="n"/>
      <c r="AZ482" s="1" t="n"/>
      <c r="BA482" s="1" t="n"/>
    </row>
    <row r="483" ht="16.5" customHeight="1" s="220">
      <c r="A483" s="1" t="n"/>
      <c r="B483" s="1" t="n"/>
      <c r="C483" s="2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  <c r="AW483" s="1" t="n"/>
      <c r="AX483" s="1" t="n"/>
      <c r="AY483" s="1" t="n"/>
      <c r="AZ483" s="1" t="n"/>
      <c r="BA483" s="1" t="n"/>
    </row>
    <row r="484" ht="16.5" customHeight="1" s="220">
      <c r="A484" s="1" t="n"/>
      <c r="B484" s="1" t="n"/>
      <c r="C484" s="2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  <c r="AS484" s="1" t="n"/>
      <c r="AT484" s="1" t="n"/>
      <c r="AU484" s="1" t="n"/>
      <c r="AV484" s="1" t="n"/>
      <c r="AW484" s="1" t="n"/>
      <c r="AX484" s="1" t="n"/>
      <c r="AY484" s="1" t="n"/>
      <c r="AZ484" s="1" t="n"/>
      <c r="BA484" s="1" t="n"/>
    </row>
    <row r="485" ht="16.5" customHeight="1" s="220">
      <c r="A485" s="1" t="n"/>
      <c r="B485" s="1" t="n"/>
      <c r="C485" s="2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  <c r="AW485" s="1" t="n"/>
      <c r="AX485" s="1" t="n"/>
      <c r="AY485" s="1" t="n"/>
      <c r="AZ485" s="1" t="n"/>
      <c r="BA485" s="1" t="n"/>
    </row>
    <row r="486" ht="16.5" customHeight="1" s="220">
      <c r="A486" s="1" t="n"/>
      <c r="B486" s="1" t="n"/>
      <c r="C486" s="2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  <c r="AS486" s="1" t="n"/>
      <c r="AT486" s="1" t="n"/>
      <c r="AU486" s="1" t="n"/>
      <c r="AV486" s="1" t="n"/>
      <c r="AW486" s="1" t="n"/>
      <c r="AX486" s="1" t="n"/>
      <c r="AY486" s="1" t="n"/>
      <c r="AZ486" s="1" t="n"/>
      <c r="BA486" s="1" t="n"/>
    </row>
    <row r="487" ht="16.5" customHeight="1" s="220">
      <c r="A487" s="1" t="n"/>
      <c r="B487" s="1" t="n"/>
      <c r="C487" s="2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  <c r="AW487" s="1" t="n"/>
      <c r="AX487" s="1" t="n"/>
      <c r="AY487" s="1" t="n"/>
      <c r="AZ487" s="1" t="n"/>
      <c r="BA487" s="1" t="n"/>
    </row>
    <row r="488" ht="16.5" customHeight="1" s="220">
      <c r="A488" s="1" t="n"/>
      <c r="B488" s="1" t="n"/>
      <c r="C488" s="2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  <c r="AS488" s="1" t="n"/>
      <c r="AT488" s="1" t="n"/>
      <c r="AU488" s="1" t="n"/>
      <c r="AV488" s="1" t="n"/>
      <c r="AW488" s="1" t="n"/>
      <c r="AX488" s="1" t="n"/>
      <c r="AY488" s="1" t="n"/>
      <c r="AZ488" s="1" t="n"/>
      <c r="BA488" s="1" t="n"/>
    </row>
    <row r="489" ht="16.5" customHeight="1" s="220">
      <c r="A489" s="1" t="n"/>
      <c r="B489" s="1" t="n"/>
      <c r="C489" s="2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  <c r="AW489" s="1" t="n"/>
      <c r="AX489" s="1" t="n"/>
      <c r="AY489" s="1" t="n"/>
      <c r="AZ489" s="1" t="n"/>
      <c r="BA489" s="1" t="n"/>
    </row>
    <row r="490" ht="16.5" customHeight="1" s="220">
      <c r="A490" s="1" t="n"/>
      <c r="B490" s="1" t="n"/>
      <c r="C490" s="2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  <c r="AS490" s="1" t="n"/>
      <c r="AT490" s="1" t="n"/>
      <c r="AU490" s="1" t="n"/>
      <c r="AV490" s="1" t="n"/>
      <c r="AW490" s="1" t="n"/>
      <c r="AX490" s="1" t="n"/>
      <c r="AY490" s="1" t="n"/>
      <c r="AZ490" s="1" t="n"/>
      <c r="BA490" s="1" t="n"/>
    </row>
    <row r="491" ht="16.5" customHeight="1" s="220">
      <c r="A491" s="1" t="n"/>
      <c r="B491" s="1" t="n"/>
      <c r="C491" s="2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  <c r="AW491" s="1" t="n"/>
      <c r="AX491" s="1" t="n"/>
      <c r="AY491" s="1" t="n"/>
      <c r="AZ491" s="1" t="n"/>
      <c r="BA491" s="1" t="n"/>
    </row>
    <row r="492" ht="16.5" customHeight="1" s="220">
      <c r="A492" s="1" t="n"/>
      <c r="B492" s="1" t="n"/>
      <c r="C492" s="2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  <c r="AS492" s="1" t="n"/>
      <c r="AT492" s="1" t="n"/>
      <c r="AU492" s="1" t="n"/>
      <c r="AV492" s="1" t="n"/>
      <c r="AW492" s="1" t="n"/>
      <c r="AX492" s="1" t="n"/>
      <c r="AY492" s="1" t="n"/>
      <c r="AZ492" s="1" t="n"/>
      <c r="BA492" s="1" t="n"/>
    </row>
    <row r="493" ht="16.5" customHeight="1" s="220">
      <c r="A493" s="1" t="n"/>
      <c r="B493" s="1" t="n"/>
      <c r="C493" s="2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  <c r="AW493" s="1" t="n"/>
      <c r="AX493" s="1" t="n"/>
      <c r="AY493" s="1" t="n"/>
      <c r="AZ493" s="1" t="n"/>
      <c r="BA493" s="1" t="n"/>
    </row>
    <row r="494" ht="16.5" customHeight="1" s="220">
      <c r="A494" s="1" t="n"/>
      <c r="B494" s="1" t="n"/>
      <c r="C494" s="2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  <c r="AS494" s="1" t="n"/>
      <c r="AT494" s="1" t="n"/>
      <c r="AU494" s="1" t="n"/>
      <c r="AV494" s="1" t="n"/>
      <c r="AW494" s="1" t="n"/>
      <c r="AX494" s="1" t="n"/>
      <c r="AY494" s="1" t="n"/>
      <c r="AZ494" s="1" t="n"/>
      <c r="BA494" s="1" t="n"/>
    </row>
    <row r="495" ht="16.5" customHeight="1" s="220">
      <c r="A495" s="1" t="n"/>
      <c r="B495" s="1" t="n"/>
      <c r="C495" s="2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  <c r="AW495" s="1" t="n"/>
      <c r="AX495" s="1" t="n"/>
      <c r="AY495" s="1" t="n"/>
      <c r="AZ495" s="1" t="n"/>
      <c r="BA495" s="1" t="n"/>
    </row>
    <row r="496" ht="16.5" customHeight="1" s="220">
      <c r="A496" s="1" t="n"/>
      <c r="B496" s="1" t="n"/>
      <c r="C496" s="2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  <c r="AS496" s="1" t="n"/>
      <c r="AT496" s="1" t="n"/>
      <c r="AU496" s="1" t="n"/>
      <c r="AV496" s="1" t="n"/>
      <c r="AW496" s="1" t="n"/>
      <c r="AX496" s="1" t="n"/>
      <c r="AY496" s="1" t="n"/>
      <c r="AZ496" s="1" t="n"/>
      <c r="BA496" s="1" t="n"/>
    </row>
    <row r="497" ht="16.5" customHeight="1" s="220">
      <c r="A497" s="1" t="n"/>
      <c r="B497" s="1" t="n"/>
      <c r="C497" s="2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  <c r="AW497" s="1" t="n"/>
      <c r="AX497" s="1" t="n"/>
      <c r="AY497" s="1" t="n"/>
      <c r="AZ497" s="1" t="n"/>
      <c r="BA497" s="1" t="n"/>
    </row>
    <row r="498" ht="16.5" customHeight="1" s="220">
      <c r="A498" s="1" t="n"/>
      <c r="B498" s="1" t="n"/>
      <c r="C498" s="2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  <c r="AS498" s="1" t="n"/>
      <c r="AT498" s="1" t="n"/>
      <c r="AU498" s="1" t="n"/>
      <c r="AV498" s="1" t="n"/>
      <c r="AW498" s="1" t="n"/>
      <c r="AX498" s="1" t="n"/>
      <c r="AY498" s="1" t="n"/>
      <c r="AZ498" s="1" t="n"/>
      <c r="BA498" s="1" t="n"/>
    </row>
    <row r="499" ht="16.5" customHeight="1" s="220">
      <c r="A499" s="1" t="n"/>
      <c r="B499" s="1" t="n"/>
      <c r="C499" s="2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  <c r="AW499" s="1" t="n"/>
      <c r="AX499" s="1" t="n"/>
      <c r="AY499" s="1" t="n"/>
      <c r="AZ499" s="1" t="n"/>
      <c r="BA499" s="1" t="n"/>
    </row>
    <row r="500" ht="16.5" customHeight="1" s="220">
      <c r="A500" s="1" t="n"/>
      <c r="B500" s="1" t="n"/>
      <c r="C500" s="2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  <c r="AR500" s="1" t="n"/>
      <c r="AS500" s="1" t="n"/>
      <c r="AT500" s="1" t="n"/>
      <c r="AU500" s="1" t="n"/>
      <c r="AV500" s="1" t="n"/>
      <c r="AW500" s="1" t="n"/>
      <c r="AX500" s="1" t="n"/>
      <c r="AY500" s="1" t="n"/>
      <c r="AZ500" s="1" t="n"/>
      <c r="BA500" s="1" t="n"/>
    </row>
    <row r="501" ht="16.5" customHeight="1" s="220">
      <c r="A501" s="1" t="n"/>
      <c r="B501" s="1" t="n"/>
      <c r="C501" s="2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  <c r="AR501" s="1" t="n"/>
      <c r="AS501" s="1" t="n"/>
      <c r="AT501" s="1" t="n"/>
      <c r="AU501" s="1" t="n"/>
      <c r="AV501" s="1" t="n"/>
      <c r="AW501" s="1" t="n"/>
      <c r="AX501" s="1" t="n"/>
      <c r="AY501" s="1" t="n"/>
      <c r="AZ501" s="1" t="n"/>
      <c r="BA501" s="1" t="n"/>
    </row>
    <row r="502" ht="16.5" customHeight="1" s="220">
      <c r="A502" s="1" t="n"/>
      <c r="B502" s="1" t="n"/>
      <c r="C502" s="2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  <c r="AR502" s="1" t="n"/>
      <c r="AS502" s="1" t="n"/>
      <c r="AT502" s="1" t="n"/>
      <c r="AU502" s="1" t="n"/>
      <c r="AV502" s="1" t="n"/>
      <c r="AW502" s="1" t="n"/>
      <c r="AX502" s="1" t="n"/>
      <c r="AY502" s="1" t="n"/>
      <c r="AZ502" s="1" t="n"/>
      <c r="BA502" s="1" t="n"/>
    </row>
    <row r="503" ht="16.5" customHeight="1" s="220">
      <c r="A503" s="1" t="n"/>
      <c r="B503" s="1" t="n"/>
      <c r="C503" s="2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  <c r="AR503" s="1" t="n"/>
      <c r="AS503" s="1" t="n"/>
      <c r="AT503" s="1" t="n"/>
      <c r="AU503" s="1" t="n"/>
      <c r="AV503" s="1" t="n"/>
      <c r="AW503" s="1" t="n"/>
      <c r="AX503" s="1" t="n"/>
      <c r="AY503" s="1" t="n"/>
      <c r="AZ503" s="1" t="n"/>
      <c r="BA503" s="1" t="n"/>
    </row>
    <row r="504" ht="16.5" customHeight="1" s="220">
      <c r="A504" s="1" t="n"/>
      <c r="B504" s="1" t="n"/>
      <c r="C504" s="2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  <c r="AR504" s="1" t="n"/>
      <c r="AS504" s="1" t="n"/>
      <c r="AT504" s="1" t="n"/>
      <c r="AU504" s="1" t="n"/>
      <c r="AV504" s="1" t="n"/>
      <c r="AW504" s="1" t="n"/>
      <c r="AX504" s="1" t="n"/>
      <c r="AY504" s="1" t="n"/>
      <c r="AZ504" s="1" t="n"/>
      <c r="BA504" s="1" t="n"/>
    </row>
    <row r="505" ht="16.5" customHeight="1" s="220">
      <c r="A505" s="1" t="n"/>
      <c r="B505" s="1" t="n"/>
      <c r="C505" s="2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  <c r="AR505" s="1" t="n"/>
      <c r="AS505" s="1" t="n"/>
      <c r="AT505" s="1" t="n"/>
      <c r="AU505" s="1" t="n"/>
      <c r="AV505" s="1" t="n"/>
      <c r="AW505" s="1" t="n"/>
      <c r="AX505" s="1" t="n"/>
      <c r="AY505" s="1" t="n"/>
      <c r="AZ505" s="1" t="n"/>
      <c r="BA505" s="1" t="n"/>
    </row>
    <row r="506" ht="16.5" customHeight="1" s="220">
      <c r="A506" s="1" t="n"/>
      <c r="B506" s="1" t="n"/>
      <c r="C506" s="2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  <c r="AR506" s="1" t="n"/>
      <c r="AS506" s="1" t="n"/>
      <c r="AT506" s="1" t="n"/>
      <c r="AU506" s="1" t="n"/>
      <c r="AV506" s="1" t="n"/>
      <c r="AW506" s="1" t="n"/>
      <c r="AX506" s="1" t="n"/>
      <c r="AY506" s="1" t="n"/>
      <c r="AZ506" s="1" t="n"/>
      <c r="BA506" s="1" t="n"/>
    </row>
    <row r="507" ht="16.5" customHeight="1" s="220">
      <c r="A507" s="1" t="n"/>
      <c r="B507" s="1" t="n"/>
      <c r="C507" s="2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  <c r="AR507" s="1" t="n"/>
      <c r="AS507" s="1" t="n"/>
      <c r="AT507" s="1" t="n"/>
      <c r="AU507" s="1" t="n"/>
      <c r="AV507" s="1" t="n"/>
      <c r="AW507" s="1" t="n"/>
      <c r="AX507" s="1" t="n"/>
      <c r="AY507" s="1" t="n"/>
      <c r="AZ507" s="1" t="n"/>
      <c r="BA507" s="1" t="n"/>
    </row>
    <row r="508" ht="16.5" customHeight="1" s="220">
      <c r="A508" s="1" t="n"/>
      <c r="B508" s="1" t="n"/>
      <c r="C508" s="2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  <c r="AR508" s="1" t="n"/>
      <c r="AS508" s="1" t="n"/>
      <c r="AT508" s="1" t="n"/>
      <c r="AU508" s="1" t="n"/>
      <c r="AV508" s="1" t="n"/>
      <c r="AW508" s="1" t="n"/>
      <c r="AX508" s="1" t="n"/>
      <c r="AY508" s="1" t="n"/>
      <c r="AZ508" s="1" t="n"/>
      <c r="BA508" s="1" t="n"/>
    </row>
    <row r="509" ht="16.5" customHeight="1" s="220">
      <c r="A509" s="1" t="n"/>
      <c r="B509" s="1" t="n"/>
      <c r="C509" s="2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  <c r="AR509" s="1" t="n"/>
      <c r="AS509" s="1" t="n"/>
      <c r="AT509" s="1" t="n"/>
      <c r="AU509" s="1" t="n"/>
      <c r="AV509" s="1" t="n"/>
      <c r="AW509" s="1" t="n"/>
      <c r="AX509" s="1" t="n"/>
      <c r="AY509" s="1" t="n"/>
      <c r="AZ509" s="1" t="n"/>
      <c r="BA509" s="1" t="n"/>
    </row>
    <row r="510" ht="16.5" customHeight="1" s="220">
      <c r="A510" s="1" t="n"/>
      <c r="B510" s="1" t="n"/>
      <c r="C510" s="2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  <c r="AR510" s="1" t="n"/>
      <c r="AS510" s="1" t="n"/>
      <c r="AT510" s="1" t="n"/>
      <c r="AU510" s="1" t="n"/>
      <c r="AV510" s="1" t="n"/>
      <c r="AW510" s="1" t="n"/>
      <c r="AX510" s="1" t="n"/>
      <c r="AY510" s="1" t="n"/>
      <c r="AZ510" s="1" t="n"/>
      <c r="BA510" s="1" t="n"/>
    </row>
    <row r="511" ht="16.5" customHeight="1" s="220">
      <c r="A511" s="1" t="n"/>
      <c r="B511" s="1" t="n"/>
      <c r="C511" s="2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  <c r="AR511" s="1" t="n"/>
      <c r="AS511" s="1" t="n"/>
      <c r="AT511" s="1" t="n"/>
      <c r="AU511" s="1" t="n"/>
      <c r="AV511" s="1" t="n"/>
      <c r="AW511" s="1" t="n"/>
      <c r="AX511" s="1" t="n"/>
      <c r="AY511" s="1" t="n"/>
      <c r="AZ511" s="1" t="n"/>
      <c r="BA511" s="1" t="n"/>
    </row>
    <row r="512" ht="16.5" customHeight="1" s="220">
      <c r="A512" s="1" t="n"/>
      <c r="B512" s="1" t="n"/>
      <c r="C512" s="2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  <c r="AR512" s="1" t="n"/>
      <c r="AS512" s="1" t="n"/>
      <c r="AT512" s="1" t="n"/>
      <c r="AU512" s="1" t="n"/>
      <c r="AV512" s="1" t="n"/>
      <c r="AW512" s="1" t="n"/>
      <c r="AX512" s="1" t="n"/>
      <c r="AY512" s="1" t="n"/>
      <c r="AZ512" s="1" t="n"/>
      <c r="BA512" s="1" t="n"/>
    </row>
    <row r="513" ht="16.5" customHeight="1" s="220">
      <c r="A513" s="1" t="n"/>
      <c r="B513" s="1" t="n"/>
      <c r="C513" s="2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  <c r="AR513" s="1" t="n"/>
      <c r="AS513" s="1" t="n"/>
      <c r="AT513" s="1" t="n"/>
      <c r="AU513" s="1" t="n"/>
      <c r="AV513" s="1" t="n"/>
      <c r="AW513" s="1" t="n"/>
      <c r="AX513" s="1" t="n"/>
      <c r="AY513" s="1" t="n"/>
      <c r="AZ513" s="1" t="n"/>
      <c r="BA513" s="1" t="n"/>
    </row>
    <row r="514" ht="16.5" customHeight="1" s="220">
      <c r="A514" s="1" t="n"/>
      <c r="B514" s="1" t="n"/>
      <c r="C514" s="2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  <c r="AR514" s="1" t="n"/>
      <c r="AS514" s="1" t="n"/>
      <c r="AT514" s="1" t="n"/>
      <c r="AU514" s="1" t="n"/>
      <c r="AV514" s="1" t="n"/>
      <c r="AW514" s="1" t="n"/>
      <c r="AX514" s="1" t="n"/>
      <c r="AY514" s="1" t="n"/>
      <c r="AZ514" s="1" t="n"/>
      <c r="BA514" s="1" t="n"/>
    </row>
    <row r="515" ht="16.5" customHeight="1" s="220">
      <c r="A515" s="1" t="n"/>
      <c r="B515" s="1" t="n"/>
      <c r="C515" s="2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  <c r="AR515" s="1" t="n"/>
      <c r="AS515" s="1" t="n"/>
      <c r="AT515" s="1" t="n"/>
      <c r="AU515" s="1" t="n"/>
      <c r="AV515" s="1" t="n"/>
      <c r="AW515" s="1" t="n"/>
      <c r="AX515" s="1" t="n"/>
      <c r="AY515" s="1" t="n"/>
      <c r="AZ515" s="1" t="n"/>
      <c r="BA515" s="1" t="n"/>
    </row>
    <row r="516" ht="16.5" customHeight="1" s="220">
      <c r="A516" s="1" t="n"/>
      <c r="B516" s="1" t="n"/>
      <c r="C516" s="2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  <c r="AR516" s="1" t="n"/>
      <c r="AS516" s="1" t="n"/>
      <c r="AT516" s="1" t="n"/>
      <c r="AU516" s="1" t="n"/>
      <c r="AV516" s="1" t="n"/>
      <c r="AW516" s="1" t="n"/>
      <c r="AX516" s="1" t="n"/>
      <c r="AY516" s="1" t="n"/>
      <c r="AZ516" s="1" t="n"/>
      <c r="BA516" s="1" t="n"/>
    </row>
    <row r="517" ht="16.5" customHeight="1" s="220">
      <c r="A517" s="1" t="n"/>
      <c r="B517" s="1" t="n"/>
      <c r="C517" s="2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  <c r="AR517" s="1" t="n"/>
      <c r="AS517" s="1" t="n"/>
      <c r="AT517" s="1" t="n"/>
      <c r="AU517" s="1" t="n"/>
      <c r="AV517" s="1" t="n"/>
      <c r="AW517" s="1" t="n"/>
      <c r="AX517" s="1" t="n"/>
      <c r="AY517" s="1" t="n"/>
      <c r="AZ517" s="1" t="n"/>
      <c r="BA517" s="1" t="n"/>
    </row>
    <row r="518" ht="16.5" customHeight="1" s="220">
      <c r="A518" s="1" t="n"/>
      <c r="B518" s="1" t="n"/>
      <c r="C518" s="2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  <c r="AR518" s="1" t="n"/>
      <c r="AS518" s="1" t="n"/>
      <c r="AT518" s="1" t="n"/>
      <c r="AU518" s="1" t="n"/>
      <c r="AV518" s="1" t="n"/>
      <c r="AW518" s="1" t="n"/>
      <c r="AX518" s="1" t="n"/>
      <c r="AY518" s="1" t="n"/>
      <c r="AZ518" s="1" t="n"/>
      <c r="BA518" s="1" t="n"/>
    </row>
    <row r="519" ht="16.5" customHeight="1" s="220">
      <c r="A519" s="1" t="n"/>
      <c r="B519" s="1" t="n"/>
      <c r="C519" s="2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  <c r="AR519" s="1" t="n"/>
      <c r="AS519" s="1" t="n"/>
      <c r="AT519" s="1" t="n"/>
      <c r="AU519" s="1" t="n"/>
      <c r="AV519" s="1" t="n"/>
      <c r="AW519" s="1" t="n"/>
      <c r="AX519" s="1" t="n"/>
      <c r="AY519" s="1" t="n"/>
      <c r="AZ519" s="1" t="n"/>
      <c r="BA519" s="1" t="n"/>
    </row>
    <row r="520" ht="16.5" customHeight="1" s="220">
      <c r="A520" s="1" t="n"/>
      <c r="B520" s="1" t="n"/>
      <c r="C520" s="2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  <c r="AR520" s="1" t="n"/>
      <c r="AS520" s="1" t="n"/>
      <c r="AT520" s="1" t="n"/>
      <c r="AU520" s="1" t="n"/>
      <c r="AV520" s="1" t="n"/>
      <c r="AW520" s="1" t="n"/>
      <c r="AX520" s="1" t="n"/>
      <c r="AY520" s="1" t="n"/>
      <c r="AZ520" s="1" t="n"/>
      <c r="BA520" s="1" t="n"/>
    </row>
    <row r="521" ht="16.5" customHeight="1" s="220">
      <c r="A521" s="1" t="n"/>
      <c r="B521" s="1" t="n"/>
      <c r="C521" s="2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  <c r="AR521" s="1" t="n"/>
      <c r="AS521" s="1" t="n"/>
      <c r="AT521" s="1" t="n"/>
      <c r="AU521" s="1" t="n"/>
      <c r="AV521" s="1" t="n"/>
      <c r="AW521" s="1" t="n"/>
      <c r="AX521" s="1" t="n"/>
      <c r="AY521" s="1" t="n"/>
      <c r="AZ521" s="1" t="n"/>
      <c r="BA521" s="1" t="n"/>
    </row>
    <row r="522" ht="16.5" customHeight="1" s="220">
      <c r="A522" s="1" t="n"/>
      <c r="B522" s="1" t="n"/>
      <c r="C522" s="2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  <c r="AR522" s="1" t="n"/>
      <c r="AS522" s="1" t="n"/>
      <c r="AT522" s="1" t="n"/>
      <c r="AU522" s="1" t="n"/>
      <c r="AV522" s="1" t="n"/>
      <c r="AW522" s="1" t="n"/>
      <c r="AX522" s="1" t="n"/>
      <c r="AY522" s="1" t="n"/>
      <c r="AZ522" s="1" t="n"/>
      <c r="BA522" s="1" t="n"/>
    </row>
    <row r="523" ht="16.5" customHeight="1" s="220">
      <c r="A523" s="1" t="n"/>
      <c r="B523" s="1" t="n"/>
      <c r="C523" s="2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  <c r="AR523" s="1" t="n"/>
      <c r="AS523" s="1" t="n"/>
      <c r="AT523" s="1" t="n"/>
      <c r="AU523" s="1" t="n"/>
      <c r="AV523" s="1" t="n"/>
      <c r="AW523" s="1" t="n"/>
      <c r="AX523" s="1" t="n"/>
      <c r="AY523" s="1" t="n"/>
      <c r="AZ523" s="1" t="n"/>
      <c r="BA523" s="1" t="n"/>
    </row>
    <row r="524" ht="16.5" customHeight="1" s="220">
      <c r="A524" s="1" t="n"/>
      <c r="B524" s="1" t="n"/>
      <c r="C524" s="2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  <c r="AR524" s="1" t="n"/>
      <c r="AS524" s="1" t="n"/>
      <c r="AT524" s="1" t="n"/>
      <c r="AU524" s="1" t="n"/>
      <c r="AV524" s="1" t="n"/>
      <c r="AW524" s="1" t="n"/>
      <c r="AX524" s="1" t="n"/>
      <c r="AY524" s="1" t="n"/>
      <c r="AZ524" s="1" t="n"/>
      <c r="BA524" s="1" t="n"/>
    </row>
    <row r="525" ht="16.5" customHeight="1" s="220">
      <c r="A525" s="1" t="n"/>
      <c r="B525" s="1" t="n"/>
      <c r="C525" s="2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  <c r="AR525" s="1" t="n"/>
      <c r="AS525" s="1" t="n"/>
      <c r="AT525" s="1" t="n"/>
      <c r="AU525" s="1" t="n"/>
      <c r="AV525" s="1" t="n"/>
      <c r="AW525" s="1" t="n"/>
      <c r="AX525" s="1" t="n"/>
      <c r="AY525" s="1" t="n"/>
      <c r="AZ525" s="1" t="n"/>
      <c r="BA525" s="1" t="n"/>
    </row>
    <row r="526" ht="16.5" customHeight="1" s="220">
      <c r="A526" s="1" t="n"/>
      <c r="B526" s="1" t="n"/>
      <c r="C526" s="2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  <c r="AR526" s="1" t="n"/>
      <c r="AS526" s="1" t="n"/>
      <c r="AT526" s="1" t="n"/>
      <c r="AU526" s="1" t="n"/>
      <c r="AV526" s="1" t="n"/>
      <c r="AW526" s="1" t="n"/>
      <c r="AX526" s="1" t="n"/>
      <c r="AY526" s="1" t="n"/>
      <c r="AZ526" s="1" t="n"/>
      <c r="BA526" s="1" t="n"/>
    </row>
    <row r="527" ht="16.5" customHeight="1" s="220">
      <c r="A527" s="1" t="n"/>
      <c r="B527" s="1" t="n"/>
      <c r="C527" s="2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  <c r="AR527" s="1" t="n"/>
      <c r="AS527" s="1" t="n"/>
      <c r="AT527" s="1" t="n"/>
      <c r="AU527" s="1" t="n"/>
      <c r="AV527" s="1" t="n"/>
      <c r="AW527" s="1" t="n"/>
      <c r="AX527" s="1" t="n"/>
      <c r="AY527" s="1" t="n"/>
      <c r="AZ527" s="1" t="n"/>
      <c r="BA527" s="1" t="n"/>
    </row>
    <row r="528" ht="16.5" customHeight="1" s="220">
      <c r="A528" s="1" t="n"/>
      <c r="B528" s="1" t="n"/>
      <c r="C528" s="2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  <c r="AR528" s="1" t="n"/>
      <c r="AS528" s="1" t="n"/>
      <c r="AT528" s="1" t="n"/>
      <c r="AU528" s="1" t="n"/>
      <c r="AV528" s="1" t="n"/>
      <c r="AW528" s="1" t="n"/>
      <c r="AX528" s="1" t="n"/>
      <c r="AY528" s="1" t="n"/>
      <c r="AZ528" s="1" t="n"/>
      <c r="BA528" s="1" t="n"/>
    </row>
    <row r="529" ht="16.5" customHeight="1" s="220">
      <c r="A529" s="1" t="n"/>
      <c r="B529" s="1" t="n"/>
      <c r="C529" s="2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  <c r="AR529" s="1" t="n"/>
      <c r="AS529" s="1" t="n"/>
      <c r="AT529" s="1" t="n"/>
      <c r="AU529" s="1" t="n"/>
      <c r="AV529" s="1" t="n"/>
      <c r="AW529" s="1" t="n"/>
      <c r="AX529" s="1" t="n"/>
      <c r="AY529" s="1" t="n"/>
      <c r="AZ529" s="1" t="n"/>
      <c r="BA529" s="1" t="n"/>
    </row>
    <row r="530" ht="16.5" customHeight="1" s="220">
      <c r="A530" s="1" t="n"/>
      <c r="B530" s="1" t="n"/>
      <c r="C530" s="2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  <c r="AR530" s="1" t="n"/>
      <c r="AS530" s="1" t="n"/>
      <c r="AT530" s="1" t="n"/>
      <c r="AU530" s="1" t="n"/>
      <c r="AV530" s="1" t="n"/>
      <c r="AW530" s="1" t="n"/>
      <c r="AX530" s="1" t="n"/>
      <c r="AY530" s="1" t="n"/>
      <c r="AZ530" s="1" t="n"/>
      <c r="BA530" s="1" t="n"/>
    </row>
    <row r="531" ht="16.5" customHeight="1" s="220">
      <c r="A531" s="1" t="n"/>
      <c r="B531" s="1" t="n"/>
      <c r="C531" s="2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  <c r="AR531" s="1" t="n"/>
      <c r="AS531" s="1" t="n"/>
      <c r="AT531" s="1" t="n"/>
      <c r="AU531" s="1" t="n"/>
      <c r="AV531" s="1" t="n"/>
      <c r="AW531" s="1" t="n"/>
      <c r="AX531" s="1" t="n"/>
      <c r="AY531" s="1" t="n"/>
      <c r="AZ531" s="1" t="n"/>
      <c r="BA531" s="1" t="n"/>
    </row>
    <row r="532" ht="16.5" customHeight="1" s="220">
      <c r="A532" s="1" t="n"/>
      <c r="B532" s="1" t="n"/>
      <c r="C532" s="2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  <c r="AR532" s="1" t="n"/>
      <c r="AS532" s="1" t="n"/>
      <c r="AT532" s="1" t="n"/>
      <c r="AU532" s="1" t="n"/>
      <c r="AV532" s="1" t="n"/>
      <c r="AW532" s="1" t="n"/>
      <c r="AX532" s="1" t="n"/>
      <c r="AY532" s="1" t="n"/>
      <c r="AZ532" s="1" t="n"/>
      <c r="BA532" s="1" t="n"/>
    </row>
    <row r="533" ht="16.5" customHeight="1" s="220">
      <c r="A533" s="1" t="n"/>
      <c r="B533" s="1" t="n"/>
      <c r="C533" s="2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  <c r="AR533" s="1" t="n"/>
      <c r="AS533" s="1" t="n"/>
      <c r="AT533" s="1" t="n"/>
      <c r="AU533" s="1" t="n"/>
      <c r="AV533" s="1" t="n"/>
      <c r="AW533" s="1" t="n"/>
      <c r="AX533" s="1" t="n"/>
      <c r="AY533" s="1" t="n"/>
      <c r="AZ533" s="1" t="n"/>
      <c r="BA533" s="1" t="n"/>
    </row>
    <row r="534" ht="16.5" customHeight="1" s="220">
      <c r="A534" s="1" t="n"/>
      <c r="B534" s="1" t="n"/>
      <c r="C534" s="2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  <c r="AR534" s="1" t="n"/>
      <c r="AS534" s="1" t="n"/>
      <c r="AT534" s="1" t="n"/>
      <c r="AU534" s="1" t="n"/>
      <c r="AV534" s="1" t="n"/>
      <c r="AW534" s="1" t="n"/>
      <c r="AX534" s="1" t="n"/>
      <c r="AY534" s="1" t="n"/>
      <c r="AZ534" s="1" t="n"/>
      <c r="BA534" s="1" t="n"/>
    </row>
    <row r="535" ht="16.5" customHeight="1" s="220">
      <c r="A535" s="1" t="n"/>
      <c r="B535" s="1" t="n"/>
      <c r="C535" s="2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  <c r="AR535" s="1" t="n"/>
      <c r="AS535" s="1" t="n"/>
      <c r="AT535" s="1" t="n"/>
      <c r="AU535" s="1" t="n"/>
      <c r="AV535" s="1" t="n"/>
      <c r="AW535" s="1" t="n"/>
      <c r="AX535" s="1" t="n"/>
      <c r="AY535" s="1" t="n"/>
      <c r="AZ535" s="1" t="n"/>
      <c r="BA535" s="1" t="n"/>
    </row>
    <row r="536" ht="16.5" customHeight="1" s="220">
      <c r="A536" s="1" t="n"/>
      <c r="B536" s="1" t="n"/>
      <c r="C536" s="2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  <c r="AR536" s="1" t="n"/>
      <c r="AS536" s="1" t="n"/>
      <c r="AT536" s="1" t="n"/>
      <c r="AU536" s="1" t="n"/>
      <c r="AV536" s="1" t="n"/>
      <c r="AW536" s="1" t="n"/>
      <c r="AX536" s="1" t="n"/>
      <c r="AY536" s="1" t="n"/>
      <c r="AZ536" s="1" t="n"/>
      <c r="BA536" s="1" t="n"/>
    </row>
    <row r="537" ht="16.5" customHeight="1" s="220">
      <c r="A537" s="1" t="n"/>
      <c r="B537" s="1" t="n"/>
      <c r="C537" s="2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  <c r="AR537" s="1" t="n"/>
      <c r="AS537" s="1" t="n"/>
      <c r="AT537" s="1" t="n"/>
      <c r="AU537" s="1" t="n"/>
      <c r="AV537" s="1" t="n"/>
      <c r="AW537" s="1" t="n"/>
      <c r="AX537" s="1" t="n"/>
      <c r="AY537" s="1" t="n"/>
      <c r="AZ537" s="1" t="n"/>
      <c r="BA537" s="1" t="n"/>
    </row>
    <row r="538" ht="16.5" customHeight="1" s="220">
      <c r="A538" s="1" t="n"/>
      <c r="B538" s="1" t="n"/>
      <c r="C538" s="2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  <c r="AR538" s="1" t="n"/>
      <c r="AS538" s="1" t="n"/>
      <c r="AT538" s="1" t="n"/>
      <c r="AU538" s="1" t="n"/>
      <c r="AV538" s="1" t="n"/>
      <c r="AW538" s="1" t="n"/>
      <c r="AX538" s="1" t="n"/>
      <c r="AY538" s="1" t="n"/>
      <c r="AZ538" s="1" t="n"/>
      <c r="BA538" s="1" t="n"/>
    </row>
    <row r="539" ht="16.5" customHeight="1" s="220">
      <c r="A539" s="1" t="n"/>
      <c r="B539" s="1" t="n"/>
      <c r="C539" s="2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  <c r="AR539" s="1" t="n"/>
      <c r="AS539" s="1" t="n"/>
      <c r="AT539" s="1" t="n"/>
      <c r="AU539" s="1" t="n"/>
      <c r="AV539" s="1" t="n"/>
      <c r="AW539" s="1" t="n"/>
      <c r="AX539" s="1" t="n"/>
      <c r="AY539" s="1" t="n"/>
      <c r="AZ539" s="1" t="n"/>
      <c r="BA539" s="1" t="n"/>
    </row>
    <row r="540" ht="16.5" customHeight="1" s="220">
      <c r="A540" s="1" t="n"/>
      <c r="B540" s="1" t="n"/>
      <c r="C540" s="2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  <c r="AR540" s="1" t="n"/>
      <c r="AS540" s="1" t="n"/>
      <c r="AT540" s="1" t="n"/>
      <c r="AU540" s="1" t="n"/>
      <c r="AV540" s="1" t="n"/>
      <c r="AW540" s="1" t="n"/>
      <c r="AX540" s="1" t="n"/>
      <c r="AY540" s="1" t="n"/>
      <c r="AZ540" s="1" t="n"/>
      <c r="BA540" s="1" t="n"/>
    </row>
    <row r="541" ht="16.5" customHeight="1" s="220">
      <c r="A541" s="1" t="n"/>
      <c r="B541" s="1" t="n"/>
      <c r="C541" s="2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  <c r="AR541" s="1" t="n"/>
      <c r="AS541" s="1" t="n"/>
      <c r="AT541" s="1" t="n"/>
      <c r="AU541" s="1" t="n"/>
      <c r="AV541" s="1" t="n"/>
      <c r="AW541" s="1" t="n"/>
      <c r="AX541" s="1" t="n"/>
      <c r="AY541" s="1" t="n"/>
      <c r="AZ541" s="1" t="n"/>
      <c r="BA541" s="1" t="n"/>
    </row>
    <row r="542" ht="16.5" customHeight="1" s="220">
      <c r="A542" s="1" t="n"/>
      <c r="B542" s="1" t="n"/>
      <c r="C542" s="2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  <c r="AR542" s="1" t="n"/>
      <c r="AS542" s="1" t="n"/>
      <c r="AT542" s="1" t="n"/>
      <c r="AU542" s="1" t="n"/>
      <c r="AV542" s="1" t="n"/>
      <c r="AW542" s="1" t="n"/>
      <c r="AX542" s="1" t="n"/>
      <c r="AY542" s="1" t="n"/>
      <c r="AZ542" s="1" t="n"/>
      <c r="BA542" s="1" t="n"/>
    </row>
    <row r="543" ht="16.5" customHeight="1" s="220">
      <c r="A543" s="1" t="n"/>
      <c r="B543" s="1" t="n"/>
      <c r="C543" s="2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  <c r="AR543" s="1" t="n"/>
      <c r="AS543" s="1" t="n"/>
      <c r="AT543" s="1" t="n"/>
      <c r="AU543" s="1" t="n"/>
      <c r="AV543" s="1" t="n"/>
      <c r="AW543" s="1" t="n"/>
      <c r="AX543" s="1" t="n"/>
      <c r="AY543" s="1" t="n"/>
      <c r="AZ543" s="1" t="n"/>
      <c r="BA543" s="1" t="n"/>
    </row>
    <row r="544" ht="16.5" customHeight="1" s="220">
      <c r="A544" s="1" t="n"/>
      <c r="B544" s="1" t="n"/>
      <c r="C544" s="2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  <c r="AR544" s="1" t="n"/>
      <c r="AS544" s="1" t="n"/>
      <c r="AT544" s="1" t="n"/>
      <c r="AU544" s="1" t="n"/>
      <c r="AV544" s="1" t="n"/>
      <c r="AW544" s="1" t="n"/>
      <c r="AX544" s="1" t="n"/>
      <c r="AY544" s="1" t="n"/>
      <c r="AZ544" s="1" t="n"/>
      <c r="BA544" s="1" t="n"/>
    </row>
    <row r="545" ht="16.5" customHeight="1" s="220">
      <c r="A545" s="1" t="n"/>
      <c r="B545" s="1" t="n"/>
      <c r="C545" s="2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  <c r="AR545" s="1" t="n"/>
      <c r="AS545" s="1" t="n"/>
      <c r="AT545" s="1" t="n"/>
      <c r="AU545" s="1" t="n"/>
      <c r="AV545" s="1" t="n"/>
      <c r="AW545" s="1" t="n"/>
      <c r="AX545" s="1" t="n"/>
      <c r="AY545" s="1" t="n"/>
      <c r="AZ545" s="1" t="n"/>
      <c r="BA545" s="1" t="n"/>
    </row>
    <row r="546" ht="16.5" customHeight="1" s="220">
      <c r="A546" s="1" t="n"/>
      <c r="B546" s="1" t="n"/>
      <c r="C546" s="2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  <c r="AR546" s="1" t="n"/>
      <c r="AS546" s="1" t="n"/>
      <c r="AT546" s="1" t="n"/>
      <c r="AU546" s="1" t="n"/>
      <c r="AV546" s="1" t="n"/>
      <c r="AW546" s="1" t="n"/>
      <c r="AX546" s="1" t="n"/>
      <c r="AY546" s="1" t="n"/>
      <c r="AZ546" s="1" t="n"/>
      <c r="BA546" s="1" t="n"/>
    </row>
    <row r="547" ht="16.5" customHeight="1" s="220">
      <c r="A547" s="1" t="n"/>
      <c r="B547" s="1" t="n"/>
      <c r="C547" s="2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  <c r="AR547" s="1" t="n"/>
      <c r="AS547" s="1" t="n"/>
      <c r="AT547" s="1" t="n"/>
      <c r="AU547" s="1" t="n"/>
      <c r="AV547" s="1" t="n"/>
      <c r="AW547" s="1" t="n"/>
      <c r="AX547" s="1" t="n"/>
      <c r="AY547" s="1" t="n"/>
      <c r="AZ547" s="1" t="n"/>
      <c r="BA547" s="1" t="n"/>
    </row>
    <row r="548" ht="16.5" customHeight="1" s="220">
      <c r="A548" s="1" t="n"/>
      <c r="B548" s="1" t="n"/>
      <c r="C548" s="2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  <c r="AR548" s="1" t="n"/>
      <c r="AS548" s="1" t="n"/>
      <c r="AT548" s="1" t="n"/>
      <c r="AU548" s="1" t="n"/>
      <c r="AV548" s="1" t="n"/>
      <c r="AW548" s="1" t="n"/>
      <c r="AX548" s="1" t="n"/>
      <c r="AY548" s="1" t="n"/>
      <c r="AZ548" s="1" t="n"/>
      <c r="BA548" s="1" t="n"/>
    </row>
    <row r="549" ht="16.5" customHeight="1" s="220">
      <c r="A549" s="1" t="n"/>
      <c r="B549" s="1" t="n"/>
      <c r="C549" s="2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  <c r="AR549" s="1" t="n"/>
      <c r="AS549" s="1" t="n"/>
      <c r="AT549" s="1" t="n"/>
      <c r="AU549" s="1" t="n"/>
      <c r="AV549" s="1" t="n"/>
      <c r="AW549" s="1" t="n"/>
      <c r="AX549" s="1" t="n"/>
      <c r="AY549" s="1" t="n"/>
      <c r="AZ549" s="1" t="n"/>
      <c r="BA549" s="1" t="n"/>
    </row>
    <row r="550" ht="16.5" customHeight="1" s="220">
      <c r="A550" s="1" t="n"/>
      <c r="B550" s="1" t="n"/>
      <c r="C550" s="2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  <c r="AR550" s="1" t="n"/>
      <c r="AS550" s="1" t="n"/>
      <c r="AT550" s="1" t="n"/>
      <c r="AU550" s="1" t="n"/>
      <c r="AV550" s="1" t="n"/>
      <c r="AW550" s="1" t="n"/>
      <c r="AX550" s="1" t="n"/>
      <c r="AY550" s="1" t="n"/>
      <c r="AZ550" s="1" t="n"/>
      <c r="BA550" s="1" t="n"/>
    </row>
    <row r="551" ht="16.5" customHeight="1" s="220">
      <c r="A551" s="1" t="n"/>
      <c r="B551" s="1" t="n"/>
      <c r="C551" s="2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  <c r="AR551" s="1" t="n"/>
      <c r="AS551" s="1" t="n"/>
      <c r="AT551" s="1" t="n"/>
      <c r="AU551" s="1" t="n"/>
      <c r="AV551" s="1" t="n"/>
      <c r="AW551" s="1" t="n"/>
      <c r="AX551" s="1" t="n"/>
      <c r="AY551" s="1" t="n"/>
      <c r="AZ551" s="1" t="n"/>
      <c r="BA551" s="1" t="n"/>
    </row>
    <row r="552" ht="16.5" customHeight="1" s="220">
      <c r="A552" s="1" t="n"/>
      <c r="B552" s="1" t="n"/>
      <c r="C552" s="2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  <c r="AR552" s="1" t="n"/>
      <c r="AS552" s="1" t="n"/>
      <c r="AT552" s="1" t="n"/>
      <c r="AU552" s="1" t="n"/>
      <c r="AV552" s="1" t="n"/>
      <c r="AW552" s="1" t="n"/>
      <c r="AX552" s="1" t="n"/>
      <c r="AY552" s="1" t="n"/>
      <c r="AZ552" s="1" t="n"/>
      <c r="BA552" s="1" t="n"/>
    </row>
    <row r="553" ht="16.5" customHeight="1" s="220">
      <c r="A553" s="1" t="n"/>
      <c r="B553" s="1" t="n"/>
      <c r="C553" s="2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  <c r="AR553" s="1" t="n"/>
      <c r="AS553" s="1" t="n"/>
      <c r="AT553" s="1" t="n"/>
      <c r="AU553" s="1" t="n"/>
      <c r="AV553" s="1" t="n"/>
      <c r="AW553" s="1" t="n"/>
      <c r="AX553" s="1" t="n"/>
      <c r="AY553" s="1" t="n"/>
      <c r="AZ553" s="1" t="n"/>
      <c r="BA553" s="1" t="n"/>
    </row>
    <row r="554" ht="16.5" customHeight="1" s="220">
      <c r="A554" s="1" t="n"/>
      <c r="B554" s="1" t="n"/>
      <c r="C554" s="2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  <c r="AR554" s="1" t="n"/>
      <c r="AS554" s="1" t="n"/>
      <c r="AT554" s="1" t="n"/>
      <c r="AU554" s="1" t="n"/>
      <c r="AV554" s="1" t="n"/>
      <c r="AW554" s="1" t="n"/>
      <c r="AX554" s="1" t="n"/>
      <c r="AY554" s="1" t="n"/>
      <c r="AZ554" s="1" t="n"/>
      <c r="BA554" s="1" t="n"/>
    </row>
    <row r="555" ht="16.5" customHeight="1" s="220">
      <c r="A555" s="1" t="n"/>
      <c r="B555" s="1" t="n"/>
      <c r="C555" s="2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  <c r="AR555" s="1" t="n"/>
      <c r="AS555" s="1" t="n"/>
      <c r="AT555" s="1" t="n"/>
      <c r="AU555" s="1" t="n"/>
      <c r="AV555" s="1" t="n"/>
      <c r="AW555" s="1" t="n"/>
      <c r="AX555" s="1" t="n"/>
      <c r="AY555" s="1" t="n"/>
      <c r="AZ555" s="1" t="n"/>
      <c r="BA555" s="1" t="n"/>
    </row>
    <row r="556" ht="16.5" customHeight="1" s="220">
      <c r="A556" s="1" t="n"/>
      <c r="B556" s="1" t="n"/>
      <c r="C556" s="2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  <c r="AR556" s="1" t="n"/>
      <c r="AS556" s="1" t="n"/>
      <c r="AT556" s="1" t="n"/>
      <c r="AU556" s="1" t="n"/>
      <c r="AV556" s="1" t="n"/>
      <c r="AW556" s="1" t="n"/>
      <c r="AX556" s="1" t="n"/>
      <c r="AY556" s="1" t="n"/>
      <c r="AZ556" s="1" t="n"/>
      <c r="BA556" s="1" t="n"/>
    </row>
    <row r="557" ht="16.5" customHeight="1" s="220">
      <c r="A557" s="1" t="n"/>
      <c r="B557" s="1" t="n"/>
      <c r="C557" s="2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  <c r="AR557" s="1" t="n"/>
      <c r="AS557" s="1" t="n"/>
      <c r="AT557" s="1" t="n"/>
      <c r="AU557" s="1" t="n"/>
      <c r="AV557" s="1" t="n"/>
      <c r="AW557" s="1" t="n"/>
      <c r="AX557" s="1" t="n"/>
      <c r="AY557" s="1" t="n"/>
      <c r="AZ557" s="1" t="n"/>
      <c r="BA557" s="1" t="n"/>
    </row>
    <row r="558" ht="16.5" customHeight="1" s="220">
      <c r="A558" s="1" t="n"/>
      <c r="B558" s="1" t="n"/>
      <c r="C558" s="2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  <c r="AR558" s="1" t="n"/>
      <c r="AS558" s="1" t="n"/>
      <c r="AT558" s="1" t="n"/>
      <c r="AU558" s="1" t="n"/>
      <c r="AV558" s="1" t="n"/>
      <c r="AW558" s="1" t="n"/>
      <c r="AX558" s="1" t="n"/>
      <c r="AY558" s="1" t="n"/>
      <c r="AZ558" s="1" t="n"/>
      <c r="BA558" s="1" t="n"/>
    </row>
    <row r="559" ht="16.5" customHeight="1" s="220">
      <c r="A559" s="1" t="n"/>
      <c r="B559" s="1" t="n"/>
      <c r="C559" s="2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  <c r="AR559" s="1" t="n"/>
      <c r="AS559" s="1" t="n"/>
      <c r="AT559" s="1" t="n"/>
      <c r="AU559" s="1" t="n"/>
      <c r="AV559" s="1" t="n"/>
      <c r="AW559" s="1" t="n"/>
      <c r="AX559" s="1" t="n"/>
      <c r="AY559" s="1" t="n"/>
      <c r="AZ559" s="1" t="n"/>
      <c r="BA559" s="1" t="n"/>
    </row>
    <row r="560" ht="16.5" customHeight="1" s="220">
      <c r="A560" s="1" t="n"/>
      <c r="B560" s="1" t="n"/>
      <c r="C560" s="2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  <c r="AR560" s="1" t="n"/>
      <c r="AS560" s="1" t="n"/>
      <c r="AT560" s="1" t="n"/>
      <c r="AU560" s="1" t="n"/>
      <c r="AV560" s="1" t="n"/>
      <c r="AW560" s="1" t="n"/>
      <c r="AX560" s="1" t="n"/>
      <c r="AY560" s="1" t="n"/>
      <c r="AZ560" s="1" t="n"/>
      <c r="BA560" s="1" t="n"/>
    </row>
    <row r="561" ht="16.5" customHeight="1" s="220">
      <c r="A561" s="1" t="n"/>
      <c r="B561" s="1" t="n"/>
      <c r="C561" s="2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  <c r="AR561" s="1" t="n"/>
      <c r="AS561" s="1" t="n"/>
      <c r="AT561" s="1" t="n"/>
      <c r="AU561" s="1" t="n"/>
      <c r="AV561" s="1" t="n"/>
      <c r="AW561" s="1" t="n"/>
      <c r="AX561" s="1" t="n"/>
      <c r="AY561" s="1" t="n"/>
      <c r="AZ561" s="1" t="n"/>
      <c r="BA561" s="1" t="n"/>
    </row>
    <row r="562" ht="16.5" customHeight="1" s="220">
      <c r="A562" s="1" t="n"/>
      <c r="B562" s="1" t="n"/>
      <c r="C562" s="2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  <c r="AR562" s="1" t="n"/>
      <c r="AS562" s="1" t="n"/>
      <c r="AT562" s="1" t="n"/>
      <c r="AU562" s="1" t="n"/>
      <c r="AV562" s="1" t="n"/>
      <c r="AW562" s="1" t="n"/>
      <c r="AX562" s="1" t="n"/>
      <c r="AY562" s="1" t="n"/>
      <c r="AZ562" s="1" t="n"/>
      <c r="BA562" s="1" t="n"/>
    </row>
    <row r="563" ht="16.5" customHeight="1" s="220">
      <c r="A563" s="1" t="n"/>
      <c r="B563" s="1" t="n"/>
      <c r="C563" s="2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  <c r="AR563" s="1" t="n"/>
      <c r="AS563" s="1" t="n"/>
      <c r="AT563" s="1" t="n"/>
      <c r="AU563" s="1" t="n"/>
      <c r="AV563" s="1" t="n"/>
      <c r="AW563" s="1" t="n"/>
      <c r="AX563" s="1" t="n"/>
      <c r="AY563" s="1" t="n"/>
      <c r="AZ563" s="1" t="n"/>
      <c r="BA563" s="1" t="n"/>
    </row>
    <row r="564" ht="16.5" customHeight="1" s="220">
      <c r="A564" s="1" t="n"/>
      <c r="B564" s="1" t="n"/>
      <c r="C564" s="2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Q564" s="1" t="n"/>
      <c r="AR564" s="1" t="n"/>
      <c r="AS564" s="1" t="n"/>
      <c r="AT564" s="1" t="n"/>
      <c r="AU564" s="1" t="n"/>
      <c r="AV564" s="1" t="n"/>
      <c r="AW564" s="1" t="n"/>
      <c r="AX564" s="1" t="n"/>
      <c r="AY564" s="1" t="n"/>
      <c r="AZ564" s="1" t="n"/>
      <c r="BA564" s="1" t="n"/>
    </row>
    <row r="565" ht="16.5" customHeight="1" s="220">
      <c r="A565" s="1" t="n"/>
      <c r="B565" s="1" t="n"/>
      <c r="C565" s="2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  <c r="AR565" s="1" t="n"/>
      <c r="AS565" s="1" t="n"/>
      <c r="AT565" s="1" t="n"/>
      <c r="AU565" s="1" t="n"/>
      <c r="AV565" s="1" t="n"/>
      <c r="AW565" s="1" t="n"/>
      <c r="AX565" s="1" t="n"/>
      <c r="AY565" s="1" t="n"/>
      <c r="AZ565" s="1" t="n"/>
      <c r="BA565" s="1" t="n"/>
    </row>
    <row r="566" ht="16.5" customHeight="1" s="220">
      <c r="A566" s="1" t="n"/>
      <c r="B566" s="1" t="n"/>
      <c r="C566" s="2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  <c r="AR566" s="1" t="n"/>
      <c r="AS566" s="1" t="n"/>
      <c r="AT566" s="1" t="n"/>
      <c r="AU566" s="1" t="n"/>
      <c r="AV566" s="1" t="n"/>
      <c r="AW566" s="1" t="n"/>
      <c r="AX566" s="1" t="n"/>
      <c r="AY566" s="1" t="n"/>
      <c r="AZ566" s="1" t="n"/>
      <c r="BA566" s="1" t="n"/>
    </row>
    <row r="567" ht="16.5" customHeight="1" s="220">
      <c r="A567" s="1" t="n"/>
      <c r="B567" s="1" t="n"/>
      <c r="C567" s="2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  <c r="AR567" s="1" t="n"/>
      <c r="AS567" s="1" t="n"/>
      <c r="AT567" s="1" t="n"/>
      <c r="AU567" s="1" t="n"/>
      <c r="AV567" s="1" t="n"/>
      <c r="AW567" s="1" t="n"/>
      <c r="AX567" s="1" t="n"/>
      <c r="AY567" s="1" t="n"/>
      <c r="AZ567" s="1" t="n"/>
      <c r="BA567" s="1" t="n"/>
    </row>
    <row r="568" ht="16.5" customHeight="1" s="220">
      <c r="A568" s="1" t="n"/>
      <c r="B568" s="1" t="n"/>
      <c r="C568" s="2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  <c r="AR568" s="1" t="n"/>
      <c r="AS568" s="1" t="n"/>
      <c r="AT568" s="1" t="n"/>
      <c r="AU568" s="1" t="n"/>
      <c r="AV568" s="1" t="n"/>
      <c r="AW568" s="1" t="n"/>
      <c r="AX568" s="1" t="n"/>
      <c r="AY568" s="1" t="n"/>
      <c r="AZ568" s="1" t="n"/>
      <c r="BA568" s="1" t="n"/>
    </row>
    <row r="569" ht="16.5" customHeight="1" s="220">
      <c r="A569" s="1" t="n"/>
      <c r="B569" s="1" t="n"/>
      <c r="C569" s="2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  <c r="AR569" s="1" t="n"/>
      <c r="AS569" s="1" t="n"/>
      <c r="AT569" s="1" t="n"/>
      <c r="AU569" s="1" t="n"/>
      <c r="AV569" s="1" t="n"/>
      <c r="AW569" s="1" t="n"/>
      <c r="AX569" s="1" t="n"/>
      <c r="AY569" s="1" t="n"/>
      <c r="AZ569" s="1" t="n"/>
      <c r="BA569" s="1" t="n"/>
    </row>
    <row r="570" ht="16.5" customHeight="1" s="220">
      <c r="A570" s="1" t="n"/>
      <c r="B570" s="1" t="n"/>
      <c r="C570" s="2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Q570" s="1" t="n"/>
      <c r="AR570" s="1" t="n"/>
      <c r="AS570" s="1" t="n"/>
      <c r="AT570" s="1" t="n"/>
      <c r="AU570" s="1" t="n"/>
      <c r="AV570" s="1" t="n"/>
      <c r="AW570" s="1" t="n"/>
      <c r="AX570" s="1" t="n"/>
      <c r="AY570" s="1" t="n"/>
      <c r="AZ570" s="1" t="n"/>
      <c r="BA570" s="1" t="n"/>
    </row>
    <row r="571" ht="16.5" customHeight="1" s="220">
      <c r="A571" s="1" t="n"/>
      <c r="B571" s="1" t="n"/>
      <c r="C571" s="2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  <c r="AR571" s="1" t="n"/>
      <c r="AS571" s="1" t="n"/>
      <c r="AT571" s="1" t="n"/>
      <c r="AU571" s="1" t="n"/>
      <c r="AV571" s="1" t="n"/>
      <c r="AW571" s="1" t="n"/>
      <c r="AX571" s="1" t="n"/>
      <c r="AY571" s="1" t="n"/>
      <c r="AZ571" s="1" t="n"/>
      <c r="BA571" s="1" t="n"/>
    </row>
    <row r="572" ht="16.5" customHeight="1" s="220">
      <c r="A572" s="1" t="n"/>
      <c r="B572" s="1" t="n"/>
      <c r="C572" s="2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Q572" s="1" t="n"/>
      <c r="AR572" s="1" t="n"/>
      <c r="AS572" s="1" t="n"/>
      <c r="AT572" s="1" t="n"/>
      <c r="AU572" s="1" t="n"/>
      <c r="AV572" s="1" t="n"/>
      <c r="AW572" s="1" t="n"/>
      <c r="AX572" s="1" t="n"/>
      <c r="AY572" s="1" t="n"/>
      <c r="AZ572" s="1" t="n"/>
      <c r="BA572" s="1" t="n"/>
    </row>
    <row r="573" ht="16.5" customHeight="1" s="220">
      <c r="A573" s="1" t="n"/>
      <c r="B573" s="1" t="n"/>
      <c r="C573" s="2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  <c r="AR573" s="1" t="n"/>
      <c r="AS573" s="1" t="n"/>
      <c r="AT573" s="1" t="n"/>
      <c r="AU573" s="1" t="n"/>
      <c r="AV573" s="1" t="n"/>
      <c r="AW573" s="1" t="n"/>
      <c r="AX573" s="1" t="n"/>
      <c r="AY573" s="1" t="n"/>
      <c r="AZ573" s="1" t="n"/>
      <c r="BA573" s="1" t="n"/>
    </row>
    <row r="574" ht="16.5" customHeight="1" s="220">
      <c r="A574" s="1" t="n"/>
      <c r="B574" s="1" t="n"/>
      <c r="C574" s="2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  <c r="AR574" s="1" t="n"/>
      <c r="AS574" s="1" t="n"/>
      <c r="AT574" s="1" t="n"/>
      <c r="AU574" s="1" t="n"/>
      <c r="AV574" s="1" t="n"/>
      <c r="AW574" s="1" t="n"/>
      <c r="AX574" s="1" t="n"/>
      <c r="AY574" s="1" t="n"/>
      <c r="AZ574" s="1" t="n"/>
      <c r="BA574" s="1" t="n"/>
    </row>
    <row r="575" ht="16.5" customHeight="1" s="220">
      <c r="A575" s="1" t="n"/>
      <c r="B575" s="1" t="n"/>
      <c r="C575" s="2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  <c r="AR575" s="1" t="n"/>
      <c r="AS575" s="1" t="n"/>
      <c r="AT575" s="1" t="n"/>
      <c r="AU575" s="1" t="n"/>
      <c r="AV575" s="1" t="n"/>
      <c r="AW575" s="1" t="n"/>
      <c r="AX575" s="1" t="n"/>
      <c r="AY575" s="1" t="n"/>
      <c r="AZ575" s="1" t="n"/>
      <c r="BA575" s="1" t="n"/>
    </row>
    <row r="576" ht="16.5" customHeight="1" s="220">
      <c r="A576" s="1" t="n"/>
      <c r="B576" s="1" t="n"/>
      <c r="C576" s="2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  <c r="AR576" s="1" t="n"/>
      <c r="AS576" s="1" t="n"/>
      <c r="AT576" s="1" t="n"/>
      <c r="AU576" s="1" t="n"/>
      <c r="AV576" s="1" t="n"/>
      <c r="AW576" s="1" t="n"/>
      <c r="AX576" s="1" t="n"/>
      <c r="AY576" s="1" t="n"/>
      <c r="AZ576" s="1" t="n"/>
      <c r="BA576" s="1" t="n"/>
    </row>
    <row r="577" ht="16.5" customHeight="1" s="220">
      <c r="A577" s="1" t="n"/>
      <c r="B577" s="1" t="n"/>
      <c r="C577" s="2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  <c r="AR577" s="1" t="n"/>
      <c r="AS577" s="1" t="n"/>
      <c r="AT577" s="1" t="n"/>
      <c r="AU577" s="1" t="n"/>
      <c r="AV577" s="1" t="n"/>
      <c r="AW577" s="1" t="n"/>
      <c r="AX577" s="1" t="n"/>
      <c r="AY577" s="1" t="n"/>
      <c r="AZ577" s="1" t="n"/>
      <c r="BA577" s="1" t="n"/>
    </row>
    <row r="578" ht="16.5" customHeight="1" s="220">
      <c r="A578" s="1" t="n"/>
      <c r="B578" s="1" t="n"/>
      <c r="C578" s="2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  <c r="AR578" s="1" t="n"/>
      <c r="AS578" s="1" t="n"/>
      <c r="AT578" s="1" t="n"/>
      <c r="AU578" s="1" t="n"/>
      <c r="AV578" s="1" t="n"/>
      <c r="AW578" s="1" t="n"/>
      <c r="AX578" s="1" t="n"/>
      <c r="AY578" s="1" t="n"/>
      <c r="AZ578" s="1" t="n"/>
      <c r="BA578" s="1" t="n"/>
    </row>
    <row r="579" ht="16.5" customHeight="1" s="220">
      <c r="A579" s="1" t="n"/>
      <c r="B579" s="1" t="n"/>
      <c r="C579" s="2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  <c r="AR579" s="1" t="n"/>
      <c r="AS579" s="1" t="n"/>
      <c r="AT579" s="1" t="n"/>
      <c r="AU579" s="1" t="n"/>
      <c r="AV579" s="1" t="n"/>
      <c r="AW579" s="1" t="n"/>
      <c r="AX579" s="1" t="n"/>
      <c r="AY579" s="1" t="n"/>
      <c r="AZ579" s="1" t="n"/>
      <c r="BA579" s="1" t="n"/>
    </row>
    <row r="580" ht="16.5" customHeight="1" s="220">
      <c r="A580" s="1" t="n"/>
      <c r="B580" s="1" t="n"/>
      <c r="C580" s="2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  <c r="AR580" s="1" t="n"/>
      <c r="AS580" s="1" t="n"/>
      <c r="AT580" s="1" t="n"/>
      <c r="AU580" s="1" t="n"/>
      <c r="AV580" s="1" t="n"/>
      <c r="AW580" s="1" t="n"/>
      <c r="AX580" s="1" t="n"/>
      <c r="AY580" s="1" t="n"/>
      <c r="AZ580" s="1" t="n"/>
      <c r="BA580" s="1" t="n"/>
    </row>
    <row r="581" ht="16.5" customHeight="1" s="220">
      <c r="A581" s="1" t="n"/>
      <c r="B581" s="1" t="n"/>
      <c r="C581" s="2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  <c r="AR581" s="1" t="n"/>
      <c r="AS581" s="1" t="n"/>
      <c r="AT581" s="1" t="n"/>
      <c r="AU581" s="1" t="n"/>
      <c r="AV581" s="1" t="n"/>
      <c r="AW581" s="1" t="n"/>
      <c r="AX581" s="1" t="n"/>
      <c r="AY581" s="1" t="n"/>
      <c r="AZ581" s="1" t="n"/>
      <c r="BA581" s="1" t="n"/>
    </row>
    <row r="582" ht="16.5" customHeight="1" s="220">
      <c r="A582" s="1" t="n"/>
      <c r="B582" s="1" t="n"/>
      <c r="C582" s="2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Q582" s="1" t="n"/>
      <c r="AR582" s="1" t="n"/>
      <c r="AS582" s="1" t="n"/>
      <c r="AT582" s="1" t="n"/>
      <c r="AU582" s="1" t="n"/>
      <c r="AV582" s="1" t="n"/>
      <c r="AW582" s="1" t="n"/>
      <c r="AX582" s="1" t="n"/>
      <c r="AY582" s="1" t="n"/>
      <c r="AZ582" s="1" t="n"/>
      <c r="BA582" s="1" t="n"/>
    </row>
    <row r="583" ht="16.5" customHeight="1" s="220">
      <c r="A583" s="1" t="n"/>
      <c r="B583" s="1" t="n"/>
      <c r="C583" s="2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  <c r="AR583" s="1" t="n"/>
      <c r="AS583" s="1" t="n"/>
      <c r="AT583" s="1" t="n"/>
      <c r="AU583" s="1" t="n"/>
      <c r="AV583" s="1" t="n"/>
      <c r="AW583" s="1" t="n"/>
      <c r="AX583" s="1" t="n"/>
      <c r="AY583" s="1" t="n"/>
      <c r="AZ583" s="1" t="n"/>
      <c r="BA583" s="1" t="n"/>
    </row>
    <row r="584" ht="16.5" customHeight="1" s="220">
      <c r="A584" s="1" t="n"/>
      <c r="B584" s="1" t="n"/>
      <c r="C584" s="2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  <c r="AR584" s="1" t="n"/>
      <c r="AS584" s="1" t="n"/>
      <c r="AT584" s="1" t="n"/>
      <c r="AU584" s="1" t="n"/>
      <c r="AV584" s="1" t="n"/>
      <c r="AW584" s="1" t="n"/>
      <c r="AX584" s="1" t="n"/>
      <c r="AY584" s="1" t="n"/>
      <c r="AZ584" s="1" t="n"/>
      <c r="BA584" s="1" t="n"/>
    </row>
    <row r="585" ht="16.5" customHeight="1" s="220">
      <c r="A585" s="1" t="n"/>
      <c r="B585" s="1" t="n"/>
      <c r="C585" s="2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  <c r="AR585" s="1" t="n"/>
      <c r="AS585" s="1" t="n"/>
      <c r="AT585" s="1" t="n"/>
      <c r="AU585" s="1" t="n"/>
      <c r="AV585" s="1" t="n"/>
      <c r="AW585" s="1" t="n"/>
      <c r="AX585" s="1" t="n"/>
      <c r="AY585" s="1" t="n"/>
      <c r="AZ585" s="1" t="n"/>
      <c r="BA585" s="1" t="n"/>
    </row>
    <row r="586" ht="16.5" customHeight="1" s="220">
      <c r="A586" s="1" t="n"/>
      <c r="B586" s="1" t="n"/>
      <c r="C586" s="2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  <c r="AR586" s="1" t="n"/>
      <c r="AS586" s="1" t="n"/>
      <c r="AT586" s="1" t="n"/>
      <c r="AU586" s="1" t="n"/>
      <c r="AV586" s="1" t="n"/>
      <c r="AW586" s="1" t="n"/>
      <c r="AX586" s="1" t="n"/>
      <c r="AY586" s="1" t="n"/>
      <c r="AZ586" s="1" t="n"/>
      <c r="BA586" s="1" t="n"/>
    </row>
    <row r="587" ht="16.5" customHeight="1" s="220">
      <c r="A587" s="1" t="n"/>
      <c r="B587" s="1" t="n"/>
      <c r="C587" s="2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  <c r="AR587" s="1" t="n"/>
      <c r="AS587" s="1" t="n"/>
      <c r="AT587" s="1" t="n"/>
      <c r="AU587" s="1" t="n"/>
      <c r="AV587" s="1" t="n"/>
      <c r="AW587" s="1" t="n"/>
      <c r="AX587" s="1" t="n"/>
      <c r="AY587" s="1" t="n"/>
      <c r="AZ587" s="1" t="n"/>
      <c r="BA587" s="1" t="n"/>
    </row>
    <row r="588" ht="16.5" customHeight="1" s="220">
      <c r="A588" s="1" t="n"/>
      <c r="B588" s="1" t="n"/>
      <c r="C588" s="2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Q588" s="1" t="n"/>
      <c r="AR588" s="1" t="n"/>
      <c r="AS588" s="1" t="n"/>
      <c r="AT588" s="1" t="n"/>
      <c r="AU588" s="1" t="n"/>
      <c r="AV588" s="1" t="n"/>
      <c r="AW588" s="1" t="n"/>
      <c r="AX588" s="1" t="n"/>
      <c r="AY588" s="1" t="n"/>
      <c r="AZ588" s="1" t="n"/>
      <c r="BA588" s="1" t="n"/>
    </row>
    <row r="589" ht="16.5" customHeight="1" s="220">
      <c r="A589" s="1" t="n"/>
      <c r="B589" s="1" t="n"/>
      <c r="C589" s="2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  <c r="AR589" s="1" t="n"/>
      <c r="AS589" s="1" t="n"/>
      <c r="AT589" s="1" t="n"/>
      <c r="AU589" s="1" t="n"/>
      <c r="AV589" s="1" t="n"/>
      <c r="AW589" s="1" t="n"/>
      <c r="AX589" s="1" t="n"/>
      <c r="AY589" s="1" t="n"/>
      <c r="AZ589" s="1" t="n"/>
      <c r="BA589" s="1" t="n"/>
    </row>
    <row r="590" ht="16.5" customHeight="1" s="220">
      <c r="A590" s="1" t="n"/>
      <c r="B590" s="1" t="n"/>
      <c r="C590" s="2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  <c r="AR590" s="1" t="n"/>
      <c r="AS590" s="1" t="n"/>
      <c r="AT590" s="1" t="n"/>
      <c r="AU590" s="1" t="n"/>
      <c r="AV590" s="1" t="n"/>
      <c r="AW590" s="1" t="n"/>
      <c r="AX590" s="1" t="n"/>
      <c r="AY590" s="1" t="n"/>
      <c r="AZ590" s="1" t="n"/>
      <c r="BA590" s="1" t="n"/>
    </row>
    <row r="591" ht="16.5" customHeight="1" s="220">
      <c r="A591" s="1" t="n"/>
      <c r="B591" s="1" t="n"/>
      <c r="C591" s="2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  <c r="AR591" s="1" t="n"/>
      <c r="AS591" s="1" t="n"/>
      <c r="AT591" s="1" t="n"/>
      <c r="AU591" s="1" t="n"/>
      <c r="AV591" s="1" t="n"/>
      <c r="AW591" s="1" t="n"/>
      <c r="AX591" s="1" t="n"/>
      <c r="AY591" s="1" t="n"/>
      <c r="AZ591" s="1" t="n"/>
      <c r="BA591" s="1" t="n"/>
    </row>
    <row r="592" ht="16.5" customHeight="1" s="220">
      <c r="A592" s="1" t="n"/>
      <c r="B592" s="1" t="n"/>
      <c r="C592" s="2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Q592" s="1" t="n"/>
      <c r="AR592" s="1" t="n"/>
      <c r="AS592" s="1" t="n"/>
      <c r="AT592" s="1" t="n"/>
      <c r="AU592" s="1" t="n"/>
      <c r="AV592" s="1" t="n"/>
      <c r="AW592" s="1" t="n"/>
      <c r="AX592" s="1" t="n"/>
      <c r="AY592" s="1" t="n"/>
      <c r="AZ592" s="1" t="n"/>
      <c r="BA592" s="1" t="n"/>
    </row>
    <row r="593" ht="16.5" customHeight="1" s="220">
      <c r="A593" s="1" t="n"/>
      <c r="B593" s="1" t="n"/>
      <c r="C593" s="2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  <c r="AR593" s="1" t="n"/>
      <c r="AS593" s="1" t="n"/>
      <c r="AT593" s="1" t="n"/>
      <c r="AU593" s="1" t="n"/>
      <c r="AV593" s="1" t="n"/>
      <c r="AW593" s="1" t="n"/>
      <c r="AX593" s="1" t="n"/>
      <c r="AY593" s="1" t="n"/>
      <c r="AZ593" s="1" t="n"/>
      <c r="BA593" s="1" t="n"/>
    </row>
    <row r="594" ht="16.5" customHeight="1" s="220">
      <c r="A594" s="1" t="n"/>
      <c r="B594" s="1" t="n"/>
      <c r="C594" s="2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Q594" s="1" t="n"/>
      <c r="AR594" s="1" t="n"/>
      <c r="AS594" s="1" t="n"/>
      <c r="AT594" s="1" t="n"/>
      <c r="AU594" s="1" t="n"/>
      <c r="AV594" s="1" t="n"/>
      <c r="AW594" s="1" t="n"/>
      <c r="AX594" s="1" t="n"/>
      <c r="AY594" s="1" t="n"/>
      <c r="AZ594" s="1" t="n"/>
      <c r="BA594" s="1" t="n"/>
    </row>
    <row r="595" ht="16.5" customHeight="1" s="220">
      <c r="A595" s="1" t="n"/>
      <c r="B595" s="1" t="n"/>
      <c r="C595" s="2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  <c r="AR595" s="1" t="n"/>
      <c r="AS595" s="1" t="n"/>
      <c r="AT595" s="1" t="n"/>
      <c r="AU595" s="1" t="n"/>
      <c r="AV595" s="1" t="n"/>
      <c r="AW595" s="1" t="n"/>
      <c r="AX595" s="1" t="n"/>
      <c r="AY595" s="1" t="n"/>
      <c r="AZ595" s="1" t="n"/>
      <c r="BA595" s="1" t="n"/>
    </row>
    <row r="596" ht="16.5" customHeight="1" s="220">
      <c r="A596" s="1" t="n"/>
      <c r="B596" s="1" t="n"/>
      <c r="C596" s="2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  <c r="AR596" s="1" t="n"/>
      <c r="AS596" s="1" t="n"/>
      <c r="AT596" s="1" t="n"/>
      <c r="AU596" s="1" t="n"/>
      <c r="AV596" s="1" t="n"/>
      <c r="AW596" s="1" t="n"/>
      <c r="AX596" s="1" t="n"/>
      <c r="AY596" s="1" t="n"/>
      <c r="AZ596" s="1" t="n"/>
      <c r="BA596" s="1" t="n"/>
    </row>
    <row r="597" ht="16.5" customHeight="1" s="220">
      <c r="A597" s="1" t="n"/>
      <c r="B597" s="1" t="n"/>
      <c r="C597" s="2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  <c r="AR597" s="1" t="n"/>
      <c r="AS597" s="1" t="n"/>
      <c r="AT597" s="1" t="n"/>
      <c r="AU597" s="1" t="n"/>
      <c r="AV597" s="1" t="n"/>
      <c r="AW597" s="1" t="n"/>
      <c r="AX597" s="1" t="n"/>
      <c r="AY597" s="1" t="n"/>
      <c r="AZ597" s="1" t="n"/>
      <c r="BA597" s="1" t="n"/>
    </row>
    <row r="598" ht="16.5" customHeight="1" s="220">
      <c r="A598" s="1" t="n"/>
      <c r="B598" s="1" t="n"/>
      <c r="C598" s="2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Q598" s="1" t="n"/>
      <c r="AR598" s="1" t="n"/>
      <c r="AS598" s="1" t="n"/>
      <c r="AT598" s="1" t="n"/>
      <c r="AU598" s="1" t="n"/>
      <c r="AV598" s="1" t="n"/>
      <c r="AW598" s="1" t="n"/>
      <c r="AX598" s="1" t="n"/>
      <c r="AY598" s="1" t="n"/>
      <c r="AZ598" s="1" t="n"/>
      <c r="BA598" s="1" t="n"/>
    </row>
    <row r="599" ht="16.5" customHeight="1" s="220">
      <c r="A599" s="1" t="n"/>
      <c r="B599" s="1" t="n"/>
      <c r="C599" s="2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  <c r="AR599" s="1" t="n"/>
      <c r="AS599" s="1" t="n"/>
      <c r="AT599" s="1" t="n"/>
      <c r="AU599" s="1" t="n"/>
      <c r="AV599" s="1" t="n"/>
      <c r="AW599" s="1" t="n"/>
      <c r="AX599" s="1" t="n"/>
      <c r="AY599" s="1" t="n"/>
      <c r="AZ599" s="1" t="n"/>
      <c r="BA599" s="1" t="n"/>
    </row>
    <row r="600" ht="16.5" customHeight="1" s="220">
      <c r="A600" s="1" t="n"/>
      <c r="B600" s="1" t="n"/>
      <c r="C600" s="2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Q600" s="1" t="n"/>
      <c r="AR600" s="1" t="n"/>
      <c r="AS600" s="1" t="n"/>
      <c r="AT600" s="1" t="n"/>
      <c r="AU600" s="1" t="n"/>
      <c r="AV600" s="1" t="n"/>
      <c r="AW600" s="1" t="n"/>
      <c r="AX600" s="1" t="n"/>
      <c r="AY600" s="1" t="n"/>
      <c r="AZ600" s="1" t="n"/>
      <c r="BA600" s="1" t="n"/>
    </row>
    <row r="601" ht="16.5" customHeight="1" s="220">
      <c r="A601" s="1" t="n"/>
      <c r="B601" s="1" t="n"/>
      <c r="C601" s="2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  <c r="AR601" s="1" t="n"/>
      <c r="AS601" s="1" t="n"/>
      <c r="AT601" s="1" t="n"/>
      <c r="AU601" s="1" t="n"/>
      <c r="AV601" s="1" t="n"/>
      <c r="AW601" s="1" t="n"/>
      <c r="AX601" s="1" t="n"/>
      <c r="AY601" s="1" t="n"/>
      <c r="AZ601" s="1" t="n"/>
      <c r="BA601" s="1" t="n"/>
    </row>
    <row r="602" ht="16.5" customHeight="1" s="220">
      <c r="A602" s="1" t="n"/>
      <c r="B602" s="1" t="n"/>
      <c r="C602" s="2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Q602" s="1" t="n"/>
      <c r="AR602" s="1" t="n"/>
      <c r="AS602" s="1" t="n"/>
      <c r="AT602" s="1" t="n"/>
      <c r="AU602" s="1" t="n"/>
      <c r="AV602" s="1" t="n"/>
      <c r="AW602" s="1" t="n"/>
      <c r="AX602" s="1" t="n"/>
      <c r="AY602" s="1" t="n"/>
      <c r="AZ602" s="1" t="n"/>
      <c r="BA602" s="1" t="n"/>
    </row>
    <row r="603" ht="16.5" customHeight="1" s="220">
      <c r="A603" s="1" t="n"/>
      <c r="B603" s="1" t="n"/>
      <c r="C603" s="2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  <c r="AR603" s="1" t="n"/>
      <c r="AS603" s="1" t="n"/>
      <c r="AT603" s="1" t="n"/>
      <c r="AU603" s="1" t="n"/>
      <c r="AV603" s="1" t="n"/>
      <c r="AW603" s="1" t="n"/>
      <c r="AX603" s="1" t="n"/>
      <c r="AY603" s="1" t="n"/>
      <c r="AZ603" s="1" t="n"/>
      <c r="BA603" s="1" t="n"/>
    </row>
    <row r="604" ht="16.5" customHeight="1" s="220">
      <c r="A604" s="1" t="n"/>
      <c r="B604" s="1" t="n"/>
      <c r="C604" s="2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  <c r="AR604" s="1" t="n"/>
      <c r="AS604" s="1" t="n"/>
      <c r="AT604" s="1" t="n"/>
      <c r="AU604" s="1" t="n"/>
      <c r="AV604" s="1" t="n"/>
      <c r="AW604" s="1" t="n"/>
      <c r="AX604" s="1" t="n"/>
      <c r="AY604" s="1" t="n"/>
      <c r="AZ604" s="1" t="n"/>
      <c r="BA604" s="1" t="n"/>
    </row>
    <row r="605" ht="16.5" customHeight="1" s="220">
      <c r="A605" s="1" t="n"/>
      <c r="B605" s="1" t="n"/>
      <c r="C605" s="2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  <c r="AR605" s="1" t="n"/>
      <c r="AS605" s="1" t="n"/>
      <c r="AT605" s="1" t="n"/>
      <c r="AU605" s="1" t="n"/>
      <c r="AV605" s="1" t="n"/>
      <c r="AW605" s="1" t="n"/>
      <c r="AX605" s="1" t="n"/>
      <c r="AY605" s="1" t="n"/>
      <c r="AZ605" s="1" t="n"/>
      <c r="BA605" s="1" t="n"/>
    </row>
    <row r="606" ht="16.5" customHeight="1" s="220">
      <c r="A606" s="1" t="n"/>
      <c r="B606" s="1" t="n"/>
      <c r="C606" s="2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  <c r="AR606" s="1" t="n"/>
      <c r="AS606" s="1" t="n"/>
      <c r="AT606" s="1" t="n"/>
      <c r="AU606" s="1" t="n"/>
      <c r="AV606" s="1" t="n"/>
      <c r="AW606" s="1" t="n"/>
      <c r="AX606" s="1" t="n"/>
      <c r="AY606" s="1" t="n"/>
      <c r="AZ606" s="1" t="n"/>
      <c r="BA606" s="1" t="n"/>
    </row>
    <row r="607" ht="16.5" customHeight="1" s="220">
      <c r="A607" s="1" t="n"/>
      <c r="B607" s="1" t="n"/>
      <c r="C607" s="2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  <c r="AR607" s="1" t="n"/>
      <c r="AS607" s="1" t="n"/>
      <c r="AT607" s="1" t="n"/>
      <c r="AU607" s="1" t="n"/>
      <c r="AV607" s="1" t="n"/>
      <c r="AW607" s="1" t="n"/>
      <c r="AX607" s="1" t="n"/>
      <c r="AY607" s="1" t="n"/>
      <c r="AZ607" s="1" t="n"/>
      <c r="BA607" s="1" t="n"/>
    </row>
    <row r="608" ht="16.5" customHeight="1" s="220">
      <c r="A608" s="1" t="n"/>
      <c r="B608" s="1" t="n"/>
      <c r="C608" s="2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  <c r="AR608" s="1" t="n"/>
      <c r="AS608" s="1" t="n"/>
      <c r="AT608" s="1" t="n"/>
      <c r="AU608" s="1" t="n"/>
      <c r="AV608" s="1" t="n"/>
      <c r="AW608" s="1" t="n"/>
      <c r="AX608" s="1" t="n"/>
      <c r="AY608" s="1" t="n"/>
      <c r="AZ608" s="1" t="n"/>
      <c r="BA608" s="1" t="n"/>
    </row>
    <row r="609" ht="16.5" customHeight="1" s="220">
      <c r="A609" s="1" t="n"/>
      <c r="B609" s="1" t="n"/>
      <c r="C609" s="2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  <c r="AR609" s="1" t="n"/>
      <c r="AS609" s="1" t="n"/>
      <c r="AT609" s="1" t="n"/>
      <c r="AU609" s="1" t="n"/>
      <c r="AV609" s="1" t="n"/>
      <c r="AW609" s="1" t="n"/>
      <c r="AX609" s="1" t="n"/>
      <c r="AY609" s="1" t="n"/>
      <c r="AZ609" s="1" t="n"/>
      <c r="BA609" s="1" t="n"/>
    </row>
    <row r="610" ht="16.5" customHeight="1" s="220">
      <c r="A610" s="1" t="n"/>
      <c r="B610" s="1" t="n"/>
      <c r="C610" s="2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  <c r="AR610" s="1" t="n"/>
      <c r="AS610" s="1" t="n"/>
      <c r="AT610" s="1" t="n"/>
      <c r="AU610" s="1" t="n"/>
      <c r="AV610" s="1" t="n"/>
      <c r="AW610" s="1" t="n"/>
      <c r="AX610" s="1" t="n"/>
      <c r="AY610" s="1" t="n"/>
      <c r="AZ610" s="1" t="n"/>
      <c r="BA610" s="1" t="n"/>
    </row>
    <row r="611" ht="16.5" customHeight="1" s="220">
      <c r="A611" s="1" t="n"/>
      <c r="B611" s="1" t="n"/>
      <c r="C611" s="2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  <c r="AR611" s="1" t="n"/>
      <c r="AS611" s="1" t="n"/>
      <c r="AT611" s="1" t="n"/>
      <c r="AU611" s="1" t="n"/>
      <c r="AV611" s="1" t="n"/>
      <c r="AW611" s="1" t="n"/>
      <c r="AX611" s="1" t="n"/>
      <c r="AY611" s="1" t="n"/>
      <c r="AZ611" s="1" t="n"/>
      <c r="BA611" s="1" t="n"/>
    </row>
    <row r="612" ht="16.5" customHeight="1" s="220">
      <c r="A612" s="1" t="n"/>
      <c r="B612" s="1" t="n"/>
      <c r="C612" s="2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  <c r="AR612" s="1" t="n"/>
      <c r="AS612" s="1" t="n"/>
      <c r="AT612" s="1" t="n"/>
      <c r="AU612" s="1" t="n"/>
      <c r="AV612" s="1" t="n"/>
      <c r="AW612" s="1" t="n"/>
      <c r="AX612" s="1" t="n"/>
      <c r="AY612" s="1" t="n"/>
      <c r="AZ612" s="1" t="n"/>
      <c r="BA612" s="1" t="n"/>
    </row>
    <row r="613" ht="16.5" customHeight="1" s="220">
      <c r="A613" s="1" t="n"/>
      <c r="B613" s="1" t="n"/>
      <c r="C613" s="2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  <c r="AR613" s="1" t="n"/>
      <c r="AS613" s="1" t="n"/>
      <c r="AT613" s="1" t="n"/>
      <c r="AU613" s="1" t="n"/>
      <c r="AV613" s="1" t="n"/>
      <c r="AW613" s="1" t="n"/>
      <c r="AX613" s="1" t="n"/>
      <c r="AY613" s="1" t="n"/>
      <c r="AZ613" s="1" t="n"/>
      <c r="BA613" s="1" t="n"/>
    </row>
    <row r="614" ht="16.5" customHeight="1" s="220">
      <c r="A614" s="1" t="n"/>
      <c r="B614" s="1" t="n"/>
      <c r="C614" s="2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  <c r="AR614" s="1" t="n"/>
      <c r="AS614" s="1" t="n"/>
      <c r="AT614" s="1" t="n"/>
      <c r="AU614" s="1" t="n"/>
      <c r="AV614" s="1" t="n"/>
      <c r="AW614" s="1" t="n"/>
      <c r="AX614" s="1" t="n"/>
      <c r="AY614" s="1" t="n"/>
      <c r="AZ614" s="1" t="n"/>
      <c r="BA614" s="1" t="n"/>
    </row>
    <row r="615" ht="16.5" customHeight="1" s="220">
      <c r="A615" s="1" t="n"/>
      <c r="B615" s="1" t="n"/>
      <c r="C615" s="2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  <c r="AR615" s="1" t="n"/>
      <c r="AS615" s="1" t="n"/>
      <c r="AT615" s="1" t="n"/>
      <c r="AU615" s="1" t="n"/>
      <c r="AV615" s="1" t="n"/>
      <c r="AW615" s="1" t="n"/>
      <c r="AX615" s="1" t="n"/>
      <c r="AY615" s="1" t="n"/>
      <c r="AZ615" s="1" t="n"/>
      <c r="BA615" s="1" t="n"/>
    </row>
    <row r="616" ht="16.5" customHeight="1" s="220">
      <c r="A616" s="1" t="n"/>
      <c r="B616" s="1" t="n"/>
      <c r="C616" s="2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  <c r="AR616" s="1" t="n"/>
      <c r="AS616" s="1" t="n"/>
      <c r="AT616" s="1" t="n"/>
      <c r="AU616" s="1" t="n"/>
      <c r="AV616" s="1" t="n"/>
      <c r="AW616" s="1" t="n"/>
      <c r="AX616" s="1" t="n"/>
      <c r="AY616" s="1" t="n"/>
      <c r="AZ616" s="1" t="n"/>
      <c r="BA616" s="1" t="n"/>
    </row>
    <row r="617" ht="16.5" customHeight="1" s="220">
      <c r="A617" s="1" t="n"/>
      <c r="B617" s="1" t="n"/>
      <c r="C617" s="2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  <c r="AR617" s="1" t="n"/>
      <c r="AS617" s="1" t="n"/>
      <c r="AT617" s="1" t="n"/>
      <c r="AU617" s="1" t="n"/>
      <c r="AV617" s="1" t="n"/>
      <c r="AW617" s="1" t="n"/>
      <c r="AX617" s="1" t="n"/>
      <c r="AY617" s="1" t="n"/>
      <c r="AZ617" s="1" t="n"/>
      <c r="BA617" s="1" t="n"/>
    </row>
    <row r="618" ht="16.5" customHeight="1" s="220">
      <c r="A618" s="1" t="n"/>
      <c r="B618" s="1" t="n"/>
      <c r="C618" s="2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  <c r="AR618" s="1" t="n"/>
      <c r="AS618" s="1" t="n"/>
      <c r="AT618" s="1" t="n"/>
      <c r="AU618" s="1" t="n"/>
      <c r="AV618" s="1" t="n"/>
      <c r="AW618" s="1" t="n"/>
      <c r="AX618" s="1" t="n"/>
      <c r="AY618" s="1" t="n"/>
      <c r="AZ618" s="1" t="n"/>
      <c r="BA618" s="1" t="n"/>
    </row>
    <row r="619" ht="16.5" customHeight="1" s="220">
      <c r="A619" s="1" t="n"/>
      <c r="B619" s="1" t="n"/>
      <c r="C619" s="2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  <c r="AR619" s="1" t="n"/>
      <c r="AS619" s="1" t="n"/>
      <c r="AT619" s="1" t="n"/>
      <c r="AU619" s="1" t="n"/>
      <c r="AV619" s="1" t="n"/>
      <c r="AW619" s="1" t="n"/>
      <c r="AX619" s="1" t="n"/>
      <c r="AY619" s="1" t="n"/>
      <c r="AZ619" s="1" t="n"/>
      <c r="BA619" s="1" t="n"/>
    </row>
    <row r="620" ht="16.5" customHeight="1" s="220">
      <c r="A620" s="1" t="n"/>
      <c r="B620" s="1" t="n"/>
      <c r="C620" s="2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Q620" s="1" t="n"/>
      <c r="AR620" s="1" t="n"/>
      <c r="AS620" s="1" t="n"/>
      <c r="AT620" s="1" t="n"/>
      <c r="AU620" s="1" t="n"/>
      <c r="AV620" s="1" t="n"/>
      <c r="AW620" s="1" t="n"/>
      <c r="AX620" s="1" t="n"/>
      <c r="AY620" s="1" t="n"/>
      <c r="AZ620" s="1" t="n"/>
      <c r="BA620" s="1" t="n"/>
    </row>
    <row r="621" ht="16.5" customHeight="1" s="220">
      <c r="A621" s="1" t="n"/>
      <c r="B621" s="1" t="n"/>
      <c r="C621" s="2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  <c r="AR621" s="1" t="n"/>
      <c r="AS621" s="1" t="n"/>
      <c r="AT621" s="1" t="n"/>
      <c r="AU621" s="1" t="n"/>
      <c r="AV621" s="1" t="n"/>
      <c r="AW621" s="1" t="n"/>
      <c r="AX621" s="1" t="n"/>
      <c r="AY621" s="1" t="n"/>
      <c r="AZ621" s="1" t="n"/>
      <c r="BA621" s="1" t="n"/>
    </row>
    <row r="622" ht="16.5" customHeight="1" s="220">
      <c r="A622" s="1" t="n"/>
      <c r="B622" s="1" t="n"/>
      <c r="C622" s="2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  <c r="AR622" s="1" t="n"/>
      <c r="AS622" s="1" t="n"/>
      <c r="AT622" s="1" t="n"/>
      <c r="AU622" s="1" t="n"/>
      <c r="AV622" s="1" t="n"/>
      <c r="AW622" s="1" t="n"/>
      <c r="AX622" s="1" t="n"/>
      <c r="AY622" s="1" t="n"/>
      <c r="AZ622" s="1" t="n"/>
      <c r="BA622" s="1" t="n"/>
    </row>
    <row r="623" ht="16.5" customHeight="1" s="220">
      <c r="A623" s="1" t="n"/>
      <c r="B623" s="1" t="n"/>
      <c r="C623" s="2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  <c r="AR623" s="1" t="n"/>
      <c r="AS623" s="1" t="n"/>
      <c r="AT623" s="1" t="n"/>
      <c r="AU623" s="1" t="n"/>
      <c r="AV623" s="1" t="n"/>
      <c r="AW623" s="1" t="n"/>
      <c r="AX623" s="1" t="n"/>
      <c r="AY623" s="1" t="n"/>
      <c r="AZ623" s="1" t="n"/>
      <c r="BA623" s="1" t="n"/>
    </row>
    <row r="624" ht="16.5" customHeight="1" s="220">
      <c r="A624" s="1" t="n"/>
      <c r="B624" s="1" t="n"/>
      <c r="C624" s="2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  <c r="AR624" s="1" t="n"/>
      <c r="AS624" s="1" t="n"/>
      <c r="AT624" s="1" t="n"/>
      <c r="AU624" s="1" t="n"/>
      <c r="AV624" s="1" t="n"/>
      <c r="AW624" s="1" t="n"/>
      <c r="AX624" s="1" t="n"/>
      <c r="AY624" s="1" t="n"/>
      <c r="AZ624" s="1" t="n"/>
      <c r="BA624" s="1" t="n"/>
    </row>
    <row r="625" ht="16.5" customHeight="1" s="220">
      <c r="A625" s="1" t="n"/>
      <c r="B625" s="1" t="n"/>
      <c r="C625" s="2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  <c r="AR625" s="1" t="n"/>
      <c r="AS625" s="1" t="n"/>
      <c r="AT625" s="1" t="n"/>
      <c r="AU625" s="1" t="n"/>
      <c r="AV625" s="1" t="n"/>
      <c r="AW625" s="1" t="n"/>
      <c r="AX625" s="1" t="n"/>
      <c r="AY625" s="1" t="n"/>
      <c r="AZ625" s="1" t="n"/>
      <c r="BA625" s="1" t="n"/>
    </row>
    <row r="626" ht="16.5" customHeight="1" s="220">
      <c r="A626" s="1" t="n"/>
      <c r="B626" s="1" t="n"/>
      <c r="C626" s="2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  <c r="AR626" s="1" t="n"/>
      <c r="AS626" s="1" t="n"/>
      <c r="AT626" s="1" t="n"/>
      <c r="AU626" s="1" t="n"/>
      <c r="AV626" s="1" t="n"/>
      <c r="AW626" s="1" t="n"/>
      <c r="AX626" s="1" t="n"/>
      <c r="AY626" s="1" t="n"/>
      <c r="AZ626" s="1" t="n"/>
      <c r="BA626" s="1" t="n"/>
    </row>
    <row r="627" ht="16.5" customHeight="1" s="220">
      <c r="A627" s="1" t="n"/>
      <c r="B627" s="1" t="n"/>
      <c r="C627" s="2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  <c r="AR627" s="1" t="n"/>
      <c r="AS627" s="1" t="n"/>
      <c r="AT627" s="1" t="n"/>
      <c r="AU627" s="1" t="n"/>
      <c r="AV627" s="1" t="n"/>
      <c r="AW627" s="1" t="n"/>
      <c r="AX627" s="1" t="n"/>
      <c r="AY627" s="1" t="n"/>
      <c r="AZ627" s="1" t="n"/>
      <c r="BA627" s="1" t="n"/>
    </row>
    <row r="628" ht="16.5" customHeight="1" s="220">
      <c r="A628" s="1" t="n"/>
      <c r="B628" s="1" t="n"/>
      <c r="C628" s="2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  <c r="AR628" s="1" t="n"/>
      <c r="AS628" s="1" t="n"/>
      <c r="AT628" s="1" t="n"/>
      <c r="AU628" s="1" t="n"/>
      <c r="AV628" s="1" t="n"/>
      <c r="AW628" s="1" t="n"/>
      <c r="AX628" s="1" t="n"/>
      <c r="AY628" s="1" t="n"/>
      <c r="AZ628" s="1" t="n"/>
      <c r="BA628" s="1" t="n"/>
    </row>
    <row r="629" ht="16.5" customHeight="1" s="220">
      <c r="A629" s="1" t="n"/>
      <c r="B629" s="1" t="n"/>
      <c r="C629" s="2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  <c r="AR629" s="1" t="n"/>
      <c r="AS629" s="1" t="n"/>
      <c r="AT629" s="1" t="n"/>
      <c r="AU629" s="1" t="n"/>
      <c r="AV629" s="1" t="n"/>
      <c r="AW629" s="1" t="n"/>
      <c r="AX629" s="1" t="n"/>
      <c r="AY629" s="1" t="n"/>
      <c r="AZ629" s="1" t="n"/>
      <c r="BA629" s="1" t="n"/>
    </row>
    <row r="630" ht="16.5" customHeight="1" s="220">
      <c r="A630" s="1" t="n"/>
      <c r="B630" s="1" t="n"/>
      <c r="C630" s="2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  <c r="AR630" s="1" t="n"/>
      <c r="AS630" s="1" t="n"/>
      <c r="AT630" s="1" t="n"/>
      <c r="AU630" s="1" t="n"/>
      <c r="AV630" s="1" t="n"/>
      <c r="AW630" s="1" t="n"/>
      <c r="AX630" s="1" t="n"/>
      <c r="AY630" s="1" t="n"/>
      <c r="AZ630" s="1" t="n"/>
      <c r="BA630" s="1" t="n"/>
    </row>
    <row r="631" ht="16.5" customHeight="1" s="220">
      <c r="A631" s="1" t="n"/>
      <c r="B631" s="1" t="n"/>
      <c r="C631" s="2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  <c r="AR631" s="1" t="n"/>
      <c r="AS631" s="1" t="n"/>
      <c r="AT631" s="1" t="n"/>
      <c r="AU631" s="1" t="n"/>
      <c r="AV631" s="1" t="n"/>
      <c r="AW631" s="1" t="n"/>
      <c r="AX631" s="1" t="n"/>
      <c r="AY631" s="1" t="n"/>
      <c r="AZ631" s="1" t="n"/>
      <c r="BA631" s="1" t="n"/>
    </row>
    <row r="632" ht="16.5" customHeight="1" s="220">
      <c r="A632" s="1" t="n"/>
      <c r="B632" s="1" t="n"/>
      <c r="C632" s="2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  <c r="AR632" s="1" t="n"/>
      <c r="AS632" s="1" t="n"/>
      <c r="AT632" s="1" t="n"/>
      <c r="AU632" s="1" t="n"/>
      <c r="AV632" s="1" t="n"/>
      <c r="AW632" s="1" t="n"/>
      <c r="AX632" s="1" t="n"/>
      <c r="AY632" s="1" t="n"/>
      <c r="AZ632" s="1" t="n"/>
      <c r="BA632" s="1" t="n"/>
    </row>
    <row r="633" ht="16.5" customHeight="1" s="220">
      <c r="A633" s="1" t="n"/>
      <c r="B633" s="1" t="n"/>
      <c r="C633" s="2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  <c r="AR633" s="1" t="n"/>
      <c r="AS633" s="1" t="n"/>
      <c r="AT633" s="1" t="n"/>
      <c r="AU633" s="1" t="n"/>
      <c r="AV633" s="1" t="n"/>
      <c r="AW633" s="1" t="n"/>
      <c r="AX633" s="1" t="n"/>
      <c r="AY633" s="1" t="n"/>
      <c r="AZ633" s="1" t="n"/>
      <c r="BA633" s="1" t="n"/>
    </row>
    <row r="634" ht="16.5" customHeight="1" s="220">
      <c r="A634" s="1" t="n"/>
      <c r="B634" s="1" t="n"/>
      <c r="C634" s="2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Q634" s="1" t="n"/>
      <c r="AR634" s="1" t="n"/>
      <c r="AS634" s="1" t="n"/>
      <c r="AT634" s="1" t="n"/>
      <c r="AU634" s="1" t="n"/>
      <c r="AV634" s="1" t="n"/>
      <c r="AW634" s="1" t="n"/>
      <c r="AX634" s="1" t="n"/>
      <c r="AY634" s="1" t="n"/>
      <c r="AZ634" s="1" t="n"/>
      <c r="BA634" s="1" t="n"/>
    </row>
    <row r="635" ht="16.5" customHeight="1" s="220">
      <c r="A635" s="1" t="n"/>
      <c r="B635" s="1" t="n"/>
      <c r="C635" s="2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  <c r="AR635" s="1" t="n"/>
      <c r="AS635" s="1" t="n"/>
      <c r="AT635" s="1" t="n"/>
      <c r="AU635" s="1" t="n"/>
      <c r="AV635" s="1" t="n"/>
      <c r="AW635" s="1" t="n"/>
      <c r="AX635" s="1" t="n"/>
      <c r="AY635" s="1" t="n"/>
      <c r="AZ635" s="1" t="n"/>
      <c r="BA635" s="1" t="n"/>
    </row>
    <row r="636" ht="16.5" customHeight="1" s="220">
      <c r="A636" s="1" t="n"/>
      <c r="B636" s="1" t="n"/>
      <c r="C636" s="2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Q636" s="1" t="n"/>
      <c r="AR636" s="1" t="n"/>
      <c r="AS636" s="1" t="n"/>
      <c r="AT636" s="1" t="n"/>
      <c r="AU636" s="1" t="n"/>
      <c r="AV636" s="1" t="n"/>
      <c r="AW636" s="1" t="n"/>
      <c r="AX636" s="1" t="n"/>
      <c r="AY636" s="1" t="n"/>
      <c r="AZ636" s="1" t="n"/>
      <c r="BA636" s="1" t="n"/>
    </row>
    <row r="637" ht="16.5" customHeight="1" s="220">
      <c r="A637" s="1" t="n"/>
      <c r="B637" s="1" t="n"/>
      <c r="C637" s="2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  <c r="AR637" s="1" t="n"/>
      <c r="AS637" s="1" t="n"/>
      <c r="AT637" s="1" t="n"/>
      <c r="AU637" s="1" t="n"/>
      <c r="AV637" s="1" t="n"/>
      <c r="AW637" s="1" t="n"/>
      <c r="AX637" s="1" t="n"/>
      <c r="AY637" s="1" t="n"/>
      <c r="AZ637" s="1" t="n"/>
      <c r="BA637" s="1" t="n"/>
    </row>
    <row r="638" ht="16.5" customHeight="1" s="220">
      <c r="A638" s="1" t="n"/>
      <c r="B638" s="1" t="n"/>
      <c r="C638" s="2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  <c r="AR638" s="1" t="n"/>
      <c r="AS638" s="1" t="n"/>
      <c r="AT638" s="1" t="n"/>
      <c r="AU638" s="1" t="n"/>
      <c r="AV638" s="1" t="n"/>
      <c r="AW638" s="1" t="n"/>
      <c r="AX638" s="1" t="n"/>
      <c r="AY638" s="1" t="n"/>
      <c r="AZ638" s="1" t="n"/>
      <c r="BA638" s="1" t="n"/>
    </row>
    <row r="639" ht="16.5" customHeight="1" s="220">
      <c r="A639" s="1" t="n"/>
      <c r="B639" s="1" t="n"/>
      <c r="C639" s="2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  <c r="AR639" s="1" t="n"/>
      <c r="AS639" s="1" t="n"/>
      <c r="AT639" s="1" t="n"/>
      <c r="AU639" s="1" t="n"/>
      <c r="AV639" s="1" t="n"/>
      <c r="AW639" s="1" t="n"/>
      <c r="AX639" s="1" t="n"/>
      <c r="AY639" s="1" t="n"/>
      <c r="AZ639" s="1" t="n"/>
      <c r="BA639" s="1" t="n"/>
    </row>
    <row r="640" ht="16.5" customHeight="1" s="220">
      <c r="A640" s="1" t="n"/>
      <c r="B640" s="1" t="n"/>
      <c r="C640" s="2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  <c r="AR640" s="1" t="n"/>
      <c r="AS640" s="1" t="n"/>
      <c r="AT640" s="1" t="n"/>
      <c r="AU640" s="1" t="n"/>
      <c r="AV640" s="1" t="n"/>
      <c r="AW640" s="1" t="n"/>
      <c r="AX640" s="1" t="n"/>
      <c r="AY640" s="1" t="n"/>
      <c r="AZ640" s="1" t="n"/>
      <c r="BA640" s="1" t="n"/>
    </row>
    <row r="641" ht="16.5" customHeight="1" s="220">
      <c r="A641" s="1" t="n"/>
      <c r="B641" s="1" t="n"/>
      <c r="C641" s="2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  <c r="AR641" s="1" t="n"/>
      <c r="AS641" s="1" t="n"/>
      <c r="AT641" s="1" t="n"/>
      <c r="AU641" s="1" t="n"/>
      <c r="AV641" s="1" t="n"/>
      <c r="AW641" s="1" t="n"/>
      <c r="AX641" s="1" t="n"/>
      <c r="AY641" s="1" t="n"/>
      <c r="AZ641" s="1" t="n"/>
      <c r="BA641" s="1" t="n"/>
    </row>
    <row r="642" ht="16.5" customHeight="1" s="220">
      <c r="A642" s="1" t="n"/>
      <c r="B642" s="1" t="n"/>
      <c r="C642" s="2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  <c r="AR642" s="1" t="n"/>
      <c r="AS642" s="1" t="n"/>
      <c r="AT642" s="1" t="n"/>
      <c r="AU642" s="1" t="n"/>
      <c r="AV642" s="1" t="n"/>
      <c r="AW642" s="1" t="n"/>
      <c r="AX642" s="1" t="n"/>
      <c r="AY642" s="1" t="n"/>
      <c r="AZ642" s="1" t="n"/>
      <c r="BA642" s="1" t="n"/>
    </row>
    <row r="643" ht="16.5" customHeight="1" s="220">
      <c r="A643" s="1" t="n"/>
      <c r="B643" s="1" t="n"/>
      <c r="C643" s="2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  <c r="AR643" s="1" t="n"/>
      <c r="AS643" s="1" t="n"/>
      <c r="AT643" s="1" t="n"/>
      <c r="AU643" s="1" t="n"/>
      <c r="AV643" s="1" t="n"/>
      <c r="AW643" s="1" t="n"/>
      <c r="AX643" s="1" t="n"/>
      <c r="AY643" s="1" t="n"/>
      <c r="AZ643" s="1" t="n"/>
      <c r="BA643" s="1" t="n"/>
    </row>
    <row r="644" ht="16.5" customHeight="1" s="220">
      <c r="A644" s="1" t="n"/>
      <c r="B644" s="1" t="n"/>
      <c r="C644" s="2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  <c r="AR644" s="1" t="n"/>
      <c r="AS644" s="1" t="n"/>
      <c r="AT644" s="1" t="n"/>
      <c r="AU644" s="1" t="n"/>
      <c r="AV644" s="1" t="n"/>
      <c r="AW644" s="1" t="n"/>
      <c r="AX644" s="1" t="n"/>
      <c r="AY644" s="1" t="n"/>
      <c r="AZ644" s="1" t="n"/>
      <c r="BA644" s="1" t="n"/>
    </row>
    <row r="645" ht="16.5" customHeight="1" s="220">
      <c r="A645" s="1" t="n"/>
      <c r="B645" s="1" t="n"/>
      <c r="C645" s="2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  <c r="AR645" s="1" t="n"/>
      <c r="AS645" s="1" t="n"/>
      <c r="AT645" s="1" t="n"/>
      <c r="AU645" s="1" t="n"/>
      <c r="AV645" s="1" t="n"/>
      <c r="AW645" s="1" t="n"/>
      <c r="AX645" s="1" t="n"/>
      <c r="AY645" s="1" t="n"/>
      <c r="AZ645" s="1" t="n"/>
      <c r="BA645" s="1" t="n"/>
    </row>
    <row r="646" ht="16.5" customHeight="1" s="220">
      <c r="A646" s="1" t="n"/>
      <c r="B646" s="1" t="n"/>
      <c r="C646" s="2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  <c r="AR646" s="1" t="n"/>
      <c r="AS646" s="1" t="n"/>
      <c r="AT646" s="1" t="n"/>
      <c r="AU646" s="1" t="n"/>
      <c r="AV646" s="1" t="n"/>
      <c r="AW646" s="1" t="n"/>
      <c r="AX646" s="1" t="n"/>
      <c r="AY646" s="1" t="n"/>
      <c r="AZ646" s="1" t="n"/>
      <c r="BA646" s="1" t="n"/>
    </row>
    <row r="647" ht="16.5" customHeight="1" s="220">
      <c r="A647" s="1" t="n"/>
      <c r="B647" s="1" t="n"/>
      <c r="C647" s="2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  <c r="AR647" s="1" t="n"/>
      <c r="AS647" s="1" t="n"/>
      <c r="AT647" s="1" t="n"/>
      <c r="AU647" s="1" t="n"/>
      <c r="AV647" s="1" t="n"/>
      <c r="AW647" s="1" t="n"/>
      <c r="AX647" s="1" t="n"/>
      <c r="AY647" s="1" t="n"/>
      <c r="AZ647" s="1" t="n"/>
      <c r="BA647" s="1" t="n"/>
    </row>
    <row r="648" ht="16.5" customHeight="1" s="220">
      <c r="A648" s="1" t="n"/>
      <c r="B648" s="1" t="n"/>
      <c r="C648" s="2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  <c r="AR648" s="1" t="n"/>
      <c r="AS648" s="1" t="n"/>
      <c r="AT648" s="1" t="n"/>
      <c r="AU648" s="1" t="n"/>
      <c r="AV648" s="1" t="n"/>
      <c r="AW648" s="1" t="n"/>
      <c r="AX648" s="1" t="n"/>
      <c r="AY648" s="1" t="n"/>
      <c r="AZ648" s="1" t="n"/>
      <c r="BA648" s="1" t="n"/>
    </row>
    <row r="649" ht="16.5" customHeight="1" s="220">
      <c r="A649" s="1" t="n"/>
      <c r="B649" s="1" t="n"/>
      <c r="C649" s="2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  <c r="AR649" s="1" t="n"/>
      <c r="AS649" s="1" t="n"/>
      <c r="AT649" s="1" t="n"/>
      <c r="AU649" s="1" t="n"/>
      <c r="AV649" s="1" t="n"/>
      <c r="AW649" s="1" t="n"/>
      <c r="AX649" s="1" t="n"/>
      <c r="AY649" s="1" t="n"/>
      <c r="AZ649" s="1" t="n"/>
      <c r="BA649" s="1" t="n"/>
    </row>
    <row r="650" ht="16.5" customHeight="1" s="220">
      <c r="A650" s="1" t="n"/>
      <c r="B650" s="1" t="n"/>
      <c r="C650" s="2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  <c r="AR650" s="1" t="n"/>
      <c r="AS650" s="1" t="n"/>
      <c r="AT650" s="1" t="n"/>
      <c r="AU650" s="1" t="n"/>
      <c r="AV650" s="1" t="n"/>
      <c r="AW650" s="1" t="n"/>
      <c r="AX650" s="1" t="n"/>
      <c r="AY650" s="1" t="n"/>
      <c r="AZ650" s="1" t="n"/>
      <c r="BA650" s="1" t="n"/>
    </row>
    <row r="651" ht="16.5" customHeight="1" s="220">
      <c r="A651" s="1" t="n"/>
      <c r="B651" s="1" t="n"/>
      <c r="C651" s="2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  <c r="AR651" s="1" t="n"/>
      <c r="AS651" s="1" t="n"/>
      <c r="AT651" s="1" t="n"/>
      <c r="AU651" s="1" t="n"/>
      <c r="AV651" s="1" t="n"/>
      <c r="AW651" s="1" t="n"/>
      <c r="AX651" s="1" t="n"/>
      <c r="AY651" s="1" t="n"/>
      <c r="AZ651" s="1" t="n"/>
      <c r="BA651" s="1" t="n"/>
    </row>
    <row r="652" ht="16.5" customHeight="1" s="220">
      <c r="A652" s="1" t="n"/>
      <c r="B652" s="1" t="n"/>
      <c r="C652" s="2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  <c r="AR652" s="1" t="n"/>
      <c r="AS652" s="1" t="n"/>
      <c r="AT652" s="1" t="n"/>
      <c r="AU652" s="1" t="n"/>
      <c r="AV652" s="1" t="n"/>
      <c r="AW652" s="1" t="n"/>
      <c r="AX652" s="1" t="n"/>
      <c r="AY652" s="1" t="n"/>
      <c r="AZ652" s="1" t="n"/>
      <c r="BA652" s="1" t="n"/>
    </row>
    <row r="653" ht="16.5" customHeight="1" s="220">
      <c r="A653" s="1" t="n"/>
      <c r="B653" s="1" t="n"/>
      <c r="C653" s="2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  <c r="AR653" s="1" t="n"/>
      <c r="AS653" s="1" t="n"/>
      <c r="AT653" s="1" t="n"/>
      <c r="AU653" s="1" t="n"/>
      <c r="AV653" s="1" t="n"/>
      <c r="AW653" s="1" t="n"/>
      <c r="AX653" s="1" t="n"/>
      <c r="AY653" s="1" t="n"/>
      <c r="AZ653" s="1" t="n"/>
      <c r="BA653" s="1" t="n"/>
    </row>
    <row r="654" ht="16.5" customHeight="1" s="220">
      <c r="A654" s="1" t="n"/>
      <c r="B654" s="1" t="n"/>
      <c r="C654" s="2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  <c r="AR654" s="1" t="n"/>
      <c r="AS654" s="1" t="n"/>
      <c r="AT654" s="1" t="n"/>
      <c r="AU654" s="1" t="n"/>
      <c r="AV654" s="1" t="n"/>
      <c r="AW654" s="1" t="n"/>
      <c r="AX654" s="1" t="n"/>
      <c r="AY654" s="1" t="n"/>
      <c r="AZ654" s="1" t="n"/>
      <c r="BA654" s="1" t="n"/>
    </row>
    <row r="655" ht="16.5" customHeight="1" s="220">
      <c r="A655" s="1" t="n"/>
      <c r="B655" s="1" t="n"/>
      <c r="C655" s="2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  <c r="AR655" s="1" t="n"/>
      <c r="AS655" s="1" t="n"/>
      <c r="AT655" s="1" t="n"/>
      <c r="AU655" s="1" t="n"/>
      <c r="AV655" s="1" t="n"/>
      <c r="AW655" s="1" t="n"/>
      <c r="AX655" s="1" t="n"/>
      <c r="AY655" s="1" t="n"/>
      <c r="AZ655" s="1" t="n"/>
      <c r="BA655" s="1" t="n"/>
    </row>
    <row r="656" ht="16.5" customHeight="1" s="220">
      <c r="A656" s="1" t="n"/>
      <c r="B656" s="1" t="n"/>
      <c r="C656" s="2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  <c r="AR656" s="1" t="n"/>
      <c r="AS656" s="1" t="n"/>
      <c r="AT656" s="1" t="n"/>
      <c r="AU656" s="1" t="n"/>
      <c r="AV656" s="1" t="n"/>
      <c r="AW656" s="1" t="n"/>
      <c r="AX656" s="1" t="n"/>
      <c r="AY656" s="1" t="n"/>
      <c r="AZ656" s="1" t="n"/>
      <c r="BA656" s="1" t="n"/>
    </row>
    <row r="657" ht="16.5" customHeight="1" s="220">
      <c r="A657" s="1" t="n"/>
      <c r="B657" s="1" t="n"/>
      <c r="C657" s="2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  <c r="AW657" s="1" t="n"/>
      <c r="AX657" s="1" t="n"/>
      <c r="AY657" s="1" t="n"/>
      <c r="AZ657" s="1" t="n"/>
      <c r="BA657" s="1" t="n"/>
    </row>
    <row r="658" ht="16.5" customHeight="1" s="220">
      <c r="A658" s="1" t="n"/>
      <c r="B658" s="1" t="n"/>
      <c r="C658" s="2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</row>
    <row r="659" ht="16.5" customHeight="1" s="220">
      <c r="A659" s="1" t="n"/>
      <c r="B659" s="1" t="n"/>
      <c r="C659" s="2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</row>
    <row r="660" ht="16.5" customHeight="1" s="220">
      <c r="A660" s="1" t="n"/>
      <c r="B660" s="1" t="n"/>
      <c r="C660" s="2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</row>
    <row r="661" ht="16.5" customHeight="1" s="220">
      <c r="A661" s="1" t="n"/>
      <c r="B661" s="1" t="n"/>
      <c r="C661" s="2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</row>
    <row r="662" ht="16.5" customHeight="1" s="220">
      <c r="A662" s="1" t="n"/>
      <c r="B662" s="1" t="n"/>
      <c r="C662" s="2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  <c r="AY662" s="1" t="n"/>
      <c r="AZ662" s="1" t="n"/>
      <c r="BA662" s="1" t="n"/>
    </row>
    <row r="663" ht="16.5" customHeight="1" s="220">
      <c r="A663" s="1" t="n"/>
      <c r="B663" s="1" t="n"/>
      <c r="C663" s="2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  <c r="AR663" s="1" t="n"/>
      <c r="AS663" s="1" t="n"/>
      <c r="AT663" s="1" t="n"/>
      <c r="AU663" s="1" t="n"/>
      <c r="AV663" s="1" t="n"/>
      <c r="AW663" s="1" t="n"/>
      <c r="AX663" s="1" t="n"/>
      <c r="AY663" s="1" t="n"/>
      <c r="AZ663" s="1" t="n"/>
      <c r="BA663" s="1" t="n"/>
    </row>
    <row r="664" ht="16.5" customHeight="1" s="220">
      <c r="A664" s="1" t="n"/>
      <c r="B664" s="1" t="n"/>
      <c r="C664" s="2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  <c r="AR664" s="1" t="n"/>
      <c r="AS664" s="1" t="n"/>
      <c r="AT664" s="1" t="n"/>
      <c r="AU664" s="1" t="n"/>
      <c r="AV664" s="1" t="n"/>
      <c r="AW664" s="1" t="n"/>
      <c r="AX664" s="1" t="n"/>
      <c r="AY664" s="1" t="n"/>
      <c r="AZ664" s="1" t="n"/>
      <c r="BA664" s="1" t="n"/>
    </row>
    <row r="665" ht="16.5" customHeight="1" s="220">
      <c r="A665" s="1" t="n"/>
      <c r="B665" s="1" t="n"/>
      <c r="C665" s="2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  <c r="AR665" s="1" t="n"/>
      <c r="AS665" s="1" t="n"/>
      <c r="AT665" s="1" t="n"/>
      <c r="AU665" s="1" t="n"/>
      <c r="AV665" s="1" t="n"/>
      <c r="AW665" s="1" t="n"/>
      <c r="AX665" s="1" t="n"/>
      <c r="AY665" s="1" t="n"/>
      <c r="AZ665" s="1" t="n"/>
      <c r="BA665" s="1" t="n"/>
    </row>
    <row r="666" ht="16.5" customHeight="1" s="220">
      <c r="A666" s="1" t="n"/>
      <c r="B666" s="1" t="n"/>
      <c r="C666" s="2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  <c r="AR666" s="1" t="n"/>
      <c r="AS666" s="1" t="n"/>
      <c r="AT666" s="1" t="n"/>
      <c r="AU666" s="1" t="n"/>
      <c r="AV666" s="1" t="n"/>
      <c r="AW666" s="1" t="n"/>
      <c r="AX666" s="1" t="n"/>
      <c r="AY666" s="1" t="n"/>
      <c r="AZ666" s="1" t="n"/>
      <c r="BA666" s="1" t="n"/>
    </row>
    <row r="667" ht="16.5" customHeight="1" s="220">
      <c r="A667" s="1" t="n"/>
      <c r="B667" s="1" t="n"/>
      <c r="C667" s="2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  <c r="AR667" s="1" t="n"/>
      <c r="AS667" s="1" t="n"/>
      <c r="AT667" s="1" t="n"/>
      <c r="AU667" s="1" t="n"/>
      <c r="AV667" s="1" t="n"/>
      <c r="AW667" s="1" t="n"/>
      <c r="AX667" s="1" t="n"/>
      <c r="AY667" s="1" t="n"/>
      <c r="AZ667" s="1" t="n"/>
      <c r="BA667" s="1" t="n"/>
    </row>
    <row r="668" ht="16.5" customHeight="1" s="220">
      <c r="A668" s="1" t="n"/>
      <c r="B668" s="1" t="n"/>
      <c r="C668" s="2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  <c r="AR668" s="1" t="n"/>
      <c r="AS668" s="1" t="n"/>
      <c r="AT668" s="1" t="n"/>
      <c r="AU668" s="1" t="n"/>
      <c r="AV668" s="1" t="n"/>
      <c r="AW668" s="1" t="n"/>
      <c r="AX668" s="1" t="n"/>
      <c r="AY668" s="1" t="n"/>
      <c r="AZ668" s="1" t="n"/>
      <c r="BA668" s="1" t="n"/>
    </row>
    <row r="669" ht="16.5" customHeight="1" s="220">
      <c r="A669" s="1" t="n"/>
      <c r="B669" s="1" t="n"/>
      <c r="C669" s="2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  <c r="AR669" s="1" t="n"/>
      <c r="AS669" s="1" t="n"/>
      <c r="AT669" s="1" t="n"/>
      <c r="AU669" s="1" t="n"/>
      <c r="AV669" s="1" t="n"/>
      <c r="AW669" s="1" t="n"/>
      <c r="AX669" s="1" t="n"/>
      <c r="AY669" s="1" t="n"/>
      <c r="AZ669" s="1" t="n"/>
      <c r="BA669" s="1" t="n"/>
    </row>
    <row r="670" ht="16.5" customHeight="1" s="220">
      <c r="A670" s="1" t="n"/>
      <c r="B670" s="1" t="n"/>
      <c r="C670" s="2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  <c r="AR670" s="1" t="n"/>
      <c r="AS670" s="1" t="n"/>
      <c r="AT670" s="1" t="n"/>
      <c r="AU670" s="1" t="n"/>
      <c r="AV670" s="1" t="n"/>
      <c r="AW670" s="1" t="n"/>
      <c r="AX670" s="1" t="n"/>
      <c r="AY670" s="1" t="n"/>
      <c r="AZ670" s="1" t="n"/>
      <c r="BA670" s="1" t="n"/>
    </row>
    <row r="671" ht="16.5" customHeight="1" s="220">
      <c r="A671" s="1" t="n"/>
      <c r="B671" s="1" t="n"/>
      <c r="C671" s="2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  <c r="AR671" s="1" t="n"/>
      <c r="AS671" s="1" t="n"/>
      <c r="AT671" s="1" t="n"/>
      <c r="AU671" s="1" t="n"/>
      <c r="AV671" s="1" t="n"/>
      <c r="AW671" s="1" t="n"/>
      <c r="AX671" s="1" t="n"/>
      <c r="AY671" s="1" t="n"/>
      <c r="AZ671" s="1" t="n"/>
      <c r="BA671" s="1" t="n"/>
    </row>
    <row r="672" ht="16.5" customHeight="1" s="220">
      <c r="A672" s="1" t="n"/>
      <c r="B672" s="1" t="n"/>
      <c r="C672" s="2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  <c r="AR672" s="1" t="n"/>
      <c r="AS672" s="1" t="n"/>
      <c r="AT672" s="1" t="n"/>
      <c r="AU672" s="1" t="n"/>
      <c r="AV672" s="1" t="n"/>
      <c r="AW672" s="1" t="n"/>
      <c r="AX672" s="1" t="n"/>
      <c r="AY672" s="1" t="n"/>
      <c r="AZ672" s="1" t="n"/>
      <c r="BA672" s="1" t="n"/>
    </row>
    <row r="673" ht="16.5" customHeight="1" s="220">
      <c r="A673" s="1" t="n"/>
      <c r="B673" s="1" t="n"/>
      <c r="C673" s="2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  <c r="AR673" s="1" t="n"/>
      <c r="AS673" s="1" t="n"/>
      <c r="AT673" s="1" t="n"/>
      <c r="AU673" s="1" t="n"/>
      <c r="AV673" s="1" t="n"/>
      <c r="AW673" s="1" t="n"/>
      <c r="AX673" s="1" t="n"/>
      <c r="AY673" s="1" t="n"/>
      <c r="AZ673" s="1" t="n"/>
      <c r="BA673" s="1" t="n"/>
    </row>
    <row r="674" ht="16.5" customHeight="1" s="220">
      <c r="A674" s="1" t="n"/>
      <c r="B674" s="1" t="n"/>
      <c r="C674" s="2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  <c r="AR674" s="1" t="n"/>
      <c r="AS674" s="1" t="n"/>
      <c r="AT674" s="1" t="n"/>
      <c r="AU674" s="1" t="n"/>
      <c r="AV674" s="1" t="n"/>
      <c r="AW674" s="1" t="n"/>
      <c r="AX674" s="1" t="n"/>
      <c r="AY674" s="1" t="n"/>
      <c r="AZ674" s="1" t="n"/>
      <c r="BA674" s="1" t="n"/>
    </row>
    <row r="675" ht="16.5" customHeight="1" s="220">
      <c r="A675" s="1" t="n"/>
      <c r="B675" s="1" t="n"/>
      <c r="C675" s="2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  <c r="AR675" s="1" t="n"/>
      <c r="AS675" s="1" t="n"/>
      <c r="AT675" s="1" t="n"/>
      <c r="AU675" s="1" t="n"/>
      <c r="AV675" s="1" t="n"/>
      <c r="AW675" s="1" t="n"/>
      <c r="AX675" s="1" t="n"/>
      <c r="AY675" s="1" t="n"/>
      <c r="AZ675" s="1" t="n"/>
      <c r="BA675" s="1" t="n"/>
    </row>
    <row r="676" ht="16.5" customHeight="1" s="220">
      <c r="A676" s="1" t="n"/>
      <c r="B676" s="1" t="n"/>
      <c r="C676" s="2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Q676" s="1" t="n"/>
      <c r="AR676" s="1" t="n"/>
      <c r="AS676" s="1" t="n"/>
      <c r="AT676" s="1" t="n"/>
      <c r="AU676" s="1" t="n"/>
      <c r="AV676" s="1" t="n"/>
      <c r="AW676" s="1" t="n"/>
      <c r="AX676" s="1" t="n"/>
      <c r="AY676" s="1" t="n"/>
      <c r="AZ676" s="1" t="n"/>
      <c r="BA676" s="1" t="n"/>
    </row>
    <row r="677" ht="16.5" customHeight="1" s="220">
      <c r="A677" s="1" t="n"/>
      <c r="B677" s="1" t="n"/>
      <c r="C677" s="2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  <c r="AR677" s="1" t="n"/>
      <c r="AS677" s="1" t="n"/>
      <c r="AT677" s="1" t="n"/>
      <c r="AU677" s="1" t="n"/>
      <c r="AV677" s="1" t="n"/>
      <c r="AW677" s="1" t="n"/>
      <c r="AX677" s="1" t="n"/>
      <c r="AY677" s="1" t="n"/>
      <c r="AZ677" s="1" t="n"/>
      <c r="BA677" s="1" t="n"/>
    </row>
    <row r="678" ht="16.5" customHeight="1" s="220">
      <c r="A678" s="1" t="n"/>
      <c r="B678" s="1" t="n"/>
      <c r="C678" s="2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  <c r="AR678" s="1" t="n"/>
      <c r="AS678" s="1" t="n"/>
      <c r="AT678" s="1" t="n"/>
      <c r="AU678" s="1" t="n"/>
      <c r="AV678" s="1" t="n"/>
      <c r="AW678" s="1" t="n"/>
      <c r="AX678" s="1" t="n"/>
      <c r="AY678" s="1" t="n"/>
      <c r="AZ678" s="1" t="n"/>
      <c r="BA678" s="1" t="n"/>
    </row>
    <row r="679" ht="16.5" customHeight="1" s="220">
      <c r="A679" s="1" t="n"/>
      <c r="B679" s="1" t="n"/>
      <c r="C679" s="2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  <c r="AR679" s="1" t="n"/>
      <c r="AS679" s="1" t="n"/>
      <c r="AT679" s="1" t="n"/>
      <c r="AU679" s="1" t="n"/>
      <c r="AV679" s="1" t="n"/>
      <c r="AW679" s="1" t="n"/>
      <c r="AX679" s="1" t="n"/>
      <c r="AY679" s="1" t="n"/>
      <c r="AZ679" s="1" t="n"/>
      <c r="BA679" s="1" t="n"/>
    </row>
    <row r="680" ht="16.5" customHeight="1" s="220">
      <c r="A680" s="1" t="n"/>
      <c r="B680" s="1" t="n"/>
      <c r="C680" s="2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Q680" s="1" t="n"/>
      <c r="AR680" s="1" t="n"/>
      <c r="AS680" s="1" t="n"/>
      <c r="AT680" s="1" t="n"/>
      <c r="AU680" s="1" t="n"/>
      <c r="AV680" s="1" t="n"/>
      <c r="AW680" s="1" t="n"/>
      <c r="AX680" s="1" t="n"/>
      <c r="AY680" s="1" t="n"/>
      <c r="AZ680" s="1" t="n"/>
      <c r="BA680" s="1" t="n"/>
    </row>
    <row r="681" ht="16.5" customHeight="1" s="220">
      <c r="A681" s="1" t="n"/>
      <c r="B681" s="1" t="n"/>
      <c r="C681" s="2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  <c r="AR681" s="1" t="n"/>
      <c r="AS681" s="1" t="n"/>
      <c r="AT681" s="1" t="n"/>
      <c r="AU681" s="1" t="n"/>
      <c r="AV681" s="1" t="n"/>
      <c r="AW681" s="1" t="n"/>
      <c r="AX681" s="1" t="n"/>
      <c r="AY681" s="1" t="n"/>
      <c r="AZ681" s="1" t="n"/>
      <c r="BA681" s="1" t="n"/>
    </row>
    <row r="682" ht="16.5" customHeight="1" s="220">
      <c r="A682" s="1" t="n"/>
      <c r="B682" s="1" t="n"/>
      <c r="C682" s="2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  <c r="AR682" s="1" t="n"/>
      <c r="AS682" s="1" t="n"/>
      <c r="AT682" s="1" t="n"/>
      <c r="AU682" s="1" t="n"/>
      <c r="AV682" s="1" t="n"/>
      <c r="AW682" s="1" t="n"/>
      <c r="AX682" s="1" t="n"/>
      <c r="AY682" s="1" t="n"/>
      <c r="AZ682" s="1" t="n"/>
      <c r="BA682" s="1" t="n"/>
    </row>
    <row r="683" ht="16.5" customHeight="1" s="220">
      <c r="A683" s="1" t="n"/>
      <c r="B683" s="1" t="n"/>
      <c r="C683" s="2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  <c r="AR683" s="1" t="n"/>
      <c r="AS683" s="1" t="n"/>
      <c r="AT683" s="1" t="n"/>
      <c r="AU683" s="1" t="n"/>
      <c r="AV683" s="1" t="n"/>
      <c r="AW683" s="1" t="n"/>
      <c r="AX683" s="1" t="n"/>
      <c r="AY683" s="1" t="n"/>
      <c r="AZ683" s="1" t="n"/>
      <c r="BA683" s="1" t="n"/>
    </row>
    <row r="684" ht="16.5" customHeight="1" s="220">
      <c r="A684" s="1" t="n"/>
      <c r="B684" s="1" t="n"/>
      <c r="C684" s="2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  <c r="AR684" s="1" t="n"/>
      <c r="AS684" s="1" t="n"/>
      <c r="AT684" s="1" t="n"/>
      <c r="AU684" s="1" t="n"/>
      <c r="AV684" s="1" t="n"/>
      <c r="AW684" s="1" t="n"/>
      <c r="AX684" s="1" t="n"/>
      <c r="AY684" s="1" t="n"/>
      <c r="AZ684" s="1" t="n"/>
      <c r="BA684" s="1" t="n"/>
    </row>
    <row r="685" ht="16.5" customHeight="1" s="220">
      <c r="A685" s="1" t="n"/>
      <c r="B685" s="1" t="n"/>
      <c r="C685" s="2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  <c r="AR685" s="1" t="n"/>
      <c r="AS685" s="1" t="n"/>
      <c r="AT685" s="1" t="n"/>
      <c r="AU685" s="1" t="n"/>
      <c r="AV685" s="1" t="n"/>
      <c r="AW685" s="1" t="n"/>
      <c r="AX685" s="1" t="n"/>
      <c r="AY685" s="1" t="n"/>
      <c r="AZ685" s="1" t="n"/>
      <c r="BA685" s="1" t="n"/>
    </row>
    <row r="686" ht="16.5" customHeight="1" s="220">
      <c r="A686" s="1" t="n"/>
      <c r="B686" s="1" t="n"/>
      <c r="C686" s="2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  <c r="AR686" s="1" t="n"/>
      <c r="AS686" s="1" t="n"/>
      <c r="AT686" s="1" t="n"/>
      <c r="AU686" s="1" t="n"/>
      <c r="AV686" s="1" t="n"/>
      <c r="AW686" s="1" t="n"/>
      <c r="AX686" s="1" t="n"/>
      <c r="AY686" s="1" t="n"/>
      <c r="AZ686" s="1" t="n"/>
      <c r="BA686" s="1" t="n"/>
    </row>
    <row r="687" ht="16.5" customHeight="1" s="220">
      <c r="A687" s="1" t="n"/>
      <c r="B687" s="1" t="n"/>
      <c r="C687" s="2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  <c r="AR687" s="1" t="n"/>
      <c r="AS687" s="1" t="n"/>
      <c r="AT687" s="1" t="n"/>
      <c r="AU687" s="1" t="n"/>
      <c r="AV687" s="1" t="n"/>
      <c r="AW687" s="1" t="n"/>
      <c r="AX687" s="1" t="n"/>
      <c r="AY687" s="1" t="n"/>
      <c r="AZ687" s="1" t="n"/>
      <c r="BA687" s="1" t="n"/>
    </row>
    <row r="688" ht="16.5" customHeight="1" s="220">
      <c r="A688" s="1" t="n"/>
      <c r="B688" s="1" t="n"/>
      <c r="C688" s="2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  <c r="AR688" s="1" t="n"/>
      <c r="AS688" s="1" t="n"/>
      <c r="AT688" s="1" t="n"/>
      <c r="AU688" s="1" t="n"/>
      <c r="AV688" s="1" t="n"/>
      <c r="AW688" s="1" t="n"/>
      <c r="AX688" s="1" t="n"/>
      <c r="AY688" s="1" t="n"/>
      <c r="AZ688" s="1" t="n"/>
      <c r="BA688" s="1" t="n"/>
    </row>
    <row r="689" ht="16.5" customHeight="1" s="220">
      <c r="A689" s="1" t="n"/>
      <c r="B689" s="1" t="n"/>
      <c r="C689" s="2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  <c r="AR689" s="1" t="n"/>
      <c r="AS689" s="1" t="n"/>
      <c r="AT689" s="1" t="n"/>
      <c r="AU689" s="1" t="n"/>
      <c r="AV689" s="1" t="n"/>
      <c r="AW689" s="1" t="n"/>
      <c r="AX689" s="1" t="n"/>
      <c r="AY689" s="1" t="n"/>
      <c r="AZ689" s="1" t="n"/>
      <c r="BA689" s="1" t="n"/>
    </row>
    <row r="690" ht="16.5" customHeight="1" s="220">
      <c r="A690" s="1" t="n"/>
      <c r="B690" s="1" t="n"/>
      <c r="C690" s="2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  <c r="AR690" s="1" t="n"/>
      <c r="AS690" s="1" t="n"/>
      <c r="AT690" s="1" t="n"/>
      <c r="AU690" s="1" t="n"/>
      <c r="AV690" s="1" t="n"/>
      <c r="AW690" s="1" t="n"/>
      <c r="AX690" s="1" t="n"/>
      <c r="AY690" s="1" t="n"/>
      <c r="AZ690" s="1" t="n"/>
      <c r="BA690" s="1" t="n"/>
    </row>
    <row r="691" ht="16.5" customHeight="1" s="220">
      <c r="A691" s="1" t="n"/>
      <c r="B691" s="1" t="n"/>
      <c r="C691" s="2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  <c r="AR691" s="1" t="n"/>
      <c r="AS691" s="1" t="n"/>
      <c r="AT691" s="1" t="n"/>
      <c r="AU691" s="1" t="n"/>
      <c r="AV691" s="1" t="n"/>
      <c r="AW691" s="1" t="n"/>
      <c r="AX691" s="1" t="n"/>
      <c r="AY691" s="1" t="n"/>
      <c r="AZ691" s="1" t="n"/>
      <c r="BA691" s="1" t="n"/>
    </row>
    <row r="692" ht="16.5" customHeight="1" s="220">
      <c r="A692" s="1" t="n"/>
      <c r="B692" s="1" t="n"/>
      <c r="C692" s="2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  <c r="AR692" s="1" t="n"/>
      <c r="AS692" s="1" t="n"/>
      <c r="AT692" s="1" t="n"/>
      <c r="AU692" s="1" t="n"/>
      <c r="AV692" s="1" t="n"/>
      <c r="AW692" s="1" t="n"/>
      <c r="AX692" s="1" t="n"/>
      <c r="AY692" s="1" t="n"/>
      <c r="AZ692" s="1" t="n"/>
      <c r="BA692" s="1" t="n"/>
    </row>
    <row r="693" ht="16.5" customHeight="1" s="220">
      <c r="A693" s="1" t="n"/>
      <c r="B693" s="1" t="n"/>
      <c r="C693" s="2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  <c r="AR693" s="1" t="n"/>
      <c r="AS693" s="1" t="n"/>
      <c r="AT693" s="1" t="n"/>
      <c r="AU693" s="1" t="n"/>
      <c r="AV693" s="1" t="n"/>
      <c r="AW693" s="1" t="n"/>
      <c r="AX693" s="1" t="n"/>
      <c r="AY693" s="1" t="n"/>
      <c r="AZ693" s="1" t="n"/>
      <c r="BA693" s="1" t="n"/>
    </row>
    <row r="694" ht="16.5" customHeight="1" s="220">
      <c r="A694" s="1" t="n"/>
      <c r="B694" s="1" t="n"/>
      <c r="C694" s="2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  <c r="AR694" s="1" t="n"/>
      <c r="AS694" s="1" t="n"/>
      <c r="AT694" s="1" t="n"/>
      <c r="AU694" s="1" t="n"/>
      <c r="AV694" s="1" t="n"/>
      <c r="AW694" s="1" t="n"/>
      <c r="AX694" s="1" t="n"/>
      <c r="AY694" s="1" t="n"/>
      <c r="AZ694" s="1" t="n"/>
      <c r="BA694" s="1" t="n"/>
    </row>
    <row r="695" ht="16.5" customHeight="1" s="220">
      <c r="A695" s="1" t="n"/>
      <c r="B695" s="1" t="n"/>
      <c r="C695" s="2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  <c r="AR695" s="1" t="n"/>
      <c r="AS695" s="1" t="n"/>
      <c r="AT695" s="1" t="n"/>
      <c r="AU695" s="1" t="n"/>
      <c r="AV695" s="1" t="n"/>
      <c r="AW695" s="1" t="n"/>
      <c r="AX695" s="1" t="n"/>
      <c r="AY695" s="1" t="n"/>
      <c r="AZ695" s="1" t="n"/>
      <c r="BA695" s="1" t="n"/>
    </row>
    <row r="696" ht="16.5" customHeight="1" s="220">
      <c r="A696" s="1" t="n"/>
      <c r="B696" s="1" t="n"/>
      <c r="C696" s="2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  <c r="AR696" s="1" t="n"/>
      <c r="AS696" s="1" t="n"/>
      <c r="AT696" s="1" t="n"/>
      <c r="AU696" s="1" t="n"/>
      <c r="AV696" s="1" t="n"/>
      <c r="AW696" s="1" t="n"/>
      <c r="AX696" s="1" t="n"/>
      <c r="AY696" s="1" t="n"/>
      <c r="AZ696" s="1" t="n"/>
      <c r="BA696" s="1" t="n"/>
    </row>
    <row r="697" ht="16.5" customHeight="1" s="220">
      <c r="A697" s="1" t="n"/>
      <c r="B697" s="1" t="n"/>
      <c r="C697" s="2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  <c r="AR697" s="1" t="n"/>
      <c r="AS697" s="1" t="n"/>
      <c r="AT697" s="1" t="n"/>
      <c r="AU697" s="1" t="n"/>
      <c r="AV697" s="1" t="n"/>
      <c r="AW697" s="1" t="n"/>
      <c r="AX697" s="1" t="n"/>
      <c r="AY697" s="1" t="n"/>
      <c r="AZ697" s="1" t="n"/>
      <c r="BA697" s="1" t="n"/>
    </row>
    <row r="698" ht="16.5" customHeight="1" s="220">
      <c r="A698" s="1" t="n"/>
      <c r="B698" s="1" t="n"/>
      <c r="C698" s="2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Q698" s="1" t="n"/>
      <c r="AR698" s="1" t="n"/>
      <c r="AS698" s="1" t="n"/>
      <c r="AT698" s="1" t="n"/>
      <c r="AU698" s="1" t="n"/>
      <c r="AV698" s="1" t="n"/>
      <c r="AW698" s="1" t="n"/>
      <c r="AX698" s="1" t="n"/>
      <c r="AY698" s="1" t="n"/>
      <c r="AZ698" s="1" t="n"/>
      <c r="BA698" s="1" t="n"/>
    </row>
    <row r="699" ht="16.5" customHeight="1" s="220">
      <c r="A699" s="1" t="n"/>
      <c r="B699" s="1" t="n"/>
      <c r="C699" s="2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  <c r="AR699" s="1" t="n"/>
      <c r="AS699" s="1" t="n"/>
      <c r="AT699" s="1" t="n"/>
      <c r="AU699" s="1" t="n"/>
      <c r="AV699" s="1" t="n"/>
      <c r="AW699" s="1" t="n"/>
      <c r="AX699" s="1" t="n"/>
      <c r="AY699" s="1" t="n"/>
      <c r="AZ699" s="1" t="n"/>
      <c r="BA699" s="1" t="n"/>
    </row>
    <row r="700" ht="16.5" customHeight="1" s="220">
      <c r="A700" s="1" t="n"/>
      <c r="B700" s="1" t="n"/>
      <c r="C700" s="2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Q700" s="1" t="n"/>
      <c r="AR700" s="1" t="n"/>
      <c r="AS700" s="1" t="n"/>
      <c r="AT700" s="1" t="n"/>
      <c r="AU700" s="1" t="n"/>
      <c r="AV700" s="1" t="n"/>
      <c r="AW700" s="1" t="n"/>
      <c r="AX700" s="1" t="n"/>
      <c r="AY700" s="1" t="n"/>
      <c r="AZ700" s="1" t="n"/>
      <c r="BA700" s="1" t="n"/>
    </row>
    <row r="701" ht="16.5" customHeight="1" s="220">
      <c r="A701" s="1" t="n"/>
      <c r="B701" s="1" t="n"/>
      <c r="C701" s="2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  <c r="AR701" s="1" t="n"/>
      <c r="AS701" s="1" t="n"/>
      <c r="AT701" s="1" t="n"/>
      <c r="AU701" s="1" t="n"/>
      <c r="AV701" s="1" t="n"/>
      <c r="AW701" s="1" t="n"/>
      <c r="AX701" s="1" t="n"/>
      <c r="AY701" s="1" t="n"/>
      <c r="AZ701" s="1" t="n"/>
      <c r="BA701" s="1" t="n"/>
    </row>
    <row r="702" ht="16.5" customHeight="1" s="220">
      <c r="A702" s="1" t="n"/>
      <c r="B702" s="1" t="n"/>
      <c r="C702" s="2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  <c r="AR702" s="1" t="n"/>
      <c r="AS702" s="1" t="n"/>
      <c r="AT702" s="1" t="n"/>
      <c r="AU702" s="1" t="n"/>
      <c r="AV702" s="1" t="n"/>
      <c r="AW702" s="1" t="n"/>
      <c r="AX702" s="1" t="n"/>
      <c r="AY702" s="1" t="n"/>
      <c r="AZ702" s="1" t="n"/>
      <c r="BA702" s="1" t="n"/>
    </row>
    <row r="703" ht="16.5" customHeight="1" s="220">
      <c r="A703" s="1" t="n"/>
      <c r="B703" s="1" t="n"/>
      <c r="C703" s="2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  <c r="AR703" s="1" t="n"/>
      <c r="AS703" s="1" t="n"/>
      <c r="AT703" s="1" t="n"/>
      <c r="AU703" s="1" t="n"/>
      <c r="AV703" s="1" t="n"/>
      <c r="AW703" s="1" t="n"/>
      <c r="AX703" s="1" t="n"/>
      <c r="AY703" s="1" t="n"/>
      <c r="AZ703" s="1" t="n"/>
      <c r="BA703" s="1" t="n"/>
    </row>
    <row r="704" ht="16.5" customHeight="1" s="220">
      <c r="A704" s="1" t="n"/>
      <c r="B704" s="1" t="n"/>
      <c r="C704" s="2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  <c r="AR704" s="1" t="n"/>
      <c r="AS704" s="1" t="n"/>
      <c r="AT704" s="1" t="n"/>
      <c r="AU704" s="1" t="n"/>
      <c r="AV704" s="1" t="n"/>
      <c r="AW704" s="1" t="n"/>
      <c r="AX704" s="1" t="n"/>
      <c r="AY704" s="1" t="n"/>
      <c r="AZ704" s="1" t="n"/>
      <c r="BA704" s="1" t="n"/>
    </row>
    <row r="705" ht="16.5" customHeight="1" s="220">
      <c r="A705" s="1" t="n"/>
      <c r="B705" s="1" t="n"/>
      <c r="C705" s="2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  <c r="AR705" s="1" t="n"/>
      <c r="AS705" s="1" t="n"/>
      <c r="AT705" s="1" t="n"/>
      <c r="AU705" s="1" t="n"/>
      <c r="AV705" s="1" t="n"/>
      <c r="AW705" s="1" t="n"/>
      <c r="AX705" s="1" t="n"/>
      <c r="AY705" s="1" t="n"/>
      <c r="AZ705" s="1" t="n"/>
      <c r="BA705" s="1" t="n"/>
    </row>
    <row r="706" ht="16.5" customHeight="1" s="220">
      <c r="A706" s="1" t="n"/>
      <c r="B706" s="1" t="n"/>
      <c r="C706" s="2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Q706" s="1" t="n"/>
      <c r="AR706" s="1" t="n"/>
      <c r="AS706" s="1" t="n"/>
      <c r="AT706" s="1" t="n"/>
      <c r="AU706" s="1" t="n"/>
      <c r="AV706" s="1" t="n"/>
      <c r="AW706" s="1" t="n"/>
      <c r="AX706" s="1" t="n"/>
      <c r="AY706" s="1" t="n"/>
      <c r="AZ706" s="1" t="n"/>
      <c r="BA706" s="1" t="n"/>
    </row>
    <row r="707" ht="16.5" customHeight="1" s="220">
      <c r="A707" s="1" t="n"/>
      <c r="B707" s="1" t="n"/>
      <c r="C707" s="2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  <c r="AR707" s="1" t="n"/>
      <c r="AS707" s="1" t="n"/>
      <c r="AT707" s="1" t="n"/>
      <c r="AU707" s="1" t="n"/>
      <c r="AV707" s="1" t="n"/>
      <c r="AW707" s="1" t="n"/>
      <c r="AX707" s="1" t="n"/>
      <c r="AY707" s="1" t="n"/>
      <c r="AZ707" s="1" t="n"/>
      <c r="BA707" s="1" t="n"/>
    </row>
    <row r="708" ht="16.5" customHeight="1" s="220">
      <c r="A708" s="1" t="n"/>
      <c r="B708" s="1" t="n"/>
      <c r="C708" s="2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  <c r="AR708" s="1" t="n"/>
      <c r="AS708" s="1" t="n"/>
      <c r="AT708" s="1" t="n"/>
      <c r="AU708" s="1" t="n"/>
      <c r="AV708" s="1" t="n"/>
      <c r="AW708" s="1" t="n"/>
      <c r="AX708" s="1" t="n"/>
      <c r="AY708" s="1" t="n"/>
      <c r="AZ708" s="1" t="n"/>
      <c r="BA708" s="1" t="n"/>
    </row>
    <row r="709" ht="16.5" customHeight="1" s="220">
      <c r="A709" s="1" t="n"/>
      <c r="B709" s="1" t="n"/>
      <c r="C709" s="2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  <c r="AR709" s="1" t="n"/>
      <c r="AS709" s="1" t="n"/>
      <c r="AT709" s="1" t="n"/>
      <c r="AU709" s="1" t="n"/>
      <c r="AV709" s="1" t="n"/>
      <c r="AW709" s="1" t="n"/>
      <c r="AX709" s="1" t="n"/>
      <c r="AY709" s="1" t="n"/>
      <c r="AZ709" s="1" t="n"/>
      <c r="BA709" s="1" t="n"/>
    </row>
    <row r="710" ht="16.5" customHeight="1" s="220">
      <c r="A710" s="1" t="n"/>
      <c r="B710" s="1" t="n"/>
      <c r="C710" s="2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  <c r="AR710" s="1" t="n"/>
      <c r="AS710" s="1" t="n"/>
      <c r="AT710" s="1" t="n"/>
      <c r="AU710" s="1" t="n"/>
      <c r="AV710" s="1" t="n"/>
      <c r="AW710" s="1" t="n"/>
      <c r="AX710" s="1" t="n"/>
      <c r="AY710" s="1" t="n"/>
      <c r="AZ710" s="1" t="n"/>
      <c r="BA710" s="1" t="n"/>
    </row>
    <row r="711" ht="16.5" customHeight="1" s="220">
      <c r="A711" s="1" t="n"/>
      <c r="B711" s="1" t="n"/>
      <c r="C711" s="2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  <c r="AR711" s="1" t="n"/>
      <c r="AS711" s="1" t="n"/>
      <c r="AT711" s="1" t="n"/>
      <c r="AU711" s="1" t="n"/>
      <c r="AV711" s="1" t="n"/>
      <c r="AW711" s="1" t="n"/>
      <c r="AX711" s="1" t="n"/>
      <c r="AY711" s="1" t="n"/>
      <c r="AZ711" s="1" t="n"/>
      <c r="BA711" s="1" t="n"/>
    </row>
    <row r="712" ht="16.5" customHeight="1" s="220">
      <c r="A712" s="1" t="n"/>
      <c r="B712" s="1" t="n"/>
      <c r="C712" s="2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  <c r="AR712" s="1" t="n"/>
      <c r="AS712" s="1" t="n"/>
      <c r="AT712" s="1" t="n"/>
      <c r="AU712" s="1" t="n"/>
      <c r="AV712" s="1" t="n"/>
      <c r="AW712" s="1" t="n"/>
      <c r="AX712" s="1" t="n"/>
      <c r="AY712" s="1" t="n"/>
      <c r="AZ712" s="1" t="n"/>
      <c r="BA712" s="1" t="n"/>
    </row>
    <row r="713" ht="16.5" customHeight="1" s="220">
      <c r="A713" s="1" t="n"/>
      <c r="B713" s="1" t="n"/>
      <c r="C713" s="2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  <c r="AR713" s="1" t="n"/>
      <c r="AS713" s="1" t="n"/>
      <c r="AT713" s="1" t="n"/>
      <c r="AU713" s="1" t="n"/>
      <c r="AV713" s="1" t="n"/>
      <c r="AW713" s="1" t="n"/>
      <c r="AX713" s="1" t="n"/>
      <c r="AY713" s="1" t="n"/>
      <c r="AZ713" s="1" t="n"/>
      <c r="BA713" s="1" t="n"/>
    </row>
    <row r="714" ht="16.5" customHeight="1" s="220">
      <c r="A714" s="1" t="n"/>
      <c r="B714" s="1" t="n"/>
      <c r="C714" s="2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  <c r="AR714" s="1" t="n"/>
      <c r="AS714" s="1" t="n"/>
      <c r="AT714" s="1" t="n"/>
      <c r="AU714" s="1" t="n"/>
      <c r="AV714" s="1" t="n"/>
      <c r="AW714" s="1" t="n"/>
      <c r="AX714" s="1" t="n"/>
      <c r="AY714" s="1" t="n"/>
      <c r="AZ714" s="1" t="n"/>
      <c r="BA714" s="1" t="n"/>
    </row>
    <row r="715" ht="16.5" customHeight="1" s="220">
      <c r="A715" s="1" t="n"/>
      <c r="B715" s="1" t="n"/>
      <c r="C715" s="2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  <c r="AR715" s="1" t="n"/>
      <c r="AS715" s="1" t="n"/>
      <c r="AT715" s="1" t="n"/>
      <c r="AU715" s="1" t="n"/>
      <c r="AV715" s="1" t="n"/>
      <c r="AW715" s="1" t="n"/>
      <c r="AX715" s="1" t="n"/>
      <c r="AY715" s="1" t="n"/>
      <c r="AZ715" s="1" t="n"/>
      <c r="BA715" s="1" t="n"/>
    </row>
    <row r="716" ht="16.5" customHeight="1" s="220">
      <c r="A716" s="1" t="n"/>
      <c r="B716" s="1" t="n"/>
      <c r="C716" s="2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  <c r="AR716" s="1" t="n"/>
      <c r="AS716" s="1" t="n"/>
      <c r="AT716" s="1" t="n"/>
      <c r="AU716" s="1" t="n"/>
      <c r="AV716" s="1" t="n"/>
      <c r="AW716" s="1" t="n"/>
      <c r="AX716" s="1" t="n"/>
      <c r="AY716" s="1" t="n"/>
      <c r="AZ716" s="1" t="n"/>
      <c r="BA716" s="1" t="n"/>
    </row>
    <row r="717" ht="16.5" customHeight="1" s="220">
      <c r="A717" s="1" t="n"/>
      <c r="B717" s="1" t="n"/>
      <c r="C717" s="2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  <c r="AR717" s="1" t="n"/>
      <c r="AS717" s="1" t="n"/>
      <c r="AT717" s="1" t="n"/>
      <c r="AU717" s="1" t="n"/>
      <c r="AV717" s="1" t="n"/>
      <c r="AW717" s="1" t="n"/>
      <c r="AX717" s="1" t="n"/>
      <c r="AY717" s="1" t="n"/>
      <c r="AZ717" s="1" t="n"/>
      <c r="BA717" s="1" t="n"/>
    </row>
    <row r="718" ht="16.5" customHeight="1" s="220">
      <c r="A718" s="1" t="n"/>
      <c r="B718" s="1" t="n"/>
      <c r="C718" s="2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  <c r="AR718" s="1" t="n"/>
      <c r="AS718" s="1" t="n"/>
      <c r="AT718" s="1" t="n"/>
      <c r="AU718" s="1" t="n"/>
      <c r="AV718" s="1" t="n"/>
      <c r="AW718" s="1" t="n"/>
      <c r="AX718" s="1" t="n"/>
      <c r="AY718" s="1" t="n"/>
      <c r="AZ718" s="1" t="n"/>
      <c r="BA718" s="1" t="n"/>
    </row>
    <row r="719" ht="16.5" customHeight="1" s="220">
      <c r="A719" s="1" t="n"/>
      <c r="B719" s="1" t="n"/>
      <c r="C719" s="2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  <c r="AR719" s="1" t="n"/>
      <c r="AS719" s="1" t="n"/>
      <c r="AT719" s="1" t="n"/>
      <c r="AU719" s="1" t="n"/>
      <c r="AV719" s="1" t="n"/>
      <c r="AW719" s="1" t="n"/>
      <c r="AX719" s="1" t="n"/>
      <c r="AY719" s="1" t="n"/>
      <c r="AZ719" s="1" t="n"/>
      <c r="BA719" s="1" t="n"/>
    </row>
    <row r="720" ht="16.5" customHeight="1" s="220">
      <c r="A720" s="1" t="n"/>
      <c r="B720" s="1" t="n"/>
      <c r="C720" s="2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  <c r="AR720" s="1" t="n"/>
      <c r="AS720" s="1" t="n"/>
      <c r="AT720" s="1" t="n"/>
      <c r="AU720" s="1" t="n"/>
      <c r="AV720" s="1" t="n"/>
      <c r="AW720" s="1" t="n"/>
      <c r="AX720" s="1" t="n"/>
      <c r="AY720" s="1" t="n"/>
      <c r="AZ720" s="1" t="n"/>
      <c r="BA720" s="1" t="n"/>
    </row>
    <row r="721" ht="16.5" customHeight="1" s="220">
      <c r="A721" s="1" t="n"/>
      <c r="B721" s="1" t="n"/>
      <c r="C721" s="2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  <c r="AR721" s="1" t="n"/>
      <c r="AS721" s="1" t="n"/>
      <c r="AT721" s="1" t="n"/>
      <c r="AU721" s="1" t="n"/>
      <c r="AV721" s="1" t="n"/>
      <c r="AW721" s="1" t="n"/>
      <c r="AX721" s="1" t="n"/>
      <c r="AY721" s="1" t="n"/>
      <c r="AZ721" s="1" t="n"/>
      <c r="BA721" s="1" t="n"/>
    </row>
    <row r="722" ht="16.5" customHeight="1" s="220">
      <c r="A722" s="1" t="n"/>
      <c r="B722" s="1" t="n"/>
      <c r="C722" s="2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  <c r="AR722" s="1" t="n"/>
      <c r="AS722" s="1" t="n"/>
      <c r="AT722" s="1" t="n"/>
      <c r="AU722" s="1" t="n"/>
      <c r="AV722" s="1" t="n"/>
      <c r="AW722" s="1" t="n"/>
      <c r="AX722" s="1" t="n"/>
      <c r="AY722" s="1" t="n"/>
      <c r="AZ722" s="1" t="n"/>
      <c r="BA722" s="1" t="n"/>
    </row>
    <row r="723" ht="16.5" customHeight="1" s="220">
      <c r="A723" s="1" t="n"/>
      <c r="B723" s="1" t="n"/>
      <c r="C723" s="2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  <c r="AR723" s="1" t="n"/>
      <c r="AS723" s="1" t="n"/>
      <c r="AT723" s="1" t="n"/>
      <c r="AU723" s="1" t="n"/>
      <c r="AV723" s="1" t="n"/>
      <c r="AW723" s="1" t="n"/>
      <c r="AX723" s="1" t="n"/>
      <c r="AY723" s="1" t="n"/>
      <c r="AZ723" s="1" t="n"/>
      <c r="BA723" s="1" t="n"/>
    </row>
    <row r="724" ht="16.5" customHeight="1" s="220">
      <c r="A724" s="1" t="n"/>
      <c r="B724" s="1" t="n"/>
      <c r="C724" s="2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  <c r="AR724" s="1" t="n"/>
      <c r="AS724" s="1" t="n"/>
      <c r="AT724" s="1" t="n"/>
      <c r="AU724" s="1" t="n"/>
      <c r="AV724" s="1" t="n"/>
      <c r="AW724" s="1" t="n"/>
      <c r="AX724" s="1" t="n"/>
      <c r="AY724" s="1" t="n"/>
      <c r="AZ724" s="1" t="n"/>
      <c r="BA724" s="1" t="n"/>
    </row>
    <row r="725" ht="16.5" customHeight="1" s="220">
      <c r="A725" s="1" t="n"/>
      <c r="B725" s="1" t="n"/>
      <c r="C725" s="2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  <c r="AR725" s="1" t="n"/>
      <c r="AS725" s="1" t="n"/>
      <c r="AT725" s="1" t="n"/>
      <c r="AU725" s="1" t="n"/>
      <c r="AV725" s="1" t="n"/>
      <c r="AW725" s="1" t="n"/>
      <c r="AX725" s="1" t="n"/>
      <c r="AY725" s="1" t="n"/>
      <c r="AZ725" s="1" t="n"/>
      <c r="BA725" s="1" t="n"/>
    </row>
    <row r="726" ht="16.5" customHeight="1" s="220">
      <c r="A726" s="1" t="n"/>
      <c r="B726" s="1" t="n"/>
      <c r="C726" s="2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  <c r="AR726" s="1" t="n"/>
      <c r="AS726" s="1" t="n"/>
      <c r="AT726" s="1" t="n"/>
      <c r="AU726" s="1" t="n"/>
      <c r="AV726" s="1" t="n"/>
      <c r="AW726" s="1" t="n"/>
      <c r="AX726" s="1" t="n"/>
      <c r="AY726" s="1" t="n"/>
      <c r="AZ726" s="1" t="n"/>
      <c r="BA726" s="1" t="n"/>
    </row>
    <row r="727" ht="16.5" customHeight="1" s="220">
      <c r="A727" s="1" t="n"/>
      <c r="B727" s="1" t="n"/>
      <c r="C727" s="2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  <c r="AR727" s="1" t="n"/>
      <c r="AS727" s="1" t="n"/>
      <c r="AT727" s="1" t="n"/>
      <c r="AU727" s="1" t="n"/>
      <c r="AV727" s="1" t="n"/>
      <c r="AW727" s="1" t="n"/>
      <c r="AX727" s="1" t="n"/>
      <c r="AY727" s="1" t="n"/>
      <c r="AZ727" s="1" t="n"/>
      <c r="BA727" s="1" t="n"/>
    </row>
    <row r="728" ht="16.5" customHeight="1" s="220">
      <c r="A728" s="1" t="n"/>
      <c r="B728" s="1" t="n"/>
      <c r="C728" s="2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  <c r="AR728" s="1" t="n"/>
      <c r="AS728" s="1" t="n"/>
      <c r="AT728" s="1" t="n"/>
      <c r="AU728" s="1" t="n"/>
      <c r="AV728" s="1" t="n"/>
      <c r="AW728" s="1" t="n"/>
      <c r="AX728" s="1" t="n"/>
      <c r="AY728" s="1" t="n"/>
      <c r="AZ728" s="1" t="n"/>
      <c r="BA728" s="1" t="n"/>
    </row>
    <row r="729" ht="16.5" customHeight="1" s="220">
      <c r="A729" s="1" t="n"/>
      <c r="B729" s="1" t="n"/>
      <c r="C729" s="2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  <c r="AR729" s="1" t="n"/>
      <c r="AS729" s="1" t="n"/>
      <c r="AT729" s="1" t="n"/>
      <c r="AU729" s="1" t="n"/>
      <c r="AV729" s="1" t="n"/>
      <c r="AW729" s="1" t="n"/>
      <c r="AX729" s="1" t="n"/>
      <c r="AY729" s="1" t="n"/>
      <c r="AZ729" s="1" t="n"/>
      <c r="BA729" s="1" t="n"/>
    </row>
    <row r="730" ht="16.5" customHeight="1" s="220">
      <c r="A730" s="1" t="n"/>
      <c r="B730" s="1" t="n"/>
      <c r="C730" s="2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  <c r="AR730" s="1" t="n"/>
      <c r="AS730" s="1" t="n"/>
      <c r="AT730" s="1" t="n"/>
      <c r="AU730" s="1" t="n"/>
      <c r="AV730" s="1" t="n"/>
      <c r="AW730" s="1" t="n"/>
      <c r="AX730" s="1" t="n"/>
      <c r="AY730" s="1" t="n"/>
      <c r="AZ730" s="1" t="n"/>
      <c r="BA730" s="1" t="n"/>
    </row>
    <row r="731" ht="16.5" customHeight="1" s="220">
      <c r="A731" s="1" t="n"/>
      <c r="B731" s="1" t="n"/>
      <c r="C731" s="2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  <c r="AR731" s="1" t="n"/>
      <c r="AS731" s="1" t="n"/>
      <c r="AT731" s="1" t="n"/>
      <c r="AU731" s="1" t="n"/>
      <c r="AV731" s="1" t="n"/>
      <c r="AW731" s="1" t="n"/>
      <c r="AX731" s="1" t="n"/>
      <c r="AY731" s="1" t="n"/>
      <c r="AZ731" s="1" t="n"/>
      <c r="BA731" s="1" t="n"/>
    </row>
    <row r="732" ht="16.5" customHeight="1" s="220">
      <c r="A732" s="1" t="n"/>
      <c r="B732" s="1" t="n"/>
      <c r="C732" s="2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Q732" s="1" t="n"/>
      <c r="AR732" s="1" t="n"/>
      <c r="AS732" s="1" t="n"/>
      <c r="AT732" s="1" t="n"/>
      <c r="AU732" s="1" t="n"/>
      <c r="AV732" s="1" t="n"/>
      <c r="AW732" s="1" t="n"/>
      <c r="AX732" s="1" t="n"/>
      <c r="AY732" s="1" t="n"/>
      <c r="AZ732" s="1" t="n"/>
      <c r="BA732" s="1" t="n"/>
    </row>
    <row r="733" ht="16.5" customHeight="1" s="220">
      <c r="A733" s="1" t="n"/>
      <c r="B733" s="1" t="n"/>
      <c r="C733" s="2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  <c r="AR733" s="1" t="n"/>
      <c r="AS733" s="1" t="n"/>
      <c r="AT733" s="1" t="n"/>
      <c r="AU733" s="1" t="n"/>
      <c r="AV733" s="1" t="n"/>
      <c r="AW733" s="1" t="n"/>
      <c r="AX733" s="1" t="n"/>
      <c r="AY733" s="1" t="n"/>
      <c r="AZ733" s="1" t="n"/>
      <c r="BA733" s="1" t="n"/>
    </row>
    <row r="734" ht="16.5" customHeight="1" s="220">
      <c r="A734" s="1" t="n"/>
      <c r="B734" s="1" t="n"/>
      <c r="C734" s="2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  <c r="AR734" s="1" t="n"/>
      <c r="AS734" s="1" t="n"/>
      <c r="AT734" s="1" t="n"/>
      <c r="AU734" s="1" t="n"/>
      <c r="AV734" s="1" t="n"/>
      <c r="AW734" s="1" t="n"/>
      <c r="AX734" s="1" t="n"/>
      <c r="AY734" s="1" t="n"/>
      <c r="AZ734" s="1" t="n"/>
      <c r="BA734" s="1" t="n"/>
    </row>
    <row r="735" ht="16.5" customHeight="1" s="220">
      <c r="A735" s="1" t="n"/>
      <c r="B735" s="1" t="n"/>
      <c r="C735" s="2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  <c r="AR735" s="1" t="n"/>
      <c r="AS735" s="1" t="n"/>
      <c r="AT735" s="1" t="n"/>
      <c r="AU735" s="1" t="n"/>
      <c r="AV735" s="1" t="n"/>
      <c r="AW735" s="1" t="n"/>
      <c r="AX735" s="1" t="n"/>
      <c r="AY735" s="1" t="n"/>
      <c r="AZ735" s="1" t="n"/>
      <c r="BA735" s="1" t="n"/>
    </row>
    <row r="736" ht="16.5" customHeight="1" s="220">
      <c r="A736" s="1" t="n"/>
      <c r="B736" s="1" t="n"/>
      <c r="C736" s="2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  <c r="AR736" s="1" t="n"/>
      <c r="AS736" s="1" t="n"/>
      <c r="AT736" s="1" t="n"/>
      <c r="AU736" s="1" t="n"/>
      <c r="AV736" s="1" t="n"/>
      <c r="AW736" s="1" t="n"/>
      <c r="AX736" s="1" t="n"/>
      <c r="AY736" s="1" t="n"/>
      <c r="AZ736" s="1" t="n"/>
      <c r="BA736" s="1" t="n"/>
    </row>
    <row r="737" ht="16.5" customHeight="1" s="220">
      <c r="A737" s="1" t="n"/>
      <c r="B737" s="1" t="n"/>
      <c r="C737" s="2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  <c r="AR737" s="1" t="n"/>
      <c r="AS737" s="1" t="n"/>
      <c r="AT737" s="1" t="n"/>
      <c r="AU737" s="1" t="n"/>
      <c r="AV737" s="1" t="n"/>
      <c r="AW737" s="1" t="n"/>
      <c r="AX737" s="1" t="n"/>
      <c r="AY737" s="1" t="n"/>
      <c r="AZ737" s="1" t="n"/>
      <c r="BA737" s="1" t="n"/>
    </row>
    <row r="738" ht="16.5" customHeight="1" s="220">
      <c r="A738" s="1" t="n"/>
      <c r="B738" s="1" t="n"/>
      <c r="C738" s="2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  <c r="AR738" s="1" t="n"/>
      <c r="AS738" s="1" t="n"/>
      <c r="AT738" s="1" t="n"/>
      <c r="AU738" s="1" t="n"/>
      <c r="AV738" s="1" t="n"/>
      <c r="AW738" s="1" t="n"/>
      <c r="AX738" s="1" t="n"/>
      <c r="AY738" s="1" t="n"/>
      <c r="AZ738" s="1" t="n"/>
      <c r="BA738" s="1" t="n"/>
    </row>
    <row r="739" ht="16.5" customHeight="1" s="220">
      <c r="A739" s="1" t="n"/>
      <c r="B739" s="1" t="n"/>
      <c r="C739" s="2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  <c r="AR739" s="1" t="n"/>
      <c r="AS739" s="1" t="n"/>
      <c r="AT739" s="1" t="n"/>
      <c r="AU739" s="1" t="n"/>
      <c r="AV739" s="1" t="n"/>
      <c r="AW739" s="1" t="n"/>
      <c r="AX739" s="1" t="n"/>
      <c r="AY739" s="1" t="n"/>
      <c r="AZ739" s="1" t="n"/>
      <c r="BA739" s="1" t="n"/>
    </row>
    <row r="740" ht="16.5" customHeight="1" s="220">
      <c r="A740" s="1" t="n"/>
      <c r="B740" s="1" t="n"/>
      <c r="C740" s="2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  <c r="AR740" s="1" t="n"/>
      <c r="AS740" s="1" t="n"/>
      <c r="AT740" s="1" t="n"/>
      <c r="AU740" s="1" t="n"/>
      <c r="AV740" s="1" t="n"/>
      <c r="AW740" s="1" t="n"/>
      <c r="AX740" s="1" t="n"/>
      <c r="AY740" s="1" t="n"/>
      <c r="AZ740" s="1" t="n"/>
      <c r="BA740" s="1" t="n"/>
    </row>
    <row r="741" ht="16.5" customHeight="1" s="220">
      <c r="A741" s="1" t="n"/>
      <c r="B741" s="1" t="n"/>
      <c r="C741" s="2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  <c r="AR741" s="1" t="n"/>
      <c r="AS741" s="1" t="n"/>
      <c r="AT741" s="1" t="n"/>
      <c r="AU741" s="1" t="n"/>
      <c r="AV741" s="1" t="n"/>
      <c r="AW741" s="1" t="n"/>
      <c r="AX741" s="1" t="n"/>
      <c r="AY741" s="1" t="n"/>
      <c r="AZ741" s="1" t="n"/>
      <c r="BA741" s="1" t="n"/>
    </row>
    <row r="742" ht="16.5" customHeight="1" s="220">
      <c r="A742" s="1" t="n"/>
      <c r="B742" s="1" t="n"/>
      <c r="C742" s="2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  <c r="AR742" s="1" t="n"/>
      <c r="AS742" s="1" t="n"/>
      <c r="AT742" s="1" t="n"/>
      <c r="AU742" s="1" t="n"/>
      <c r="AV742" s="1" t="n"/>
      <c r="AW742" s="1" t="n"/>
      <c r="AX742" s="1" t="n"/>
      <c r="AY742" s="1" t="n"/>
      <c r="AZ742" s="1" t="n"/>
      <c r="BA742" s="1" t="n"/>
    </row>
    <row r="743" ht="16.5" customHeight="1" s="220">
      <c r="A743" s="1" t="n"/>
      <c r="B743" s="1" t="n"/>
      <c r="C743" s="2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  <c r="AR743" s="1" t="n"/>
      <c r="AS743" s="1" t="n"/>
      <c r="AT743" s="1" t="n"/>
      <c r="AU743" s="1" t="n"/>
      <c r="AV743" s="1" t="n"/>
      <c r="AW743" s="1" t="n"/>
      <c r="AX743" s="1" t="n"/>
      <c r="AY743" s="1" t="n"/>
      <c r="AZ743" s="1" t="n"/>
      <c r="BA743" s="1" t="n"/>
    </row>
    <row r="744" ht="16.5" customHeight="1" s="220">
      <c r="A744" s="1" t="n"/>
      <c r="B744" s="1" t="n"/>
      <c r="C744" s="2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  <c r="AR744" s="1" t="n"/>
      <c r="AS744" s="1" t="n"/>
      <c r="AT744" s="1" t="n"/>
      <c r="AU744" s="1" t="n"/>
      <c r="AV744" s="1" t="n"/>
      <c r="AW744" s="1" t="n"/>
      <c r="AX744" s="1" t="n"/>
      <c r="AY744" s="1" t="n"/>
      <c r="AZ744" s="1" t="n"/>
      <c r="BA744" s="1" t="n"/>
    </row>
    <row r="745" ht="16.5" customHeight="1" s="220">
      <c r="A745" s="1" t="n"/>
      <c r="B745" s="1" t="n"/>
      <c r="C745" s="2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  <c r="AR745" s="1" t="n"/>
      <c r="AS745" s="1" t="n"/>
      <c r="AT745" s="1" t="n"/>
      <c r="AU745" s="1" t="n"/>
      <c r="AV745" s="1" t="n"/>
      <c r="AW745" s="1" t="n"/>
      <c r="AX745" s="1" t="n"/>
      <c r="AY745" s="1" t="n"/>
      <c r="AZ745" s="1" t="n"/>
      <c r="BA745" s="1" t="n"/>
    </row>
    <row r="746" ht="16.5" customHeight="1" s="220">
      <c r="A746" s="1" t="n"/>
      <c r="B746" s="1" t="n"/>
      <c r="C746" s="2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  <c r="AR746" s="1" t="n"/>
      <c r="AS746" s="1" t="n"/>
      <c r="AT746" s="1" t="n"/>
      <c r="AU746" s="1" t="n"/>
      <c r="AV746" s="1" t="n"/>
      <c r="AW746" s="1" t="n"/>
      <c r="AX746" s="1" t="n"/>
      <c r="AY746" s="1" t="n"/>
      <c r="AZ746" s="1" t="n"/>
      <c r="BA746" s="1" t="n"/>
    </row>
    <row r="747" ht="16.5" customHeight="1" s="220">
      <c r="A747" s="1" t="n"/>
      <c r="B747" s="1" t="n"/>
      <c r="C747" s="2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  <c r="AR747" s="1" t="n"/>
      <c r="AS747" s="1" t="n"/>
      <c r="AT747" s="1" t="n"/>
      <c r="AU747" s="1" t="n"/>
      <c r="AV747" s="1" t="n"/>
      <c r="AW747" s="1" t="n"/>
      <c r="AX747" s="1" t="n"/>
      <c r="AY747" s="1" t="n"/>
      <c r="AZ747" s="1" t="n"/>
      <c r="BA747" s="1" t="n"/>
    </row>
    <row r="748" ht="16.5" customHeight="1" s="220">
      <c r="A748" s="1" t="n"/>
      <c r="B748" s="1" t="n"/>
      <c r="C748" s="2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  <c r="AR748" s="1" t="n"/>
      <c r="AS748" s="1" t="n"/>
      <c r="AT748" s="1" t="n"/>
      <c r="AU748" s="1" t="n"/>
      <c r="AV748" s="1" t="n"/>
      <c r="AW748" s="1" t="n"/>
      <c r="AX748" s="1" t="n"/>
      <c r="AY748" s="1" t="n"/>
      <c r="AZ748" s="1" t="n"/>
      <c r="BA748" s="1" t="n"/>
    </row>
    <row r="749" ht="16.5" customHeight="1" s="220">
      <c r="A749" s="1" t="n"/>
      <c r="B749" s="1" t="n"/>
      <c r="C749" s="2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  <c r="AR749" s="1" t="n"/>
      <c r="AS749" s="1" t="n"/>
      <c r="AT749" s="1" t="n"/>
      <c r="AU749" s="1" t="n"/>
      <c r="AV749" s="1" t="n"/>
      <c r="AW749" s="1" t="n"/>
      <c r="AX749" s="1" t="n"/>
      <c r="AY749" s="1" t="n"/>
      <c r="AZ749" s="1" t="n"/>
      <c r="BA749" s="1" t="n"/>
    </row>
    <row r="750" ht="16.5" customHeight="1" s="220">
      <c r="A750" s="1" t="n"/>
      <c r="B750" s="1" t="n"/>
      <c r="C750" s="2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  <c r="AR750" s="1" t="n"/>
      <c r="AS750" s="1" t="n"/>
      <c r="AT750" s="1" t="n"/>
      <c r="AU750" s="1" t="n"/>
      <c r="AV750" s="1" t="n"/>
      <c r="AW750" s="1" t="n"/>
      <c r="AX750" s="1" t="n"/>
      <c r="AY750" s="1" t="n"/>
      <c r="AZ750" s="1" t="n"/>
      <c r="BA750" s="1" t="n"/>
    </row>
    <row r="751" ht="16.5" customHeight="1" s="220">
      <c r="A751" s="1" t="n"/>
      <c r="B751" s="1" t="n"/>
      <c r="C751" s="2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  <c r="AR751" s="1" t="n"/>
      <c r="AS751" s="1" t="n"/>
      <c r="AT751" s="1" t="n"/>
      <c r="AU751" s="1" t="n"/>
      <c r="AV751" s="1" t="n"/>
      <c r="AW751" s="1" t="n"/>
      <c r="AX751" s="1" t="n"/>
      <c r="AY751" s="1" t="n"/>
      <c r="AZ751" s="1" t="n"/>
      <c r="BA751" s="1" t="n"/>
    </row>
    <row r="752" ht="16.5" customHeight="1" s="220">
      <c r="A752" s="1" t="n"/>
      <c r="B752" s="1" t="n"/>
      <c r="C752" s="2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  <c r="AR752" s="1" t="n"/>
      <c r="AS752" s="1" t="n"/>
      <c r="AT752" s="1" t="n"/>
      <c r="AU752" s="1" t="n"/>
      <c r="AV752" s="1" t="n"/>
      <c r="AW752" s="1" t="n"/>
      <c r="AX752" s="1" t="n"/>
      <c r="AY752" s="1" t="n"/>
      <c r="AZ752" s="1" t="n"/>
      <c r="BA752" s="1" t="n"/>
    </row>
    <row r="753" ht="16.5" customHeight="1" s="220">
      <c r="A753" s="1" t="n"/>
      <c r="B753" s="1" t="n"/>
      <c r="C753" s="2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  <c r="AR753" s="1" t="n"/>
      <c r="AS753" s="1" t="n"/>
      <c r="AT753" s="1" t="n"/>
      <c r="AU753" s="1" t="n"/>
      <c r="AV753" s="1" t="n"/>
      <c r="AW753" s="1" t="n"/>
      <c r="AX753" s="1" t="n"/>
      <c r="AY753" s="1" t="n"/>
      <c r="AZ753" s="1" t="n"/>
      <c r="BA753" s="1" t="n"/>
    </row>
    <row r="754" ht="16.5" customHeight="1" s="220">
      <c r="A754" s="1" t="n"/>
      <c r="B754" s="1" t="n"/>
      <c r="C754" s="2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  <c r="AR754" s="1" t="n"/>
      <c r="AS754" s="1" t="n"/>
      <c r="AT754" s="1" t="n"/>
      <c r="AU754" s="1" t="n"/>
      <c r="AV754" s="1" t="n"/>
      <c r="AW754" s="1" t="n"/>
      <c r="AX754" s="1" t="n"/>
      <c r="AY754" s="1" t="n"/>
      <c r="AZ754" s="1" t="n"/>
      <c r="BA754" s="1" t="n"/>
    </row>
    <row r="755" ht="16.5" customHeight="1" s="220">
      <c r="A755" s="1" t="n"/>
      <c r="B755" s="1" t="n"/>
      <c r="C755" s="2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  <c r="AR755" s="1" t="n"/>
      <c r="AS755" s="1" t="n"/>
      <c r="AT755" s="1" t="n"/>
      <c r="AU755" s="1" t="n"/>
      <c r="AV755" s="1" t="n"/>
      <c r="AW755" s="1" t="n"/>
      <c r="AX755" s="1" t="n"/>
      <c r="AY755" s="1" t="n"/>
      <c r="AZ755" s="1" t="n"/>
      <c r="BA755" s="1" t="n"/>
    </row>
    <row r="756" ht="16.5" customHeight="1" s="220">
      <c r="A756" s="1" t="n"/>
      <c r="B756" s="1" t="n"/>
      <c r="C756" s="2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  <c r="AR756" s="1" t="n"/>
      <c r="AS756" s="1" t="n"/>
      <c r="AT756" s="1" t="n"/>
      <c r="AU756" s="1" t="n"/>
      <c r="AV756" s="1" t="n"/>
      <c r="AW756" s="1" t="n"/>
      <c r="AX756" s="1" t="n"/>
      <c r="AY756" s="1" t="n"/>
      <c r="AZ756" s="1" t="n"/>
      <c r="BA756" s="1" t="n"/>
    </row>
    <row r="757" ht="16.5" customHeight="1" s="220">
      <c r="A757" s="1" t="n"/>
      <c r="B757" s="1" t="n"/>
      <c r="C757" s="2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  <c r="AR757" s="1" t="n"/>
      <c r="AS757" s="1" t="n"/>
      <c r="AT757" s="1" t="n"/>
      <c r="AU757" s="1" t="n"/>
      <c r="AV757" s="1" t="n"/>
      <c r="AW757" s="1" t="n"/>
      <c r="AX757" s="1" t="n"/>
      <c r="AY757" s="1" t="n"/>
      <c r="AZ757" s="1" t="n"/>
      <c r="BA757" s="1" t="n"/>
    </row>
    <row r="758" ht="16.5" customHeight="1" s="220">
      <c r="A758" s="1" t="n"/>
      <c r="B758" s="1" t="n"/>
      <c r="C758" s="2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  <c r="AR758" s="1" t="n"/>
      <c r="AS758" s="1" t="n"/>
      <c r="AT758" s="1" t="n"/>
      <c r="AU758" s="1" t="n"/>
      <c r="AV758" s="1" t="n"/>
      <c r="AW758" s="1" t="n"/>
      <c r="AX758" s="1" t="n"/>
      <c r="AY758" s="1" t="n"/>
      <c r="AZ758" s="1" t="n"/>
      <c r="BA758" s="1" t="n"/>
    </row>
    <row r="759" ht="16.5" customHeight="1" s="220">
      <c r="A759" s="1" t="n"/>
      <c r="B759" s="1" t="n"/>
      <c r="C759" s="2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  <c r="AR759" s="1" t="n"/>
      <c r="AS759" s="1" t="n"/>
      <c r="AT759" s="1" t="n"/>
      <c r="AU759" s="1" t="n"/>
      <c r="AV759" s="1" t="n"/>
      <c r="AW759" s="1" t="n"/>
      <c r="AX759" s="1" t="n"/>
      <c r="AY759" s="1" t="n"/>
      <c r="AZ759" s="1" t="n"/>
      <c r="BA759" s="1" t="n"/>
    </row>
    <row r="760" ht="16.5" customHeight="1" s="220">
      <c r="A760" s="1" t="n"/>
      <c r="B760" s="1" t="n"/>
      <c r="C760" s="2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  <c r="AR760" s="1" t="n"/>
      <c r="AS760" s="1" t="n"/>
      <c r="AT760" s="1" t="n"/>
      <c r="AU760" s="1" t="n"/>
      <c r="AV760" s="1" t="n"/>
      <c r="AW760" s="1" t="n"/>
      <c r="AX760" s="1" t="n"/>
      <c r="AY760" s="1" t="n"/>
      <c r="AZ760" s="1" t="n"/>
      <c r="BA760" s="1" t="n"/>
    </row>
    <row r="761" ht="16.5" customHeight="1" s="220">
      <c r="A761" s="1" t="n"/>
      <c r="B761" s="1" t="n"/>
      <c r="C761" s="2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  <c r="AR761" s="1" t="n"/>
      <c r="AS761" s="1" t="n"/>
      <c r="AT761" s="1" t="n"/>
      <c r="AU761" s="1" t="n"/>
      <c r="AV761" s="1" t="n"/>
      <c r="AW761" s="1" t="n"/>
      <c r="AX761" s="1" t="n"/>
      <c r="AY761" s="1" t="n"/>
      <c r="AZ761" s="1" t="n"/>
      <c r="BA761" s="1" t="n"/>
    </row>
    <row r="762" ht="16.5" customHeight="1" s="220">
      <c r="A762" s="1" t="n"/>
      <c r="B762" s="1" t="n"/>
      <c r="C762" s="2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  <c r="AR762" s="1" t="n"/>
      <c r="AS762" s="1" t="n"/>
      <c r="AT762" s="1" t="n"/>
      <c r="AU762" s="1" t="n"/>
      <c r="AV762" s="1" t="n"/>
      <c r="AW762" s="1" t="n"/>
      <c r="AX762" s="1" t="n"/>
      <c r="AY762" s="1" t="n"/>
      <c r="AZ762" s="1" t="n"/>
      <c r="BA762" s="1" t="n"/>
    </row>
    <row r="763" ht="16.5" customHeight="1" s="220">
      <c r="A763" s="1" t="n"/>
      <c r="B763" s="1" t="n"/>
      <c r="C763" s="2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  <c r="AR763" s="1" t="n"/>
      <c r="AS763" s="1" t="n"/>
      <c r="AT763" s="1" t="n"/>
      <c r="AU763" s="1" t="n"/>
      <c r="AV763" s="1" t="n"/>
      <c r="AW763" s="1" t="n"/>
      <c r="AX763" s="1" t="n"/>
      <c r="AY763" s="1" t="n"/>
      <c r="AZ763" s="1" t="n"/>
      <c r="BA763" s="1" t="n"/>
    </row>
    <row r="764" ht="16.5" customHeight="1" s="220">
      <c r="A764" s="1" t="n"/>
      <c r="B764" s="1" t="n"/>
      <c r="C764" s="2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  <c r="AR764" s="1" t="n"/>
      <c r="AS764" s="1" t="n"/>
      <c r="AT764" s="1" t="n"/>
      <c r="AU764" s="1" t="n"/>
      <c r="AV764" s="1" t="n"/>
      <c r="AW764" s="1" t="n"/>
      <c r="AX764" s="1" t="n"/>
      <c r="AY764" s="1" t="n"/>
      <c r="AZ764" s="1" t="n"/>
      <c r="BA764" s="1" t="n"/>
    </row>
    <row r="765" ht="16.5" customHeight="1" s="220">
      <c r="A765" s="1" t="n"/>
      <c r="B765" s="1" t="n"/>
      <c r="C765" s="2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  <c r="AR765" s="1" t="n"/>
      <c r="AS765" s="1" t="n"/>
      <c r="AT765" s="1" t="n"/>
      <c r="AU765" s="1" t="n"/>
      <c r="AV765" s="1" t="n"/>
      <c r="AW765" s="1" t="n"/>
      <c r="AX765" s="1" t="n"/>
      <c r="AY765" s="1" t="n"/>
      <c r="AZ765" s="1" t="n"/>
      <c r="BA765" s="1" t="n"/>
    </row>
    <row r="766" ht="16.5" customHeight="1" s="220">
      <c r="A766" s="1" t="n"/>
      <c r="B766" s="1" t="n"/>
      <c r="C766" s="2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  <c r="AR766" s="1" t="n"/>
      <c r="AS766" s="1" t="n"/>
      <c r="AT766" s="1" t="n"/>
      <c r="AU766" s="1" t="n"/>
      <c r="AV766" s="1" t="n"/>
      <c r="AW766" s="1" t="n"/>
      <c r="AX766" s="1" t="n"/>
      <c r="AY766" s="1" t="n"/>
      <c r="AZ766" s="1" t="n"/>
      <c r="BA766" s="1" t="n"/>
    </row>
    <row r="767" ht="16.5" customHeight="1" s="220">
      <c r="A767" s="1" t="n"/>
      <c r="B767" s="1" t="n"/>
      <c r="C767" s="2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  <c r="AR767" s="1" t="n"/>
      <c r="AS767" s="1" t="n"/>
      <c r="AT767" s="1" t="n"/>
      <c r="AU767" s="1" t="n"/>
      <c r="AV767" s="1" t="n"/>
      <c r="AW767" s="1" t="n"/>
      <c r="AX767" s="1" t="n"/>
      <c r="AY767" s="1" t="n"/>
      <c r="AZ767" s="1" t="n"/>
      <c r="BA767" s="1" t="n"/>
    </row>
    <row r="768" ht="16.5" customHeight="1" s="220">
      <c r="A768" s="1" t="n"/>
      <c r="B768" s="1" t="n"/>
      <c r="C768" s="2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  <c r="AR768" s="1" t="n"/>
      <c r="AS768" s="1" t="n"/>
      <c r="AT768" s="1" t="n"/>
      <c r="AU768" s="1" t="n"/>
      <c r="AV768" s="1" t="n"/>
      <c r="AW768" s="1" t="n"/>
      <c r="AX768" s="1" t="n"/>
      <c r="AY768" s="1" t="n"/>
      <c r="AZ768" s="1" t="n"/>
      <c r="BA768" s="1" t="n"/>
    </row>
    <row r="769" ht="16.5" customHeight="1" s="220">
      <c r="A769" s="1" t="n"/>
      <c r="B769" s="1" t="n"/>
      <c r="C769" s="2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  <c r="AR769" s="1" t="n"/>
      <c r="AS769" s="1" t="n"/>
      <c r="AT769" s="1" t="n"/>
      <c r="AU769" s="1" t="n"/>
      <c r="AV769" s="1" t="n"/>
      <c r="AW769" s="1" t="n"/>
      <c r="AX769" s="1" t="n"/>
      <c r="AY769" s="1" t="n"/>
      <c r="AZ769" s="1" t="n"/>
      <c r="BA769" s="1" t="n"/>
    </row>
    <row r="770" ht="16.5" customHeight="1" s="220">
      <c r="A770" s="1" t="n"/>
      <c r="B770" s="1" t="n"/>
      <c r="C770" s="2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  <c r="AR770" s="1" t="n"/>
      <c r="AS770" s="1" t="n"/>
      <c r="AT770" s="1" t="n"/>
      <c r="AU770" s="1" t="n"/>
      <c r="AV770" s="1" t="n"/>
      <c r="AW770" s="1" t="n"/>
      <c r="AX770" s="1" t="n"/>
      <c r="AY770" s="1" t="n"/>
      <c r="AZ770" s="1" t="n"/>
      <c r="BA770" s="1" t="n"/>
    </row>
    <row r="771" ht="16.5" customHeight="1" s="220">
      <c r="A771" s="1" t="n"/>
      <c r="B771" s="1" t="n"/>
      <c r="C771" s="2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  <c r="AR771" s="1" t="n"/>
      <c r="AS771" s="1" t="n"/>
      <c r="AT771" s="1" t="n"/>
      <c r="AU771" s="1" t="n"/>
      <c r="AV771" s="1" t="n"/>
      <c r="AW771" s="1" t="n"/>
      <c r="AX771" s="1" t="n"/>
      <c r="AY771" s="1" t="n"/>
      <c r="AZ771" s="1" t="n"/>
      <c r="BA771" s="1" t="n"/>
    </row>
    <row r="772" ht="16.5" customHeight="1" s="220">
      <c r="A772" s="1" t="n"/>
      <c r="B772" s="1" t="n"/>
      <c r="C772" s="2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  <c r="AR772" s="1" t="n"/>
      <c r="AS772" s="1" t="n"/>
      <c r="AT772" s="1" t="n"/>
      <c r="AU772" s="1" t="n"/>
      <c r="AV772" s="1" t="n"/>
      <c r="AW772" s="1" t="n"/>
      <c r="AX772" s="1" t="n"/>
      <c r="AY772" s="1" t="n"/>
      <c r="AZ772" s="1" t="n"/>
      <c r="BA772" s="1" t="n"/>
    </row>
    <row r="773" ht="16.5" customHeight="1" s="220">
      <c r="A773" s="1" t="n"/>
      <c r="B773" s="1" t="n"/>
      <c r="C773" s="2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  <c r="AR773" s="1" t="n"/>
      <c r="AS773" s="1" t="n"/>
      <c r="AT773" s="1" t="n"/>
      <c r="AU773" s="1" t="n"/>
      <c r="AV773" s="1" t="n"/>
      <c r="AW773" s="1" t="n"/>
      <c r="AX773" s="1" t="n"/>
      <c r="AY773" s="1" t="n"/>
      <c r="AZ773" s="1" t="n"/>
      <c r="BA773" s="1" t="n"/>
    </row>
    <row r="774" ht="16.5" customHeight="1" s="220">
      <c r="A774" s="1" t="n"/>
      <c r="B774" s="1" t="n"/>
      <c r="C774" s="2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  <c r="AR774" s="1" t="n"/>
      <c r="AS774" s="1" t="n"/>
      <c r="AT774" s="1" t="n"/>
      <c r="AU774" s="1" t="n"/>
      <c r="AV774" s="1" t="n"/>
      <c r="AW774" s="1" t="n"/>
      <c r="AX774" s="1" t="n"/>
      <c r="AY774" s="1" t="n"/>
      <c r="AZ774" s="1" t="n"/>
      <c r="BA774" s="1" t="n"/>
    </row>
    <row r="775" ht="16.5" customHeight="1" s="220">
      <c r="A775" s="1" t="n"/>
      <c r="B775" s="1" t="n"/>
      <c r="C775" s="2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  <c r="AR775" s="1" t="n"/>
      <c r="AS775" s="1" t="n"/>
      <c r="AT775" s="1" t="n"/>
      <c r="AU775" s="1" t="n"/>
      <c r="AV775" s="1" t="n"/>
      <c r="AW775" s="1" t="n"/>
      <c r="AX775" s="1" t="n"/>
      <c r="AY775" s="1" t="n"/>
      <c r="AZ775" s="1" t="n"/>
      <c r="BA775" s="1" t="n"/>
    </row>
    <row r="776" ht="16.5" customHeight="1" s="220">
      <c r="A776" s="1" t="n"/>
      <c r="B776" s="1" t="n"/>
      <c r="C776" s="2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  <c r="AR776" s="1" t="n"/>
      <c r="AS776" s="1" t="n"/>
      <c r="AT776" s="1" t="n"/>
      <c r="AU776" s="1" t="n"/>
      <c r="AV776" s="1" t="n"/>
      <c r="AW776" s="1" t="n"/>
      <c r="AX776" s="1" t="n"/>
      <c r="AY776" s="1" t="n"/>
      <c r="AZ776" s="1" t="n"/>
      <c r="BA776" s="1" t="n"/>
    </row>
    <row r="777" ht="16.5" customHeight="1" s="220">
      <c r="A777" s="1" t="n"/>
      <c r="B777" s="1" t="n"/>
      <c r="C777" s="2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  <c r="AR777" s="1" t="n"/>
      <c r="AS777" s="1" t="n"/>
      <c r="AT777" s="1" t="n"/>
      <c r="AU777" s="1" t="n"/>
      <c r="AV777" s="1" t="n"/>
      <c r="AW777" s="1" t="n"/>
      <c r="AX777" s="1" t="n"/>
      <c r="AY777" s="1" t="n"/>
      <c r="AZ777" s="1" t="n"/>
      <c r="BA777" s="1" t="n"/>
    </row>
    <row r="778" ht="16.5" customHeight="1" s="220">
      <c r="A778" s="1" t="n"/>
      <c r="B778" s="1" t="n"/>
      <c r="C778" s="2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Q778" s="1" t="n"/>
      <c r="AR778" s="1" t="n"/>
      <c r="AS778" s="1" t="n"/>
      <c r="AT778" s="1" t="n"/>
      <c r="AU778" s="1" t="n"/>
      <c r="AV778" s="1" t="n"/>
      <c r="AW778" s="1" t="n"/>
      <c r="AX778" s="1" t="n"/>
      <c r="AY778" s="1" t="n"/>
      <c r="AZ778" s="1" t="n"/>
      <c r="BA778" s="1" t="n"/>
    </row>
    <row r="779" ht="16.5" customHeight="1" s="220">
      <c r="A779" s="1" t="n"/>
      <c r="B779" s="1" t="n"/>
      <c r="C779" s="2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  <c r="AR779" s="1" t="n"/>
      <c r="AS779" s="1" t="n"/>
      <c r="AT779" s="1" t="n"/>
      <c r="AU779" s="1" t="n"/>
      <c r="AV779" s="1" t="n"/>
      <c r="AW779" s="1" t="n"/>
      <c r="AX779" s="1" t="n"/>
      <c r="AY779" s="1" t="n"/>
      <c r="AZ779" s="1" t="n"/>
      <c r="BA779" s="1" t="n"/>
    </row>
    <row r="780" ht="16.5" customHeight="1" s="220">
      <c r="A780" s="1" t="n"/>
      <c r="B780" s="1" t="n"/>
      <c r="C780" s="2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  <c r="AR780" s="1" t="n"/>
      <c r="AS780" s="1" t="n"/>
      <c r="AT780" s="1" t="n"/>
      <c r="AU780" s="1" t="n"/>
      <c r="AV780" s="1" t="n"/>
      <c r="AW780" s="1" t="n"/>
      <c r="AX780" s="1" t="n"/>
      <c r="AY780" s="1" t="n"/>
      <c r="AZ780" s="1" t="n"/>
      <c r="BA780" s="1" t="n"/>
    </row>
    <row r="781" ht="16.5" customHeight="1" s="220">
      <c r="A781" s="1" t="n"/>
      <c r="B781" s="1" t="n"/>
      <c r="C781" s="2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  <c r="AR781" s="1" t="n"/>
      <c r="AS781" s="1" t="n"/>
      <c r="AT781" s="1" t="n"/>
      <c r="AU781" s="1" t="n"/>
      <c r="AV781" s="1" t="n"/>
      <c r="AW781" s="1" t="n"/>
      <c r="AX781" s="1" t="n"/>
      <c r="AY781" s="1" t="n"/>
      <c r="AZ781" s="1" t="n"/>
      <c r="BA781" s="1" t="n"/>
    </row>
    <row r="782" ht="16.5" customHeight="1" s="220">
      <c r="A782" s="1" t="n"/>
      <c r="B782" s="1" t="n"/>
      <c r="C782" s="2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  <c r="AR782" s="1" t="n"/>
      <c r="AS782" s="1" t="n"/>
      <c r="AT782" s="1" t="n"/>
      <c r="AU782" s="1" t="n"/>
      <c r="AV782" s="1" t="n"/>
      <c r="AW782" s="1" t="n"/>
      <c r="AX782" s="1" t="n"/>
      <c r="AY782" s="1" t="n"/>
      <c r="AZ782" s="1" t="n"/>
      <c r="BA782" s="1" t="n"/>
    </row>
    <row r="783" ht="16.5" customHeight="1" s="220">
      <c r="A783" s="1" t="n"/>
      <c r="B783" s="1" t="n"/>
      <c r="C783" s="2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  <c r="AR783" s="1" t="n"/>
      <c r="AS783" s="1" t="n"/>
      <c r="AT783" s="1" t="n"/>
      <c r="AU783" s="1" t="n"/>
      <c r="AV783" s="1" t="n"/>
      <c r="AW783" s="1" t="n"/>
      <c r="AX783" s="1" t="n"/>
      <c r="AY783" s="1" t="n"/>
      <c r="AZ783" s="1" t="n"/>
      <c r="BA783" s="1" t="n"/>
    </row>
    <row r="784" ht="16.5" customHeight="1" s="220">
      <c r="A784" s="1" t="n"/>
      <c r="B784" s="1" t="n"/>
      <c r="C784" s="2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  <c r="AR784" s="1" t="n"/>
      <c r="AS784" s="1" t="n"/>
      <c r="AT784" s="1" t="n"/>
      <c r="AU784" s="1" t="n"/>
      <c r="AV784" s="1" t="n"/>
      <c r="AW784" s="1" t="n"/>
      <c r="AX784" s="1" t="n"/>
      <c r="AY784" s="1" t="n"/>
      <c r="AZ784" s="1" t="n"/>
      <c r="BA784" s="1" t="n"/>
    </row>
    <row r="785" ht="16.5" customHeight="1" s="220">
      <c r="A785" s="1" t="n"/>
      <c r="B785" s="1" t="n"/>
      <c r="C785" s="2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  <c r="AR785" s="1" t="n"/>
      <c r="AS785" s="1" t="n"/>
      <c r="AT785" s="1" t="n"/>
      <c r="AU785" s="1" t="n"/>
      <c r="AV785" s="1" t="n"/>
      <c r="AW785" s="1" t="n"/>
      <c r="AX785" s="1" t="n"/>
      <c r="AY785" s="1" t="n"/>
      <c r="AZ785" s="1" t="n"/>
      <c r="BA785" s="1" t="n"/>
    </row>
    <row r="786" ht="16.5" customHeight="1" s="220">
      <c r="A786" s="1" t="n"/>
      <c r="B786" s="1" t="n"/>
      <c r="C786" s="2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  <c r="AR786" s="1" t="n"/>
      <c r="AS786" s="1" t="n"/>
      <c r="AT786" s="1" t="n"/>
      <c r="AU786" s="1" t="n"/>
      <c r="AV786" s="1" t="n"/>
      <c r="AW786" s="1" t="n"/>
      <c r="AX786" s="1" t="n"/>
      <c r="AY786" s="1" t="n"/>
      <c r="AZ786" s="1" t="n"/>
      <c r="BA786" s="1" t="n"/>
    </row>
    <row r="787" ht="16.5" customHeight="1" s="220">
      <c r="A787" s="1" t="n"/>
      <c r="B787" s="1" t="n"/>
      <c r="C787" s="2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  <c r="AR787" s="1" t="n"/>
      <c r="AS787" s="1" t="n"/>
      <c r="AT787" s="1" t="n"/>
      <c r="AU787" s="1" t="n"/>
      <c r="AV787" s="1" t="n"/>
      <c r="AW787" s="1" t="n"/>
      <c r="AX787" s="1" t="n"/>
      <c r="AY787" s="1" t="n"/>
      <c r="AZ787" s="1" t="n"/>
      <c r="BA787" s="1" t="n"/>
    </row>
    <row r="788" ht="16.5" customHeight="1" s="220">
      <c r="A788" s="1" t="n"/>
      <c r="B788" s="1" t="n"/>
      <c r="C788" s="2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  <c r="AR788" s="1" t="n"/>
      <c r="AS788" s="1" t="n"/>
      <c r="AT788" s="1" t="n"/>
      <c r="AU788" s="1" t="n"/>
      <c r="AV788" s="1" t="n"/>
      <c r="AW788" s="1" t="n"/>
      <c r="AX788" s="1" t="n"/>
      <c r="AY788" s="1" t="n"/>
      <c r="AZ788" s="1" t="n"/>
      <c r="BA788" s="1" t="n"/>
    </row>
    <row r="789" ht="16.5" customHeight="1" s="220">
      <c r="A789" s="1" t="n"/>
      <c r="B789" s="1" t="n"/>
      <c r="C789" s="2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  <c r="AR789" s="1" t="n"/>
      <c r="AS789" s="1" t="n"/>
      <c r="AT789" s="1" t="n"/>
      <c r="AU789" s="1" t="n"/>
      <c r="AV789" s="1" t="n"/>
      <c r="AW789" s="1" t="n"/>
      <c r="AX789" s="1" t="n"/>
      <c r="AY789" s="1" t="n"/>
      <c r="AZ789" s="1" t="n"/>
      <c r="BA789" s="1" t="n"/>
    </row>
    <row r="790" ht="16.5" customHeight="1" s="220">
      <c r="A790" s="1" t="n"/>
      <c r="B790" s="1" t="n"/>
      <c r="C790" s="2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Q790" s="1" t="n"/>
      <c r="AR790" s="1" t="n"/>
      <c r="AS790" s="1" t="n"/>
      <c r="AT790" s="1" t="n"/>
      <c r="AU790" s="1" t="n"/>
      <c r="AV790" s="1" t="n"/>
      <c r="AW790" s="1" t="n"/>
      <c r="AX790" s="1" t="n"/>
      <c r="AY790" s="1" t="n"/>
      <c r="AZ790" s="1" t="n"/>
      <c r="BA790" s="1" t="n"/>
    </row>
    <row r="791" ht="16.5" customHeight="1" s="220">
      <c r="A791" s="1" t="n"/>
      <c r="B791" s="1" t="n"/>
      <c r="C791" s="2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  <c r="AR791" s="1" t="n"/>
      <c r="AS791" s="1" t="n"/>
      <c r="AT791" s="1" t="n"/>
      <c r="AU791" s="1" t="n"/>
      <c r="AV791" s="1" t="n"/>
      <c r="AW791" s="1" t="n"/>
      <c r="AX791" s="1" t="n"/>
      <c r="AY791" s="1" t="n"/>
      <c r="AZ791" s="1" t="n"/>
      <c r="BA791" s="1" t="n"/>
    </row>
    <row r="792" ht="16.5" customHeight="1" s="220">
      <c r="A792" s="1" t="n"/>
      <c r="B792" s="1" t="n"/>
      <c r="C792" s="2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  <c r="AR792" s="1" t="n"/>
      <c r="AS792" s="1" t="n"/>
      <c r="AT792" s="1" t="n"/>
      <c r="AU792" s="1" t="n"/>
      <c r="AV792" s="1" t="n"/>
      <c r="AW792" s="1" t="n"/>
      <c r="AX792" s="1" t="n"/>
      <c r="AY792" s="1" t="n"/>
      <c r="AZ792" s="1" t="n"/>
      <c r="BA792" s="1" t="n"/>
    </row>
    <row r="793" ht="16.5" customHeight="1" s="220">
      <c r="A793" s="1" t="n"/>
      <c r="B793" s="1" t="n"/>
      <c r="C793" s="2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  <c r="AR793" s="1" t="n"/>
      <c r="AS793" s="1" t="n"/>
      <c r="AT793" s="1" t="n"/>
      <c r="AU793" s="1" t="n"/>
      <c r="AV793" s="1" t="n"/>
      <c r="AW793" s="1" t="n"/>
      <c r="AX793" s="1" t="n"/>
      <c r="AY793" s="1" t="n"/>
      <c r="AZ793" s="1" t="n"/>
      <c r="BA793" s="1" t="n"/>
    </row>
    <row r="794" ht="16.5" customHeight="1" s="220">
      <c r="A794" s="1" t="n"/>
      <c r="B794" s="1" t="n"/>
      <c r="C794" s="2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  <c r="AR794" s="1" t="n"/>
      <c r="AS794" s="1" t="n"/>
      <c r="AT794" s="1" t="n"/>
      <c r="AU794" s="1" t="n"/>
      <c r="AV794" s="1" t="n"/>
      <c r="AW794" s="1" t="n"/>
      <c r="AX794" s="1" t="n"/>
      <c r="AY794" s="1" t="n"/>
      <c r="AZ794" s="1" t="n"/>
      <c r="BA794" s="1" t="n"/>
    </row>
    <row r="795" ht="16.5" customHeight="1" s="220">
      <c r="A795" s="1" t="n"/>
      <c r="B795" s="1" t="n"/>
      <c r="C795" s="2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  <c r="AR795" s="1" t="n"/>
      <c r="AS795" s="1" t="n"/>
      <c r="AT795" s="1" t="n"/>
      <c r="AU795" s="1" t="n"/>
      <c r="AV795" s="1" t="n"/>
      <c r="AW795" s="1" t="n"/>
      <c r="AX795" s="1" t="n"/>
      <c r="AY795" s="1" t="n"/>
      <c r="AZ795" s="1" t="n"/>
      <c r="BA795" s="1" t="n"/>
    </row>
    <row r="796" ht="16.5" customHeight="1" s="220">
      <c r="A796" s="1" t="n"/>
      <c r="B796" s="1" t="n"/>
      <c r="C796" s="2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  <c r="AR796" s="1" t="n"/>
      <c r="AS796" s="1" t="n"/>
      <c r="AT796" s="1" t="n"/>
      <c r="AU796" s="1" t="n"/>
      <c r="AV796" s="1" t="n"/>
      <c r="AW796" s="1" t="n"/>
      <c r="AX796" s="1" t="n"/>
      <c r="AY796" s="1" t="n"/>
      <c r="AZ796" s="1" t="n"/>
      <c r="BA796" s="1" t="n"/>
    </row>
    <row r="797" ht="16.5" customHeight="1" s="220">
      <c r="A797" s="1" t="n"/>
      <c r="B797" s="1" t="n"/>
      <c r="C797" s="2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  <c r="AR797" s="1" t="n"/>
      <c r="AS797" s="1" t="n"/>
      <c r="AT797" s="1" t="n"/>
      <c r="AU797" s="1" t="n"/>
      <c r="AV797" s="1" t="n"/>
      <c r="AW797" s="1" t="n"/>
      <c r="AX797" s="1" t="n"/>
      <c r="AY797" s="1" t="n"/>
      <c r="AZ797" s="1" t="n"/>
      <c r="BA797" s="1" t="n"/>
    </row>
    <row r="798" ht="16.5" customHeight="1" s="220">
      <c r="A798" s="1" t="n"/>
      <c r="B798" s="1" t="n"/>
      <c r="C798" s="2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  <c r="AR798" s="1" t="n"/>
      <c r="AS798" s="1" t="n"/>
      <c r="AT798" s="1" t="n"/>
      <c r="AU798" s="1" t="n"/>
      <c r="AV798" s="1" t="n"/>
      <c r="AW798" s="1" t="n"/>
      <c r="AX798" s="1" t="n"/>
      <c r="AY798" s="1" t="n"/>
      <c r="AZ798" s="1" t="n"/>
      <c r="BA798" s="1" t="n"/>
    </row>
    <row r="799" ht="16.5" customHeight="1" s="220">
      <c r="A799" s="1" t="n"/>
      <c r="B799" s="1" t="n"/>
      <c r="C799" s="2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  <c r="AR799" s="1" t="n"/>
      <c r="AS799" s="1" t="n"/>
      <c r="AT799" s="1" t="n"/>
      <c r="AU799" s="1" t="n"/>
      <c r="AV799" s="1" t="n"/>
      <c r="AW799" s="1" t="n"/>
      <c r="AX799" s="1" t="n"/>
      <c r="AY799" s="1" t="n"/>
      <c r="AZ799" s="1" t="n"/>
      <c r="BA799" s="1" t="n"/>
    </row>
    <row r="800" ht="16.5" customHeight="1" s="220">
      <c r="A800" s="1" t="n"/>
      <c r="B800" s="1" t="n"/>
      <c r="C800" s="2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  <c r="AR800" s="1" t="n"/>
      <c r="AS800" s="1" t="n"/>
      <c r="AT800" s="1" t="n"/>
      <c r="AU800" s="1" t="n"/>
      <c r="AV800" s="1" t="n"/>
      <c r="AW800" s="1" t="n"/>
      <c r="AX800" s="1" t="n"/>
      <c r="AY800" s="1" t="n"/>
      <c r="AZ800" s="1" t="n"/>
      <c r="BA800" s="1" t="n"/>
    </row>
    <row r="801" ht="16.5" customHeight="1" s="220">
      <c r="A801" s="1" t="n"/>
      <c r="B801" s="1" t="n"/>
      <c r="C801" s="2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  <c r="AR801" s="1" t="n"/>
      <c r="AS801" s="1" t="n"/>
      <c r="AT801" s="1" t="n"/>
      <c r="AU801" s="1" t="n"/>
      <c r="AV801" s="1" t="n"/>
      <c r="AW801" s="1" t="n"/>
      <c r="AX801" s="1" t="n"/>
      <c r="AY801" s="1" t="n"/>
      <c r="AZ801" s="1" t="n"/>
      <c r="BA801" s="1" t="n"/>
    </row>
    <row r="802" ht="16.5" customHeight="1" s="220">
      <c r="A802" s="1" t="n"/>
      <c r="B802" s="1" t="n"/>
      <c r="C802" s="2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  <c r="AR802" s="1" t="n"/>
      <c r="AS802" s="1" t="n"/>
      <c r="AT802" s="1" t="n"/>
      <c r="AU802" s="1" t="n"/>
      <c r="AV802" s="1" t="n"/>
      <c r="AW802" s="1" t="n"/>
      <c r="AX802" s="1" t="n"/>
      <c r="AY802" s="1" t="n"/>
      <c r="AZ802" s="1" t="n"/>
      <c r="BA802" s="1" t="n"/>
    </row>
    <row r="803" ht="16.5" customHeight="1" s="220">
      <c r="A803" s="1" t="n"/>
      <c r="B803" s="1" t="n"/>
      <c r="C803" s="2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  <c r="AR803" s="1" t="n"/>
      <c r="AS803" s="1" t="n"/>
      <c r="AT803" s="1" t="n"/>
      <c r="AU803" s="1" t="n"/>
      <c r="AV803" s="1" t="n"/>
      <c r="AW803" s="1" t="n"/>
      <c r="AX803" s="1" t="n"/>
      <c r="AY803" s="1" t="n"/>
      <c r="AZ803" s="1" t="n"/>
      <c r="BA803" s="1" t="n"/>
    </row>
    <row r="804" ht="16.5" customHeight="1" s="220">
      <c r="A804" s="1" t="n"/>
      <c r="B804" s="1" t="n"/>
      <c r="C804" s="2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  <c r="AR804" s="1" t="n"/>
      <c r="AS804" s="1" t="n"/>
      <c r="AT804" s="1" t="n"/>
      <c r="AU804" s="1" t="n"/>
      <c r="AV804" s="1" t="n"/>
      <c r="AW804" s="1" t="n"/>
      <c r="AX804" s="1" t="n"/>
      <c r="AY804" s="1" t="n"/>
      <c r="AZ804" s="1" t="n"/>
      <c r="BA804" s="1" t="n"/>
    </row>
    <row r="805" ht="16.5" customHeight="1" s="220">
      <c r="A805" s="1" t="n"/>
      <c r="B805" s="1" t="n"/>
      <c r="C805" s="2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  <c r="AR805" s="1" t="n"/>
      <c r="AS805" s="1" t="n"/>
      <c r="AT805" s="1" t="n"/>
      <c r="AU805" s="1" t="n"/>
      <c r="AV805" s="1" t="n"/>
      <c r="AW805" s="1" t="n"/>
      <c r="AX805" s="1" t="n"/>
      <c r="AY805" s="1" t="n"/>
      <c r="AZ805" s="1" t="n"/>
      <c r="BA805" s="1" t="n"/>
    </row>
    <row r="806" ht="16.5" customHeight="1" s="220">
      <c r="A806" s="1" t="n"/>
      <c r="B806" s="1" t="n"/>
      <c r="C806" s="2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Q806" s="1" t="n"/>
      <c r="AR806" s="1" t="n"/>
      <c r="AS806" s="1" t="n"/>
      <c r="AT806" s="1" t="n"/>
      <c r="AU806" s="1" t="n"/>
      <c r="AV806" s="1" t="n"/>
      <c r="AW806" s="1" t="n"/>
      <c r="AX806" s="1" t="n"/>
      <c r="AY806" s="1" t="n"/>
      <c r="AZ806" s="1" t="n"/>
      <c r="BA806" s="1" t="n"/>
    </row>
    <row r="807" ht="16.5" customHeight="1" s="220">
      <c r="A807" s="1" t="n"/>
      <c r="B807" s="1" t="n"/>
      <c r="C807" s="2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  <c r="AR807" s="1" t="n"/>
      <c r="AS807" s="1" t="n"/>
      <c r="AT807" s="1" t="n"/>
      <c r="AU807" s="1" t="n"/>
      <c r="AV807" s="1" t="n"/>
      <c r="AW807" s="1" t="n"/>
      <c r="AX807" s="1" t="n"/>
      <c r="AY807" s="1" t="n"/>
      <c r="AZ807" s="1" t="n"/>
      <c r="BA807" s="1" t="n"/>
    </row>
    <row r="808" ht="16.5" customHeight="1" s="220">
      <c r="A808" s="1" t="n"/>
      <c r="B808" s="1" t="n"/>
      <c r="C808" s="2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  <c r="AR808" s="1" t="n"/>
      <c r="AS808" s="1" t="n"/>
      <c r="AT808" s="1" t="n"/>
      <c r="AU808" s="1" t="n"/>
      <c r="AV808" s="1" t="n"/>
      <c r="AW808" s="1" t="n"/>
      <c r="AX808" s="1" t="n"/>
      <c r="AY808" s="1" t="n"/>
      <c r="AZ808" s="1" t="n"/>
      <c r="BA808" s="1" t="n"/>
    </row>
    <row r="809" ht="16.5" customHeight="1" s="220">
      <c r="A809" s="1" t="n"/>
      <c r="B809" s="1" t="n"/>
      <c r="C809" s="2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  <c r="AR809" s="1" t="n"/>
      <c r="AS809" s="1" t="n"/>
      <c r="AT809" s="1" t="n"/>
      <c r="AU809" s="1" t="n"/>
      <c r="AV809" s="1" t="n"/>
      <c r="AW809" s="1" t="n"/>
      <c r="AX809" s="1" t="n"/>
      <c r="AY809" s="1" t="n"/>
      <c r="AZ809" s="1" t="n"/>
      <c r="BA809" s="1" t="n"/>
    </row>
    <row r="810" ht="16.5" customHeight="1" s="220">
      <c r="A810" s="1" t="n"/>
      <c r="B810" s="1" t="n"/>
      <c r="C810" s="2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  <c r="AR810" s="1" t="n"/>
      <c r="AS810" s="1" t="n"/>
      <c r="AT810" s="1" t="n"/>
      <c r="AU810" s="1" t="n"/>
      <c r="AV810" s="1" t="n"/>
      <c r="AW810" s="1" t="n"/>
      <c r="AX810" s="1" t="n"/>
      <c r="AY810" s="1" t="n"/>
      <c r="AZ810" s="1" t="n"/>
      <c r="BA810" s="1" t="n"/>
    </row>
    <row r="811" ht="16.5" customHeight="1" s="220">
      <c r="A811" s="1" t="n"/>
      <c r="B811" s="1" t="n"/>
      <c r="C811" s="2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  <c r="AR811" s="1" t="n"/>
      <c r="AS811" s="1" t="n"/>
      <c r="AT811" s="1" t="n"/>
      <c r="AU811" s="1" t="n"/>
      <c r="AV811" s="1" t="n"/>
      <c r="AW811" s="1" t="n"/>
      <c r="AX811" s="1" t="n"/>
      <c r="AY811" s="1" t="n"/>
      <c r="AZ811" s="1" t="n"/>
      <c r="BA811" s="1" t="n"/>
    </row>
    <row r="812" ht="16.5" customHeight="1" s="220">
      <c r="A812" s="1" t="n"/>
      <c r="B812" s="1" t="n"/>
      <c r="C812" s="2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  <c r="AR812" s="1" t="n"/>
      <c r="AS812" s="1" t="n"/>
      <c r="AT812" s="1" t="n"/>
      <c r="AU812" s="1" t="n"/>
      <c r="AV812" s="1" t="n"/>
      <c r="AW812" s="1" t="n"/>
      <c r="AX812" s="1" t="n"/>
      <c r="AY812" s="1" t="n"/>
      <c r="AZ812" s="1" t="n"/>
      <c r="BA812" s="1" t="n"/>
    </row>
    <row r="813" ht="16.5" customHeight="1" s="220">
      <c r="A813" s="1" t="n"/>
      <c r="B813" s="1" t="n"/>
      <c r="C813" s="2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  <c r="AR813" s="1" t="n"/>
      <c r="AS813" s="1" t="n"/>
      <c r="AT813" s="1" t="n"/>
      <c r="AU813" s="1" t="n"/>
      <c r="AV813" s="1" t="n"/>
      <c r="AW813" s="1" t="n"/>
      <c r="AX813" s="1" t="n"/>
      <c r="AY813" s="1" t="n"/>
      <c r="AZ813" s="1" t="n"/>
      <c r="BA813" s="1" t="n"/>
    </row>
    <row r="814" ht="16.5" customHeight="1" s="220">
      <c r="A814" s="1" t="n"/>
      <c r="B814" s="1" t="n"/>
      <c r="C814" s="2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  <c r="AR814" s="1" t="n"/>
      <c r="AS814" s="1" t="n"/>
      <c r="AT814" s="1" t="n"/>
      <c r="AU814" s="1" t="n"/>
      <c r="AV814" s="1" t="n"/>
      <c r="AW814" s="1" t="n"/>
      <c r="AX814" s="1" t="n"/>
      <c r="AY814" s="1" t="n"/>
      <c r="AZ814" s="1" t="n"/>
      <c r="BA814" s="1" t="n"/>
    </row>
    <row r="815" ht="16.5" customHeight="1" s="220">
      <c r="A815" s="1" t="n"/>
      <c r="B815" s="1" t="n"/>
      <c r="C815" s="2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  <c r="AR815" s="1" t="n"/>
      <c r="AS815" s="1" t="n"/>
      <c r="AT815" s="1" t="n"/>
      <c r="AU815" s="1" t="n"/>
      <c r="AV815" s="1" t="n"/>
      <c r="AW815" s="1" t="n"/>
      <c r="AX815" s="1" t="n"/>
      <c r="AY815" s="1" t="n"/>
      <c r="AZ815" s="1" t="n"/>
      <c r="BA815" s="1" t="n"/>
    </row>
    <row r="816" ht="16.5" customHeight="1" s="220">
      <c r="A816" s="1" t="n"/>
      <c r="B816" s="1" t="n"/>
      <c r="C816" s="2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  <c r="AR816" s="1" t="n"/>
      <c r="AS816" s="1" t="n"/>
      <c r="AT816" s="1" t="n"/>
      <c r="AU816" s="1" t="n"/>
      <c r="AV816" s="1" t="n"/>
      <c r="AW816" s="1" t="n"/>
      <c r="AX816" s="1" t="n"/>
      <c r="AY816" s="1" t="n"/>
      <c r="AZ816" s="1" t="n"/>
      <c r="BA816" s="1" t="n"/>
    </row>
    <row r="817" ht="16.5" customHeight="1" s="220">
      <c r="A817" s="1" t="n"/>
      <c r="B817" s="1" t="n"/>
      <c r="C817" s="2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  <c r="AR817" s="1" t="n"/>
      <c r="AS817" s="1" t="n"/>
      <c r="AT817" s="1" t="n"/>
      <c r="AU817" s="1" t="n"/>
      <c r="AV817" s="1" t="n"/>
      <c r="AW817" s="1" t="n"/>
      <c r="AX817" s="1" t="n"/>
      <c r="AY817" s="1" t="n"/>
      <c r="AZ817" s="1" t="n"/>
      <c r="BA817" s="1" t="n"/>
    </row>
    <row r="818" ht="16.5" customHeight="1" s="220">
      <c r="A818" s="1" t="n"/>
      <c r="B818" s="1" t="n"/>
      <c r="C818" s="2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Q818" s="1" t="n"/>
      <c r="AR818" s="1" t="n"/>
      <c r="AS818" s="1" t="n"/>
      <c r="AT818" s="1" t="n"/>
      <c r="AU818" s="1" t="n"/>
      <c r="AV818" s="1" t="n"/>
      <c r="AW818" s="1" t="n"/>
      <c r="AX818" s="1" t="n"/>
      <c r="AY818" s="1" t="n"/>
      <c r="AZ818" s="1" t="n"/>
      <c r="BA818" s="1" t="n"/>
    </row>
    <row r="819" ht="16.5" customHeight="1" s="220">
      <c r="A819" s="1" t="n"/>
      <c r="B819" s="1" t="n"/>
      <c r="C819" s="2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  <c r="AR819" s="1" t="n"/>
      <c r="AS819" s="1" t="n"/>
      <c r="AT819" s="1" t="n"/>
      <c r="AU819" s="1" t="n"/>
      <c r="AV819" s="1" t="n"/>
      <c r="AW819" s="1" t="n"/>
      <c r="AX819" s="1" t="n"/>
      <c r="AY819" s="1" t="n"/>
      <c r="AZ819" s="1" t="n"/>
      <c r="BA819" s="1" t="n"/>
    </row>
    <row r="820" ht="16.5" customHeight="1" s="220">
      <c r="A820" s="1" t="n"/>
      <c r="B820" s="1" t="n"/>
      <c r="C820" s="2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  <c r="AR820" s="1" t="n"/>
      <c r="AS820" s="1" t="n"/>
      <c r="AT820" s="1" t="n"/>
      <c r="AU820" s="1" t="n"/>
      <c r="AV820" s="1" t="n"/>
      <c r="AW820" s="1" t="n"/>
      <c r="AX820" s="1" t="n"/>
      <c r="AY820" s="1" t="n"/>
      <c r="AZ820" s="1" t="n"/>
      <c r="BA820" s="1" t="n"/>
    </row>
    <row r="821" ht="16.5" customHeight="1" s="220">
      <c r="A821" s="1" t="n"/>
      <c r="B821" s="1" t="n"/>
      <c r="C821" s="2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  <c r="AR821" s="1" t="n"/>
      <c r="AS821" s="1" t="n"/>
      <c r="AT821" s="1" t="n"/>
      <c r="AU821" s="1" t="n"/>
      <c r="AV821" s="1" t="n"/>
      <c r="AW821" s="1" t="n"/>
      <c r="AX821" s="1" t="n"/>
      <c r="AY821" s="1" t="n"/>
      <c r="AZ821" s="1" t="n"/>
      <c r="BA821" s="1" t="n"/>
    </row>
    <row r="822" ht="16.5" customHeight="1" s="220">
      <c r="A822" s="1" t="n"/>
      <c r="B822" s="1" t="n"/>
      <c r="C822" s="2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  <c r="AR822" s="1" t="n"/>
      <c r="AS822" s="1" t="n"/>
      <c r="AT822" s="1" t="n"/>
      <c r="AU822" s="1" t="n"/>
      <c r="AV822" s="1" t="n"/>
      <c r="AW822" s="1" t="n"/>
      <c r="AX822" s="1" t="n"/>
      <c r="AY822" s="1" t="n"/>
      <c r="AZ822" s="1" t="n"/>
      <c r="BA822" s="1" t="n"/>
    </row>
    <row r="823" ht="16.5" customHeight="1" s="220">
      <c r="A823" s="1" t="n"/>
      <c r="B823" s="1" t="n"/>
      <c r="C823" s="2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  <c r="AR823" s="1" t="n"/>
      <c r="AS823" s="1" t="n"/>
      <c r="AT823" s="1" t="n"/>
      <c r="AU823" s="1" t="n"/>
      <c r="AV823" s="1" t="n"/>
      <c r="AW823" s="1" t="n"/>
      <c r="AX823" s="1" t="n"/>
      <c r="AY823" s="1" t="n"/>
      <c r="AZ823" s="1" t="n"/>
      <c r="BA823" s="1" t="n"/>
    </row>
    <row r="824" ht="16.5" customHeight="1" s="220">
      <c r="A824" s="1" t="n"/>
      <c r="B824" s="1" t="n"/>
      <c r="C824" s="2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  <c r="AR824" s="1" t="n"/>
      <c r="AS824" s="1" t="n"/>
      <c r="AT824" s="1" t="n"/>
      <c r="AU824" s="1" t="n"/>
      <c r="AV824" s="1" t="n"/>
      <c r="AW824" s="1" t="n"/>
      <c r="AX824" s="1" t="n"/>
      <c r="AY824" s="1" t="n"/>
      <c r="AZ824" s="1" t="n"/>
      <c r="BA824" s="1" t="n"/>
    </row>
    <row r="825" ht="16.5" customHeight="1" s="220">
      <c r="A825" s="1" t="n"/>
      <c r="B825" s="1" t="n"/>
      <c r="C825" s="2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  <c r="AR825" s="1" t="n"/>
      <c r="AS825" s="1" t="n"/>
      <c r="AT825" s="1" t="n"/>
      <c r="AU825" s="1" t="n"/>
      <c r="AV825" s="1" t="n"/>
      <c r="AW825" s="1" t="n"/>
      <c r="AX825" s="1" t="n"/>
      <c r="AY825" s="1" t="n"/>
      <c r="AZ825" s="1" t="n"/>
      <c r="BA825" s="1" t="n"/>
    </row>
    <row r="826" ht="16.5" customHeight="1" s="220">
      <c r="A826" s="1" t="n"/>
      <c r="B826" s="1" t="n"/>
      <c r="C826" s="2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  <c r="AR826" s="1" t="n"/>
      <c r="AS826" s="1" t="n"/>
      <c r="AT826" s="1" t="n"/>
      <c r="AU826" s="1" t="n"/>
      <c r="AV826" s="1" t="n"/>
      <c r="AW826" s="1" t="n"/>
      <c r="AX826" s="1" t="n"/>
      <c r="AY826" s="1" t="n"/>
      <c r="AZ826" s="1" t="n"/>
      <c r="BA826" s="1" t="n"/>
    </row>
    <row r="827" ht="16.5" customHeight="1" s="220">
      <c r="A827" s="1" t="n"/>
      <c r="B827" s="1" t="n"/>
      <c r="C827" s="2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  <c r="AR827" s="1" t="n"/>
      <c r="AS827" s="1" t="n"/>
      <c r="AT827" s="1" t="n"/>
      <c r="AU827" s="1" t="n"/>
      <c r="AV827" s="1" t="n"/>
      <c r="AW827" s="1" t="n"/>
      <c r="AX827" s="1" t="n"/>
      <c r="AY827" s="1" t="n"/>
      <c r="AZ827" s="1" t="n"/>
      <c r="BA827" s="1" t="n"/>
    </row>
    <row r="828" ht="16.5" customHeight="1" s="220">
      <c r="A828" s="1" t="n"/>
      <c r="B828" s="1" t="n"/>
      <c r="C828" s="2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Q828" s="1" t="n"/>
      <c r="AR828" s="1" t="n"/>
      <c r="AS828" s="1" t="n"/>
      <c r="AT828" s="1" t="n"/>
      <c r="AU828" s="1" t="n"/>
      <c r="AV828" s="1" t="n"/>
      <c r="AW828" s="1" t="n"/>
      <c r="AX828" s="1" t="n"/>
      <c r="AY828" s="1" t="n"/>
      <c r="AZ828" s="1" t="n"/>
      <c r="BA828" s="1" t="n"/>
    </row>
    <row r="829" ht="16.5" customHeight="1" s="220">
      <c r="A829" s="1" t="n"/>
      <c r="B829" s="1" t="n"/>
      <c r="C829" s="2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  <c r="AR829" s="1" t="n"/>
      <c r="AS829" s="1" t="n"/>
      <c r="AT829" s="1" t="n"/>
      <c r="AU829" s="1" t="n"/>
      <c r="AV829" s="1" t="n"/>
      <c r="AW829" s="1" t="n"/>
      <c r="AX829" s="1" t="n"/>
      <c r="AY829" s="1" t="n"/>
      <c r="AZ829" s="1" t="n"/>
      <c r="BA829" s="1" t="n"/>
    </row>
    <row r="830" ht="16.5" customHeight="1" s="220">
      <c r="A830" s="1" t="n"/>
      <c r="B830" s="1" t="n"/>
      <c r="C830" s="2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  <c r="AR830" s="1" t="n"/>
      <c r="AS830" s="1" t="n"/>
      <c r="AT830" s="1" t="n"/>
      <c r="AU830" s="1" t="n"/>
      <c r="AV830" s="1" t="n"/>
      <c r="AW830" s="1" t="n"/>
      <c r="AX830" s="1" t="n"/>
      <c r="AY830" s="1" t="n"/>
      <c r="AZ830" s="1" t="n"/>
      <c r="BA830" s="1" t="n"/>
    </row>
    <row r="831" ht="16.5" customHeight="1" s="220">
      <c r="A831" s="1" t="n"/>
      <c r="B831" s="1" t="n"/>
      <c r="C831" s="2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  <c r="AR831" s="1" t="n"/>
      <c r="AS831" s="1" t="n"/>
      <c r="AT831" s="1" t="n"/>
      <c r="AU831" s="1" t="n"/>
      <c r="AV831" s="1" t="n"/>
      <c r="AW831" s="1" t="n"/>
      <c r="AX831" s="1" t="n"/>
      <c r="AY831" s="1" t="n"/>
      <c r="AZ831" s="1" t="n"/>
      <c r="BA831" s="1" t="n"/>
    </row>
    <row r="832" ht="16.5" customHeight="1" s="220">
      <c r="A832" s="1" t="n"/>
      <c r="B832" s="1" t="n"/>
      <c r="C832" s="2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  <c r="AR832" s="1" t="n"/>
      <c r="AS832" s="1" t="n"/>
      <c r="AT832" s="1" t="n"/>
      <c r="AU832" s="1" t="n"/>
      <c r="AV832" s="1" t="n"/>
      <c r="AW832" s="1" t="n"/>
      <c r="AX832" s="1" t="n"/>
      <c r="AY832" s="1" t="n"/>
      <c r="AZ832" s="1" t="n"/>
      <c r="BA832" s="1" t="n"/>
    </row>
    <row r="833" ht="16.5" customHeight="1" s="220">
      <c r="A833" s="1" t="n"/>
      <c r="B833" s="1" t="n"/>
      <c r="C833" s="2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  <c r="AR833" s="1" t="n"/>
      <c r="AS833" s="1" t="n"/>
      <c r="AT833" s="1" t="n"/>
      <c r="AU833" s="1" t="n"/>
      <c r="AV833" s="1" t="n"/>
      <c r="AW833" s="1" t="n"/>
      <c r="AX833" s="1" t="n"/>
      <c r="AY833" s="1" t="n"/>
      <c r="AZ833" s="1" t="n"/>
      <c r="BA833" s="1" t="n"/>
    </row>
    <row r="834" ht="16.5" customHeight="1" s="220">
      <c r="A834" s="1" t="n"/>
      <c r="B834" s="1" t="n"/>
      <c r="C834" s="2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  <c r="AR834" s="1" t="n"/>
      <c r="AS834" s="1" t="n"/>
      <c r="AT834" s="1" t="n"/>
      <c r="AU834" s="1" t="n"/>
      <c r="AV834" s="1" t="n"/>
      <c r="AW834" s="1" t="n"/>
      <c r="AX834" s="1" t="n"/>
      <c r="AY834" s="1" t="n"/>
      <c r="AZ834" s="1" t="n"/>
      <c r="BA834" s="1" t="n"/>
    </row>
    <row r="835" ht="16.5" customHeight="1" s="220">
      <c r="A835" s="1" t="n"/>
      <c r="B835" s="1" t="n"/>
      <c r="C835" s="2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  <c r="AR835" s="1" t="n"/>
      <c r="AS835" s="1" t="n"/>
      <c r="AT835" s="1" t="n"/>
      <c r="AU835" s="1" t="n"/>
      <c r="AV835" s="1" t="n"/>
      <c r="AW835" s="1" t="n"/>
      <c r="AX835" s="1" t="n"/>
      <c r="AY835" s="1" t="n"/>
      <c r="AZ835" s="1" t="n"/>
      <c r="BA835" s="1" t="n"/>
    </row>
    <row r="836" ht="16.5" customHeight="1" s="220">
      <c r="A836" s="1" t="n"/>
      <c r="B836" s="1" t="n"/>
      <c r="C836" s="2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  <c r="AR836" s="1" t="n"/>
      <c r="AS836" s="1" t="n"/>
      <c r="AT836" s="1" t="n"/>
      <c r="AU836" s="1" t="n"/>
      <c r="AV836" s="1" t="n"/>
      <c r="AW836" s="1" t="n"/>
      <c r="AX836" s="1" t="n"/>
      <c r="AY836" s="1" t="n"/>
      <c r="AZ836" s="1" t="n"/>
      <c r="BA836" s="1" t="n"/>
    </row>
    <row r="837" ht="16.5" customHeight="1" s="220">
      <c r="A837" s="1" t="n"/>
      <c r="B837" s="1" t="n"/>
      <c r="C837" s="2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  <c r="AR837" s="1" t="n"/>
      <c r="AS837" s="1" t="n"/>
      <c r="AT837" s="1" t="n"/>
      <c r="AU837" s="1" t="n"/>
      <c r="AV837" s="1" t="n"/>
      <c r="AW837" s="1" t="n"/>
      <c r="AX837" s="1" t="n"/>
      <c r="AY837" s="1" t="n"/>
      <c r="AZ837" s="1" t="n"/>
      <c r="BA837" s="1" t="n"/>
    </row>
    <row r="838" ht="16.5" customHeight="1" s="220">
      <c r="A838" s="1" t="n"/>
      <c r="B838" s="1" t="n"/>
      <c r="C838" s="2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  <c r="AR838" s="1" t="n"/>
      <c r="AS838" s="1" t="n"/>
      <c r="AT838" s="1" t="n"/>
      <c r="AU838" s="1" t="n"/>
      <c r="AV838" s="1" t="n"/>
      <c r="AW838" s="1" t="n"/>
      <c r="AX838" s="1" t="n"/>
      <c r="AY838" s="1" t="n"/>
      <c r="AZ838" s="1" t="n"/>
      <c r="BA838" s="1" t="n"/>
    </row>
    <row r="839" ht="16.5" customHeight="1" s="220">
      <c r="A839" s="1" t="n"/>
      <c r="B839" s="1" t="n"/>
      <c r="C839" s="2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  <c r="AR839" s="1" t="n"/>
      <c r="AS839" s="1" t="n"/>
      <c r="AT839" s="1" t="n"/>
      <c r="AU839" s="1" t="n"/>
      <c r="AV839" s="1" t="n"/>
      <c r="AW839" s="1" t="n"/>
      <c r="AX839" s="1" t="n"/>
      <c r="AY839" s="1" t="n"/>
      <c r="AZ839" s="1" t="n"/>
      <c r="BA839" s="1" t="n"/>
    </row>
    <row r="840" ht="16.5" customHeight="1" s="220">
      <c r="A840" s="1" t="n"/>
      <c r="B840" s="1" t="n"/>
      <c r="C840" s="2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  <c r="AR840" s="1" t="n"/>
      <c r="AS840" s="1" t="n"/>
      <c r="AT840" s="1" t="n"/>
      <c r="AU840" s="1" t="n"/>
      <c r="AV840" s="1" t="n"/>
      <c r="AW840" s="1" t="n"/>
      <c r="AX840" s="1" t="n"/>
      <c r="AY840" s="1" t="n"/>
      <c r="AZ840" s="1" t="n"/>
      <c r="BA840" s="1" t="n"/>
    </row>
    <row r="841" ht="16.5" customHeight="1" s="220">
      <c r="A841" s="1" t="n"/>
      <c r="B841" s="1" t="n"/>
      <c r="C841" s="2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  <c r="AR841" s="1" t="n"/>
      <c r="AS841" s="1" t="n"/>
      <c r="AT841" s="1" t="n"/>
      <c r="AU841" s="1" t="n"/>
      <c r="AV841" s="1" t="n"/>
      <c r="AW841" s="1" t="n"/>
      <c r="AX841" s="1" t="n"/>
      <c r="AY841" s="1" t="n"/>
      <c r="AZ841" s="1" t="n"/>
      <c r="BA841" s="1" t="n"/>
    </row>
    <row r="842" ht="16.5" customHeight="1" s="220">
      <c r="A842" s="1" t="n"/>
      <c r="B842" s="1" t="n"/>
      <c r="C842" s="2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  <c r="AR842" s="1" t="n"/>
      <c r="AS842" s="1" t="n"/>
      <c r="AT842" s="1" t="n"/>
      <c r="AU842" s="1" t="n"/>
      <c r="AV842" s="1" t="n"/>
      <c r="AW842" s="1" t="n"/>
      <c r="AX842" s="1" t="n"/>
      <c r="AY842" s="1" t="n"/>
      <c r="AZ842" s="1" t="n"/>
      <c r="BA842" s="1" t="n"/>
    </row>
    <row r="843" ht="16.5" customHeight="1" s="220">
      <c r="A843" s="1" t="n"/>
      <c r="B843" s="1" t="n"/>
      <c r="C843" s="2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  <c r="AR843" s="1" t="n"/>
      <c r="AS843" s="1" t="n"/>
      <c r="AT843" s="1" t="n"/>
      <c r="AU843" s="1" t="n"/>
      <c r="AV843" s="1" t="n"/>
      <c r="AW843" s="1" t="n"/>
      <c r="AX843" s="1" t="n"/>
      <c r="AY843" s="1" t="n"/>
      <c r="AZ843" s="1" t="n"/>
      <c r="BA843" s="1" t="n"/>
    </row>
    <row r="844" ht="16.5" customHeight="1" s="220">
      <c r="A844" s="1" t="n"/>
      <c r="B844" s="1" t="n"/>
      <c r="C844" s="2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  <c r="AR844" s="1" t="n"/>
      <c r="AS844" s="1" t="n"/>
      <c r="AT844" s="1" t="n"/>
      <c r="AU844" s="1" t="n"/>
      <c r="AV844" s="1" t="n"/>
      <c r="AW844" s="1" t="n"/>
      <c r="AX844" s="1" t="n"/>
      <c r="AY844" s="1" t="n"/>
      <c r="AZ844" s="1" t="n"/>
      <c r="BA844" s="1" t="n"/>
    </row>
    <row r="845" ht="16.5" customHeight="1" s="220">
      <c r="A845" s="1" t="n"/>
      <c r="B845" s="1" t="n"/>
      <c r="C845" s="2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  <c r="AR845" s="1" t="n"/>
      <c r="AS845" s="1" t="n"/>
      <c r="AT845" s="1" t="n"/>
      <c r="AU845" s="1" t="n"/>
      <c r="AV845" s="1" t="n"/>
      <c r="AW845" s="1" t="n"/>
      <c r="AX845" s="1" t="n"/>
      <c r="AY845" s="1" t="n"/>
      <c r="AZ845" s="1" t="n"/>
      <c r="BA845" s="1" t="n"/>
    </row>
    <row r="846" ht="16.5" customHeight="1" s="220">
      <c r="A846" s="1" t="n"/>
      <c r="B846" s="1" t="n"/>
      <c r="C846" s="2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  <c r="AR846" s="1" t="n"/>
      <c r="AS846" s="1" t="n"/>
      <c r="AT846" s="1" t="n"/>
      <c r="AU846" s="1" t="n"/>
      <c r="AV846" s="1" t="n"/>
      <c r="AW846" s="1" t="n"/>
      <c r="AX846" s="1" t="n"/>
      <c r="AY846" s="1" t="n"/>
      <c r="AZ846" s="1" t="n"/>
      <c r="BA846" s="1" t="n"/>
    </row>
    <row r="847" ht="16.5" customHeight="1" s="220">
      <c r="A847" s="1" t="n"/>
      <c r="B847" s="1" t="n"/>
      <c r="C847" s="2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  <c r="AR847" s="1" t="n"/>
      <c r="AS847" s="1" t="n"/>
      <c r="AT847" s="1" t="n"/>
      <c r="AU847" s="1" t="n"/>
      <c r="AV847" s="1" t="n"/>
      <c r="AW847" s="1" t="n"/>
      <c r="AX847" s="1" t="n"/>
      <c r="AY847" s="1" t="n"/>
      <c r="AZ847" s="1" t="n"/>
      <c r="BA847" s="1" t="n"/>
    </row>
    <row r="848" ht="16.5" customHeight="1" s="220">
      <c r="A848" s="1" t="n"/>
      <c r="B848" s="1" t="n"/>
      <c r="C848" s="2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  <c r="AR848" s="1" t="n"/>
      <c r="AS848" s="1" t="n"/>
      <c r="AT848" s="1" t="n"/>
      <c r="AU848" s="1" t="n"/>
      <c r="AV848" s="1" t="n"/>
      <c r="AW848" s="1" t="n"/>
      <c r="AX848" s="1" t="n"/>
      <c r="AY848" s="1" t="n"/>
      <c r="AZ848" s="1" t="n"/>
      <c r="BA848" s="1" t="n"/>
    </row>
    <row r="849" ht="16.5" customHeight="1" s="220">
      <c r="A849" s="1" t="n"/>
      <c r="B849" s="1" t="n"/>
      <c r="C849" s="2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  <c r="AR849" s="1" t="n"/>
      <c r="AS849" s="1" t="n"/>
      <c r="AT849" s="1" t="n"/>
      <c r="AU849" s="1" t="n"/>
      <c r="AV849" s="1" t="n"/>
      <c r="AW849" s="1" t="n"/>
      <c r="AX849" s="1" t="n"/>
      <c r="AY849" s="1" t="n"/>
      <c r="AZ849" s="1" t="n"/>
      <c r="BA849" s="1" t="n"/>
    </row>
    <row r="850" ht="16.5" customHeight="1" s="220">
      <c r="A850" s="1" t="n"/>
      <c r="B850" s="1" t="n"/>
      <c r="C850" s="2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  <c r="AR850" s="1" t="n"/>
      <c r="AS850" s="1" t="n"/>
      <c r="AT850" s="1" t="n"/>
      <c r="AU850" s="1" t="n"/>
      <c r="AV850" s="1" t="n"/>
      <c r="AW850" s="1" t="n"/>
      <c r="AX850" s="1" t="n"/>
      <c r="AY850" s="1" t="n"/>
      <c r="AZ850" s="1" t="n"/>
      <c r="BA850" s="1" t="n"/>
    </row>
    <row r="851" ht="16.5" customHeight="1" s="220">
      <c r="A851" s="1" t="n"/>
      <c r="B851" s="1" t="n"/>
      <c r="C851" s="2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  <c r="AR851" s="1" t="n"/>
      <c r="AS851" s="1" t="n"/>
      <c r="AT851" s="1" t="n"/>
      <c r="AU851" s="1" t="n"/>
      <c r="AV851" s="1" t="n"/>
      <c r="AW851" s="1" t="n"/>
      <c r="AX851" s="1" t="n"/>
      <c r="AY851" s="1" t="n"/>
      <c r="AZ851" s="1" t="n"/>
      <c r="BA851" s="1" t="n"/>
    </row>
    <row r="852" ht="16.5" customHeight="1" s="220">
      <c r="A852" s="1" t="n"/>
      <c r="B852" s="1" t="n"/>
      <c r="C852" s="2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  <c r="AR852" s="1" t="n"/>
      <c r="AS852" s="1" t="n"/>
      <c r="AT852" s="1" t="n"/>
      <c r="AU852" s="1" t="n"/>
      <c r="AV852" s="1" t="n"/>
      <c r="AW852" s="1" t="n"/>
      <c r="AX852" s="1" t="n"/>
      <c r="AY852" s="1" t="n"/>
      <c r="AZ852" s="1" t="n"/>
      <c r="BA852" s="1" t="n"/>
    </row>
    <row r="853" ht="16.5" customHeight="1" s="220">
      <c r="A853" s="1" t="n"/>
      <c r="B853" s="1" t="n"/>
      <c r="C853" s="2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  <c r="AR853" s="1" t="n"/>
      <c r="AS853" s="1" t="n"/>
      <c r="AT853" s="1" t="n"/>
      <c r="AU853" s="1" t="n"/>
      <c r="AV853" s="1" t="n"/>
      <c r="AW853" s="1" t="n"/>
      <c r="AX853" s="1" t="n"/>
      <c r="AY853" s="1" t="n"/>
      <c r="AZ853" s="1" t="n"/>
      <c r="BA853" s="1" t="n"/>
    </row>
    <row r="854" ht="16.5" customHeight="1" s="220">
      <c r="A854" s="1" t="n"/>
      <c r="B854" s="1" t="n"/>
      <c r="C854" s="2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  <c r="AR854" s="1" t="n"/>
      <c r="AS854" s="1" t="n"/>
      <c r="AT854" s="1" t="n"/>
      <c r="AU854" s="1" t="n"/>
      <c r="AV854" s="1" t="n"/>
      <c r="AW854" s="1" t="n"/>
      <c r="AX854" s="1" t="n"/>
      <c r="AY854" s="1" t="n"/>
      <c r="AZ854" s="1" t="n"/>
      <c r="BA854" s="1" t="n"/>
    </row>
    <row r="855" ht="16.5" customHeight="1" s="220">
      <c r="A855" s="1" t="n"/>
      <c r="B855" s="1" t="n"/>
      <c r="C855" s="2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  <c r="AR855" s="1" t="n"/>
      <c r="AS855" s="1" t="n"/>
      <c r="AT855" s="1" t="n"/>
      <c r="AU855" s="1" t="n"/>
      <c r="AV855" s="1" t="n"/>
      <c r="AW855" s="1" t="n"/>
      <c r="AX855" s="1" t="n"/>
      <c r="AY855" s="1" t="n"/>
      <c r="AZ855" s="1" t="n"/>
      <c r="BA855" s="1" t="n"/>
    </row>
    <row r="856" ht="16.5" customHeight="1" s="220">
      <c r="A856" s="1" t="n"/>
      <c r="B856" s="1" t="n"/>
      <c r="C856" s="2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  <c r="AR856" s="1" t="n"/>
      <c r="AS856" s="1" t="n"/>
      <c r="AT856" s="1" t="n"/>
      <c r="AU856" s="1" t="n"/>
      <c r="AV856" s="1" t="n"/>
      <c r="AW856" s="1" t="n"/>
      <c r="AX856" s="1" t="n"/>
      <c r="AY856" s="1" t="n"/>
      <c r="AZ856" s="1" t="n"/>
      <c r="BA856" s="1" t="n"/>
    </row>
    <row r="857" ht="16.5" customHeight="1" s="220">
      <c r="A857" s="1" t="n"/>
      <c r="B857" s="1" t="n"/>
      <c r="C857" s="2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  <c r="AR857" s="1" t="n"/>
      <c r="AS857" s="1" t="n"/>
      <c r="AT857" s="1" t="n"/>
      <c r="AU857" s="1" t="n"/>
      <c r="AV857" s="1" t="n"/>
      <c r="AW857" s="1" t="n"/>
      <c r="AX857" s="1" t="n"/>
      <c r="AY857" s="1" t="n"/>
      <c r="AZ857" s="1" t="n"/>
      <c r="BA857" s="1" t="n"/>
    </row>
    <row r="858" ht="16.5" customHeight="1" s="220">
      <c r="A858" s="1" t="n"/>
      <c r="B858" s="1" t="n"/>
      <c r="C858" s="2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  <c r="AR858" s="1" t="n"/>
      <c r="AS858" s="1" t="n"/>
      <c r="AT858" s="1" t="n"/>
      <c r="AU858" s="1" t="n"/>
      <c r="AV858" s="1" t="n"/>
      <c r="AW858" s="1" t="n"/>
      <c r="AX858" s="1" t="n"/>
      <c r="AY858" s="1" t="n"/>
      <c r="AZ858" s="1" t="n"/>
      <c r="BA858" s="1" t="n"/>
    </row>
    <row r="859" ht="16.5" customHeight="1" s="220">
      <c r="A859" s="1" t="n"/>
      <c r="B859" s="1" t="n"/>
      <c r="C859" s="2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  <c r="AR859" s="1" t="n"/>
      <c r="AS859" s="1" t="n"/>
      <c r="AT859" s="1" t="n"/>
      <c r="AU859" s="1" t="n"/>
      <c r="AV859" s="1" t="n"/>
      <c r="AW859" s="1" t="n"/>
      <c r="AX859" s="1" t="n"/>
      <c r="AY859" s="1" t="n"/>
      <c r="AZ859" s="1" t="n"/>
      <c r="BA859" s="1" t="n"/>
    </row>
    <row r="860" ht="16.5" customHeight="1" s="220">
      <c r="A860" s="1" t="n"/>
      <c r="B860" s="1" t="n"/>
      <c r="C860" s="2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  <c r="AW860" s="1" t="n"/>
      <c r="AX860" s="1" t="n"/>
      <c r="AY860" s="1" t="n"/>
      <c r="AZ860" s="1" t="n"/>
      <c r="BA860" s="1" t="n"/>
    </row>
    <row r="861" ht="16.5" customHeight="1" s="220">
      <c r="A861" s="1" t="n"/>
      <c r="B861" s="1" t="n"/>
      <c r="C861" s="2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  <c r="AX861" s="1" t="n"/>
      <c r="AY861" s="1" t="n"/>
      <c r="AZ861" s="1" t="n"/>
      <c r="BA861" s="1" t="n"/>
    </row>
    <row r="862" ht="16.5" customHeight="1" s="220">
      <c r="A862" s="1" t="n"/>
      <c r="B862" s="1" t="n"/>
      <c r="C862" s="2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  <c r="AW862" s="1" t="n"/>
      <c r="AX862" s="1" t="n"/>
      <c r="AY862" s="1" t="n"/>
      <c r="AZ862" s="1" t="n"/>
      <c r="BA862" s="1" t="n"/>
    </row>
    <row r="863" ht="16.5" customHeight="1" s="220">
      <c r="A863" s="1" t="n"/>
      <c r="B863" s="1" t="n"/>
      <c r="C863" s="2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  <c r="AX863" s="1" t="n"/>
      <c r="AY863" s="1" t="n"/>
      <c r="AZ863" s="1" t="n"/>
      <c r="BA863" s="1" t="n"/>
    </row>
    <row r="864" ht="16.5" customHeight="1" s="220">
      <c r="A864" s="1" t="n"/>
      <c r="B864" s="1" t="n"/>
      <c r="C864" s="2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  <c r="AS864" s="1" t="n"/>
      <c r="AT864" s="1" t="n"/>
      <c r="AU864" s="1" t="n"/>
      <c r="AV864" s="1" t="n"/>
      <c r="AW864" s="1" t="n"/>
      <c r="AX864" s="1" t="n"/>
      <c r="AY864" s="1" t="n"/>
      <c r="AZ864" s="1" t="n"/>
      <c r="BA864" s="1" t="n"/>
    </row>
    <row r="865" ht="16.5" customHeight="1" s="220">
      <c r="A865" s="1" t="n"/>
      <c r="B865" s="1" t="n"/>
      <c r="C865" s="2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  <c r="AX865" s="1" t="n"/>
      <c r="AY865" s="1" t="n"/>
      <c r="AZ865" s="1" t="n"/>
      <c r="BA865" s="1" t="n"/>
    </row>
    <row r="866" ht="16.5" customHeight="1" s="220">
      <c r="A866" s="1" t="n"/>
      <c r="B866" s="1" t="n"/>
      <c r="C866" s="2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  <c r="AS866" s="1" t="n"/>
      <c r="AT866" s="1" t="n"/>
      <c r="AU866" s="1" t="n"/>
      <c r="AV866" s="1" t="n"/>
      <c r="AW866" s="1" t="n"/>
      <c r="AX866" s="1" t="n"/>
      <c r="AY866" s="1" t="n"/>
      <c r="AZ866" s="1" t="n"/>
      <c r="BA866" s="1" t="n"/>
    </row>
    <row r="867" ht="16.5" customHeight="1" s="220">
      <c r="A867" s="1" t="n"/>
      <c r="B867" s="1" t="n"/>
      <c r="C867" s="2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  <c r="AX867" s="1" t="n"/>
      <c r="AY867" s="1" t="n"/>
      <c r="AZ867" s="1" t="n"/>
      <c r="BA867" s="1" t="n"/>
    </row>
    <row r="868" ht="16.5" customHeight="1" s="220">
      <c r="A868" s="1" t="n"/>
      <c r="B868" s="1" t="n"/>
      <c r="C868" s="2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  <c r="AS868" s="1" t="n"/>
      <c r="AT868" s="1" t="n"/>
      <c r="AU868" s="1" t="n"/>
      <c r="AV868" s="1" t="n"/>
      <c r="AW868" s="1" t="n"/>
      <c r="AX868" s="1" t="n"/>
      <c r="AY868" s="1" t="n"/>
      <c r="AZ868" s="1" t="n"/>
      <c r="BA868" s="1" t="n"/>
    </row>
    <row r="869" ht="16.5" customHeight="1" s="220">
      <c r="A869" s="1" t="n"/>
      <c r="B869" s="1" t="n"/>
      <c r="C869" s="2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  <c r="AX869" s="1" t="n"/>
      <c r="AY869" s="1" t="n"/>
      <c r="AZ869" s="1" t="n"/>
      <c r="BA869" s="1" t="n"/>
    </row>
    <row r="870" ht="16.5" customHeight="1" s="220">
      <c r="A870" s="1" t="n"/>
      <c r="B870" s="1" t="n"/>
      <c r="C870" s="2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  <c r="AS870" s="1" t="n"/>
      <c r="AT870" s="1" t="n"/>
      <c r="AU870" s="1" t="n"/>
      <c r="AV870" s="1" t="n"/>
      <c r="AW870" s="1" t="n"/>
      <c r="AX870" s="1" t="n"/>
      <c r="AY870" s="1" t="n"/>
      <c r="AZ870" s="1" t="n"/>
      <c r="BA870" s="1" t="n"/>
    </row>
    <row r="871" ht="16.5" customHeight="1" s="220">
      <c r="A871" s="1" t="n"/>
      <c r="B871" s="1" t="n"/>
      <c r="C871" s="2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  <c r="AW871" s="1" t="n"/>
      <c r="AX871" s="1" t="n"/>
      <c r="AY871" s="1" t="n"/>
      <c r="AZ871" s="1" t="n"/>
      <c r="BA871" s="1" t="n"/>
    </row>
    <row r="872" ht="16.5" customHeight="1" s="220">
      <c r="A872" s="1" t="n"/>
      <c r="B872" s="1" t="n"/>
      <c r="C872" s="2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  <c r="AS872" s="1" t="n"/>
      <c r="AT872" s="1" t="n"/>
      <c r="AU872" s="1" t="n"/>
      <c r="AV872" s="1" t="n"/>
      <c r="AW872" s="1" t="n"/>
      <c r="AX872" s="1" t="n"/>
      <c r="AY872" s="1" t="n"/>
      <c r="AZ872" s="1" t="n"/>
      <c r="BA872" s="1" t="n"/>
    </row>
    <row r="873" ht="16.5" customHeight="1" s="220">
      <c r="A873" s="1" t="n"/>
      <c r="B873" s="1" t="n"/>
      <c r="C873" s="2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  <c r="AW873" s="1" t="n"/>
      <c r="AX873" s="1" t="n"/>
      <c r="AY873" s="1" t="n"/>
      <c r="AZ873" s="1" t="n"/>
      <c r="BA873" s="1" t="n"/>
    </row>
    <row r="874" ht="16.5" customHeight="1" s="220">
      <c r="A874" s="1" t="n"/>
      <c r="B874" s="1" t="n"/>
      <c r="C874" s="2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  <c r="AS874" s="1" t="n"/>
      <c r="AT874" s="1" t="n"/>
      <c r="AU874" s="1" t="n"/>
      <c r="AV874" s="1" t="n"/>
      <c r="AW874" s="1" t="n"/>
      <c r="AX874" s="1" t="n"/>
      <c r="AY874" s="1" t="n"/>
      <c r="AZ874" s="1" t="n"/>
      <c r="BA874" s="1" t="n"/>
    </row>
    <row r="875" ht="16.5" customHeight="1" s="220">
      <c r="A875" s="1" t="n"/>
      <c r="B875" s="1" t="n"/>
      <c r="C875" s="2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  <c r="AX875" s="1" t="n"/>
      <c r="AY875" s="1" t="n"/>
      <c r="AZ875" s="1" t="n"/>
      <c r="BA875" s="1" t="n"/>
    </row>
    <row r="876" ht="16.5" customHeight="1" s="220">
      <c r="A876" s="1" t="n"/>
      <c r="B876" s="1" t="n"/>
      <c r="C876" s="2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  <c r="AS876" s="1" t="n"/>
      <c r="AT876" s="1" t="n"/>
      <c r="AU876" s="1" t="n"/>
      <c r="AV876" s="1" t="n"/>
      <c r="AW876" s="1" t="n"/>
      <c r="AX876" s="1" t="n"/>
      <c r="AY876" s="1" t="n"/>
      <c r="AZ876" s="1" t="n"/>
      <c r="BA876" s="1" t="n"/>
    </row>
    <row r="877" ht="16.5" customHeight="1" s="220">
      <c r="A877" s="1" t="n"/>
      <c r="B877" s="1" t="n"/>
      <c r="C877" s="2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  <c r="AW877" s="1" t="n"/>
      <c r="AX877" s="1" t="n"/>
      <c r="AY877" s="1" t="n"/>
      <c r="AZ877" s="1" t="n"/>
      <c r="BA877" s="1" t="n"/>
    </row>
    <row r="878" ht="16.5" customHeight="1" s="220">
      <c r="A878" s="1" t="n"/>
      <c r="B878" s="1" t="n"/>
      <c r="C878" s="2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  <c r="AS878" s="1" t="n"/>
      <c r="AT878" s="1" t="n"/>
      <c r="AU878" s="1" t="n"/>
      <c r="AV878" s="1" t="n"/>
      <c r="AW878" s="1" t="n"/>
      <c r="AX878" s="1" t="n"/>
      <c r="AY878" s="1" t="n"/>
      <c r="AZ878" s="1" t="n"/>
      <c r="BA878" s="1" t="n"/>
    </row>
    <row r="879" ht="16.5" customHeight="1" s="220">
      <c r="A879" s="1" t="n"/>
      <c r="B879" s="1" t="n"/>
      <c r="C879" s="2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  <c r="AX879" s="1" t="n"/>
      <c r="AY879" s="1" t="n"/>
      <c r="AZ879" s="1" t="n"/>
      <c r="BA879" s="1" t="n"/>
    </row>
    <row r="880" ht="16.5" customHeight="1" s="220">
      <c r="A880" s="1" t="n"/>
      <c r="B880" s="1" t="n"/>
      <c r="C880" s="2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  <c r="AS880" s="1" t="n"/>
      <c r="AT880" s="1" t="n"/>
      <c r="AU880" s="1" t="n"/>
      <c r="AV880" s="1" t="n"/>
      <c r="AW880" s="1" t="n"/>
      <c r="AX880" s="1" t="n"/>
      <c r="AY880" s="1" t="n"/>
      <c r="AZ880" s="1" t="n"/>
      <c r="BA880" s="1" t="n"/>
    </row>
    <row r="881" ht="16.5" customHeight="1" s="220">
      <c r="A881" s="1" t="n"/>
      <c r="B881" s="1" t="n"/>
      <c r="C881" s="2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  <c r="AW881" s="1" t="n"/>
      <c r="AX881" s="1" t="n"/>
      <c r="AY881" s="1" t="n"/>
      <c r="AZ881" s="1" t="n"/>
      <c r="BA881" s="1" t="n"/>
    </row>
    <row r="882" ht="16.5" customHeight="1" s="220">
      <c r="A882" s="1" t="n"/>
      <c r="B882" s="1" t="n"/>
      <c r="C882" s="2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  <c r="AS882" s="1" t="n"/>
      <c r="AT882" s="1" t="n"/>
      <c r="AU882" s="1" t="n"/>
      <c r="AV882" s="1" t="n"/>
      <c r="AW882" s="1" t="n"/>
      <c r="AX882" s="1" t="n"/>
      <c r="AY882" s="1" t="n"/>
      <c r="AZ882" s="1" t="n"/>
      <c r="BA882" s="1" t="n"/>
    </row>
    <row r="883" ht="16.5" customHeight="1" s="220">
      <c r="A883" s="1" t="n"/>
      <c r="B883" s="1" t="n"/>
      <c r="C883" s="2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  <c r="AW883" s="1" t="n"/>
      <c r="AX883" s="1" t="n"/>
      <c r="AY883" s="1" t="n"/>
      <c r="AZ883" s="1" t="n"/>
      <c r="BA883" s="1" t="n"/>
    </row>
    <row r="884" ht="16.5" customHeight="1" s="220">
      <c r="A884" s="1" t="n"/>
      <c r="B884" s="1" t="n"/>
      <c r="C884" s="2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  <c r="AS884" s="1" t="n"/>
      <c r="AT884" s="1" t="n"/>
      <c r="AU884" s="1" t="n"/>
      <c r="AV884" s="1" t="n"/>
      <c r="AW884" s="1" t="n"/>
      <c r="AX884" s="1" t="n"/>
      <c r="AY884" s="1" t="n"/>
      <c r="AZ884" s="1" t="n"/>
      <c r="BA884" s="1" t="n"/>
    </row>
    <row r="885" ht="16.5" customHeight="1" s="220">
      <c r="A885" s="1" t="n"/>
      <c r="B885" s="1" t="n"/>
      <c r="C885" s="2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  <c r="AX885" s="1" t="n"/>
      <c r="AY885" s="1" t="n"/>
      <c r="AZ885" s="1" t="n"/>
      <c r="BA885" s="1" t="n"/>
    </row>
    <row r="886" ht="16.5" customHeight="1" s="220">
      <c r="A886" s="1" t="n"/>
      <c r="B886" s="1" t="n"/>
      <c r="C886" s="2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  <c r="AS886" s="1" t="n"/>
      <c r="AT886" s="1" t="n"/>
      <c r="AU886" s="1" t="n"/>
      <c r="AV886" s="1" t="n"/>
      <c r="AW886" s="1" t="n"/>
      <c r="AX886" s="1" t="n"/>
      <c r="AY886" s="1" t="n"/>
      <c r="AZ886" s="1" t="n"/>
      <c r="BA886" s="1" t="n"/>
    </row>
    <row r="887" ht="16.5" customHeight="1" s="220">
      <c r="A887" s="1" t="n"/>
      <c r="B887" s="1" t="n"/>
      <c r="C887" s="2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  <c r="AR887" s="1" t="n"/>
      <c r="AS887" s="1" t="n"/>
      <c r="AT887" s="1" t="n"/>
      <c r="AU887" s="1" t="n"/>
      <c r="AV887" s="1" t="n"/>
      <c r="AW887" s="1" t="n"/>
      <c r="AX887" s="1" t="n"/>
      <c r="AY887" s="1" t="n"/>
      <c r="AZ887" s="1" t="n"/>
      <c r="BA887" s="1" t="n"/>
    </row>
    <row r="888" ht="16.5" customHeight="1" s="220">
      <c r="A888" s="1" t="n"/>
      <c r="B888" s="1" t="n"/>
      <c r="C888" s="2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Q888" s="1" t="n"/>
      <c r="AR888" s="1" t="n"/>
      <c r="AS888" s="1" t="n"/>
      <c r="AT888" s="1" t="n"/>
      <c r="AU888" s="1" t="n"/>
      <c r="AV888" s="1" t="n"/>
      <c r="AW888" s="1" t="n"/>
      <c r="AX888" s="1" t="n"/>
      <c r="AY888" s="1" t="n"/>
      <c r="AZ888" s="1" t="n"/>
      <c r="BA888" s="1" t="n"/>
    </row>
    <row r="889" ht="16.5" customHeight="1" s="220">
      <c r="A889" s="1" t="n"/>
      <c r="B889" s="1" t="n"/>
      <c r="C889" s="2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  <c r="AR889" s="1" t="n"/>
      <c r="AS889" s="1" t="n"/>
      <c r="AT889" s="1" t="n"/>
      <c r="AU889" s="1" t="n"/>
      <c r="AV889" s="1" t="n"/>
      <c r="AW889" s="1" t="n"/>
      <c r="AX889" s="1" t="n"/>
      <c r="AY889" s="1" t="n"/>
      <c r="AZ889" s="1" t="n"/>
      <c r="BA889" s="1" t="n"/>
    </row>
    <row r="890" ht="16.5" customHeight="1" s="220">
      <c r="A890" s="1" t="n"/>
      <c r="B890" s="1" t="n"/>
      <c r="C890" s="2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Q890" s="1" t="n"/>
      <c r="AR890" s="1" t="n"/>
      <c r="AS890" s="1" t="n"/>
      <c r="AT890" s="1" t="n"/>
      <c r="AU890" s="1" t="n"/>
      <c r="AV890" s="1" t="n"/>
      <c r="AW890" s="1" t="n"/>
      <c r="AX890" s="1" t="n"/>
      <c r="AY890" s="1" t="n"/>
      <c r="AZ890" s="1" t="n"/>
      <c r="BA890" s="1" t="n"/>
    </row>
    <row r="891" ht="16.5" customHeight="1" s="220">
      <c r="A891" s="1" t="n"/>
      <c r="B891" s="1" t="n"/>
      <c r="C891" s="2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  <c r="AR891" s="1" t="n"/>
      <c r="AS891" s="1" t="n"/>
      <c r="AT891" s="1" t="n"/>
      <c r="AU891" s="1" t="n"/>
      <c r="AV891" s="1" t="n"/>
      <c r="AW891" s="1" t="n"/>
      <c r="AX891" s="1" t="n"/>
      <c r="AY891" s="1" t="n"/>
      <c r="AZ891" s="1" t="n"/>
      <c r="BA891" s="1" t="n"/>
    </row>
    <row r="892" ht="16.5" customHeight="1" s="220">
      <c r="A892" s="1" t="n"/>
      <c r="B892" s="1" t="n"/>
      <c r="C892" s="2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Q892" s="1" t="n"/>
      <c r="AR892" s="1" t="n"/>
      <c r="AS892" s="1" t="n"/>
      <c r="AT892" s="1" t="n"/>
      <c r="AU892" s="1" t="n"/>
      <c r="AV892" s="1" t="n"/>
      <c r="AW892" s="1" t="n"/>
      <c r="AX892" s="1" t="n"/>
      <c r="AY892" s="1" t="n"/>
      <c r="AZ892" s="1" t="n"/>
      <c r="BA892" s="1" t="n"/>
    </row>
    <row r="893" ht="16.5" customHeight="1" s="220">
      <c r="A893" s="1" t="n"/>
      <c r="B893" s="1" t="n"/>
      <c r="C893" s="2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  <c r="AR893" s="1" t="n"/>
      <c r="AS893" s="1" t="n"/>
      <c r="AT893" s="1" t="n"/>
      <c r="AU893" s="1" t="n"/>
      <c r="AV893" s="1" t="n"/>
      <c r="AW893" s="1" t="n"/>
      <c r="AX893" s="1" t="n"/>
      <c r="AY893" s="1" t="n"/>
      <c r="AZ893" s="1" t="n"/>
      <c r="BA893" s="1" t="n"/>
    </row>
    <row r="894" ht="16.5" customHeight="1" s="220">
      <c r="A894" s="1" t="n"/>
      <c r="B894" s="1" t="n"/>
      <c r="C894" s="2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Q894" s="1" t="n"/>
      <c r="AR894" s="1" t="n"/>
      <c r="AS894" s="1" t="n"/>
      <c r="AT894" s="1" t="n"/>
      <c r="AU894" s="1" t="n"/>
      <c r="AV894" s="1" t="n"/>
      <c r="AW894" s="1" t="n"/>
      <c r="AX894" s="1" t="n"/>
      <c r="AY894" s="1" t="n"/>
      <c r="AZ894" s="1" t="n"/>
      <c r="BA894" s="1" t="n"/>
    </row>
    <row r="895" ht="16.5" customHeight="1" s="220">
      <c r="A895" s="1" t="n"/>
      <c r="B895" s="1" t="n"/>
      <c r="C895" s="2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  <c r="AR895" s="1" t="n"/>
      <c r="AS895" s="1" t="n"/>
      <c r="AT895" s="1" t="n"/>
      <c r="AU895" s="1" t="n"/>
      <c r="AV895" s="1" t="n"/>
      <c r="AW895" s="1" t="n"/>
      <c r="AX895" s="1" t="n"/>
      <c r="AY895" s="1" t="n"/>
      <c r="AZ895" s="1" t="n"/>
      <c r="BA895" s="1" t="n"/>
    </row>
    <row r="896" ht="16.5" customHeight="1" s="220">
      <c r="A896" s="1" t="n"/>
      <c r="B896" s="1" t="n"/>
      <c r="C896" s="2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Q896" s="1" t="n"/>
      <c r="AR896" s="1" t="n"/>
      <c r="AS896" s="1" t="n"/>
      <c r="AT896" s="1" t="n"/>
      <c r="AU896" s="1" t="n"/>
      <c r="AV896" s="1" t="n"/>
      <c r="AW896" s="1" t="n"/>
      <c r="AX896" s="1" t="n"/>
      <c r="AY896" s="1" t="n"/>
      <c r="AZ896" s="1" t="n"/>
      <c r="BA896" s="1" t="n"/>
    </row>
    <row r="897" ht="16.5" customHeight="1" s="220">
      <c r="A897" s="1" t="n"/>
      <c r="B897" s="1" t="n"/>
      <c r="C897" s="2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  <c r="AR897" s="1" t="n"/>
      <c r="AS897" s="1" t="n"/>
      <c r="AT897" s="1" t="n"/>
      <c r="AU897" s="1" t="n"/>
      <c r="AV897" s="1" t="n"/>
      <c r="AW897" s="1" t="n"/>
      <c r="AX897" s="1" t="n"/>
      <c r="AY897" s="1" t="n"/>
      <c r="AZ897" s="1" t="n"/>
      <c r="BA897" s="1" t="n"/>
    </row>
    <row r="898" ht="16.5" customHeight="1" s="220">
      <c r="A898" s="1" t="n"/>
      <c r="B898" s="1" t="n"/>
      <c r="C898" s="2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Q898" s="1" t="n"/>
      <c r="AR898" s="1" t="n"/>
      <c r="AS898" s="1" t="n"/>
      <c r="AT898" s="1" t="n"/>
      <c r="AU898" s="1" t="n"/>
      <c r="AV898" s="1" t="n"/>
      <c r="AW898" s="1" t="n"/>
      <c r="AX898" s="1" t="n"/>
      <c r="AY898" s="1" t="n"/>
      <c r="AZ898" s="1" t="n"/>
      <c r="BA898" s="1" t="n"/>
    </row>
    <row r="899" ht="16.5" customHeight="1" s="220">
      <c r="A899" s="1" t="n"/>
      <c r="B899" s="1" t="n"/>
      <c r="C899" s="2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  <c r="AR899" s="1" t="n"/>
      <c r="AS899" s="1" t="n"/>
      <c r="AT899" s="1" t="n"/>
      <c r="AU899" s="1" t="n"/>
      <c r="AV899" s="1" t="n"/>
      <c r="AW899" s="1" t="n"/>
      <c r="AX899" s="1" t="n"/>
      <c r="AY899" s="1" t="n"/>
      <c r="AZ899" s="1" t="n"/>
      <c r="BA899" s="1" t="n"/>
    </row>
    <row r="900" ht="16.5" customHeight="1" s="220">
      <c r="A900" s="1" t="n"/>
      <c r="B900" s="1" t="n"/>
      <c r="C900" s="2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Q900" s="1" t="n"/>
      <c r="AR900" s="1" t="n"/>
      <c r="AS900" s="1" t="n"/>
      <c r="AT900" s="1" t="n"/>
      <c r="AU900" s="1" t="n"/>
      <c r="AV900" s="1" t="n"/>
      <c r="AW900" s="1" t="n"/>
      <c r="AX900" s="1" t="n"/>
      <c r="AY900" s="1" t="n"/>
      <c r="AZ900" s="1" t="n"/>
      <c r="BA900" s="1" t="n"/>
    </row>
    <row r="901" ht="16.5" customHeight="1" s="220">
      <c r="A901" s="1" t="n"/>
      <c r="B901" s="1" t="n"/>
      <c r="C901" s="2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  <c r="AR901" s="1" t="n"/>
      <c r="AS901" s="1" t="n"/>
      <c r="AT901" s="1" t="n"/>
      <c r="AU901" s="1" t="n"/>
      <c r="AV901" s="1" t="n"/>
      <c r="AW901" s="1" t="n"/>
      <c r="AX901" s="1" t="n"/>
      <c r="AY901" s="1" t="n"/>
      <c r="AZ901" s="1" t="n"/>
      <c r="BA901" s="1" t="n"/>
    </row>
    <row r="902" ht="16.5" customHeight="1" s="220">
      <c r="A902" s="1" t="n"/>
      <c r="B902" s="1" t="n"/>
      <c r="C902" s="2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Q902" s="1" t="n"/>
      <c r="AR902" s="1" t="n"/>
      <c r="AS902" s="1" t="n"/>
      <c r="AT902" s="1" t="n"/>
      <c r="AU902" s="1" t="n"/>
      <c r="AV902" s="1" t="n"/>
      <c r="AW902" s="1" t="n"/>
      <c r="AX902" s="1" t="n"/>
      <c r="AY902" s="1" t="n"/>
      <c r="AZ902" s="1" t="n"/>
      <c r="BA902" s="1" t="n"/>
    </row>
    <row r="903" ht="16.5" customHeight="1" s="220">
      <c r="A903" s="1" t="n"/>
      <c r="B903" s="1" t="n"/>
      <c r="C903" s="2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  <c r="AR903" s="1" t="n"/>
      <c r="AS903" s="1" t="n"/>
      <c r="AT903" s="1" t="n"/>
      <c r="AU903" s="1" t="n"/>
      <c r="AV903" s="1" t="n"/>
      <c r="AW903" s="1" t="n"/>
      <c r="AX903" s="1" t="n"/>
      <c r="AY903" s="1" t="n"/>
      <c r="AZ903" s="1" t="n"/>
      <c r="BA903" s="1" t="n"/>
    </row>
    <row r="904" ht="16.5" customHeight="1" s="220">
      <c r="A904" s="1" t="n"/>
      <c r="B904" s="1" t="n"/>
      <c r="C904" s="2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Q904" s="1" t="n"/>
      <c r="AR904" s="1" t="n"/>
      <c r="AS904" s="1" t="n"/>
      <c r="AT904" s="1" t="n"/>
      <c r="AU904" s="1" t="n"/>
      <c r="AV904" s="1" t="n"/>
      <c r="AW904" s="1" t="n"/>
      <c r="AX904" s="1" t="n"/>
      <c r="AY904" s="1" t="n"/>
      <c r="AZ904" s="1" t="n"/>
      <c r="BA904" s="1" t="n"/>
    </row>
    <row r="905" ht="16.5" customHeight="1" s="220">
      <c r="A905" s="1" t="n"/>
      <c r="B905" s="1" t="n"/>
      <c r="C905" s="2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  <c r="AR905" s="1" t="n"/>
      <c r="AS905" s="1" t="n"/>
      <c r="AT905" s="1" t="n"/>
      <c r="AU905" s="1" t="n"/>
      <c r="AV905" s="1" t="n"/>
      <c r="AW905" s="1" t="n"/>
      <c r="AX905" s="1" t="n"/>
      <c r="AY905" s="1" t="n"/>
      <c r="AZ905" s="1" t="n"/>
      <c r="BA905" s="1" t="n"/>
    </row>
    <row r="906" ht="16.5" customHeight="1" s="220">
      <c r="A906" s="1" t="n"/>
      <c r="B906" s="1" t="n"/>
      <c r="C906" s="2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Q906" s="1" t="n"/>
      <c r="AR906" s="1" t="n"/>
      <c r="AS906" s="1" t="n"/>
      <c r="AT906" s="1" t="n"/>
      <c r="AU906" s="1" t="n"/>
      <c r="AV906" s="1" t="n"/>
      <c r="AW906" s="1" t="n"/>
      <c r="AX906" s="1" t="n"/>
      <c r="AY906" s="1" t="n"/>
      <c r="AZ906" s="1" t="n"/>
      <c r="BA906" s="1" t="n"/>
    </row>
    <row r="907" ht="16.5" customHeight="1" s="220">
      <c r="A907" s="1" t="n"/>
      <c r="B907" s="1" t="n"/>
      <c r="C907" s="2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  <c r="AR907" s="1" t="n"/>
      <c r="AS907" s="1" t="n"/>
      <c r="AT907" s="1" t="n"/>
      <c r="AU907" s="1" t="n"/>
      <c r="AV907" s="1" t="n"/>
      <c r="AW907" s="1" t="n"/>
      <c r="AX907" s="1" t="n"/>
      <c r="AY907" s="1" t="n"/>
      <c r="AZ907" s="1" t="n"/>
      <c r="BA907" s="1" t="n"/>
    </row>
    <row r="908" ht="16.5" customHeight="1" s="220">
      <c r="A908" s="1" t="n"/>
      <c r="B908" s="1" t="n"/>
      <c r="C908" s="2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Q908" s="1" t="n"/>
      <c r="AR908" s="1" t="n"/>
      <c r="AS908" s="1" t="n"/>
      <c r="AT908" s="1" t="n"/>
      <c r="AU908" s="1" t="n"/>
      <c r="AV908" s="1" t="n"/>
      <c r="AW908" s="1" t="n"/>
      <c r="AX908" s="1" t="n"/>
      <c r="AY908" s="1" t="n"/>
      <c r="AZ908" s="1" t="n"/>
      <c r="BA908" s="1" t="n"/>
    </row>
    <row r="909" ht="16.5" customHeight="1" s="220">
      <c r="A909" s="1" t="n"/>
      <c r="B909" s="1" t="n"/>
      <c r="C909" s="2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  <c r="AR909" s="1" t="n"/>
      <c r="AS909" s="1" t="n"/>
      <c r="AT909" s="1" t="n"/>
      <c r="AU909" s="1" t="n"/>
      <c r="AV909" s="1" t="n"/>
      <c r="AW909" s="1" t="n"/>
      <c r="AX909" s="1" t="n"/>
      <c r="AY909" s="1" t="n"/>
      <c r="AZ909" s="1" t="n"/>
      <c r="BA909" s="1" t="n"/>
    </row>
    <row r="910" ht="16.5" customHeight="1" s="220">
      <c r="A910" s="1" t="n"/>
      <c r="B910" s="1" t="n"/>
      <c r="C910" s="2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Q910" s="1" t="n"/>
      <c r="AR910" s="1" t="n"/>
      <c r="AS910" s="1" t="n"/>
      <c r="AT910" s="1" t="n"/>
      <c r="AU910" s="1" t="n"/>
      <c r="AV910" s="1" t="n"/>
      <c r="AW910" s="1" t="n"/>
      <c r="AX910" s="1" t="n"/>
      <c r="AY910" s="1" t="n"/>
      <c r="AZ910" s="1" t="n"/>
      <c r="BA910" s="1" t="n"/>
    </row>
    <row r="911" ht="16.5" customHeight="1" s="220">
      <c r="A911" s="1" t="n"/>
      <c r="B911" s="1" t="n"/>
      <c r="C911" s="2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  <c r="AR911" s="1" t="n"/>
      <c r="AS911" s="1" t="n"/>
      <c r="AT911" s="1" t="n"/>
      <c r="AU911" s="1" t="n"/>
      <c r="AV911" s="1" t="n"/>
      <c r="AW911" s="1" t="n"/>
      <c r="AX911" s="1" t="n"/>
      <c r="AY911" s="1" t="n"/>
      <c r="AZ911" s="1" t="n"/>
      <c r="BA911" s="1" t="n"/>
    </row>
    <row r="912" ht="16.5" customHeight="1" s="220">
      <c r="A912" s="1" t="n"/>
      <c r="B912" s="1" t="n"/>
      <c r="C912" s="2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Q912" s="1" t="n"/>
      <c r="AR912" s="1" t="n"/>
      <c r="AS912" s="1" t="n"/>
      <c r="AT912" s="1" t="n"/>
      <c r="AU912" s="1" t="n"/>
      <c r="AV912" s="1" t="n"/>
      <c r="AW912" s="1" t="n"/>
      <c r="AX912" s="1" t="n"/>
      <c r="AY912" s="1" t="n"/>
      <c r="AZ912" s="1" t="n"/>
      <c r="BA912" s="1" t="n"/>
    </row>
    <row r="913" ht="16.5" customHeight="1" s="220">
      <c r="A913" s="1" t="n"/>
      <c r="B913" s="1" t="n"/>
      <c r="C913" s="2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  <c r="AR913" s="1" t="n"/>
      <c r="AS913" s="1" t="n"/>
      <c r="AT913" s="1" t="n"/>
      <c r="AU913" s="1" t="n"/>
      <c r="AV913" s="1" t="n"/>
      <c r="AW913" s="1" t="n"/>
      <c r="AX913" s="1" t="n"/>
      <c r="AY913" s="1" t="n"/>
      <c r="AZ913" s="1" t="n"/>
      <c r="BA913" s="1" t="n"/>
    </row>
    <row r="914" ht="16.5" customHeight="1" s="220">
      <c r="A914" s="1" t="n"/>
      <c r="B914" s="1" t="n"/>
      <c r="C914" s="2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Q914" s="1" t="n"/>
      <c r="AR914" s="1" t="n"/>
      <c r="AS914" s="1" t="n"/>
      <c r="AT914" s="1" t="n"/>
      <c r="AU914" s="1" t="n"/>
      <c r="AV914" s="1" t="n"/>
      <c r="AW914" s="1" t="n"/>
      <c r="AX914" s="1" t="n"/>
      <c r="AY914" s="1" t="n"/>
      <c r="AZ914" s="1" t="n"/>
      <c r="BA914" s="1" t="n"/>
    </row>
    <row r="915" ht="16.5" customHeight="1" s="220">
      <c r="A915" s="1" t="n"/>
      <c r="B915" s="1" t="n"/>
      <c r="C915" s="2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  <c r="AR915" s="1" t="n"/>
      <c r="AS915" s="1" t="n"/>
      <c r="AT915" s="1" t="n"/>
      <c r="AU915" s="1" t="n"/>
      <c r="AV915" s="1" t="n"/>
      <c r="AW915" s="1" t="n"/>
      <c r="AX915" s="1" t="n"/>
      <c r="AY915" s="1" t="n"/>
      <c r="AZ915" s="1" t="n"/>
      <c r="BA915" s="1" t="n"/>
    </row>
    <row r="916" ht="16.5" customHeight="1" s="220">
      <c r="A916" s="1" t="n"/>
      <c r="B916" s="1" t="n"/>
      <c r="C916" s="2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Q916" s="1" t="n"/>
      <c r="AR916" s="1" t="n"/>
      <c r="AS916" s="1" t="n"/>
      <c r="AT916" s="1" t="n"/>
      <c r="AU916" s="1" t="n"/>
      <c r="AV916" s="1" t="n"/>
      <c r="AW916" s="1" t="n"/>
      <c r="AX916" s="1" t="n"/>
      <c r="AY916" s="1" t="n"/>
      <c r="AZ916" s="1" t="n"/>
      <c r="BA916" s="1" t="n"/>
    </row>
    <row r="917" ht="16.5" customHeight="1" s="220">
      <c r="A917" s="1" t="n"/>
      <c r="B917" s="1" t="n"/>
      <c r="C917" s="2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  <c r="AR917" s="1" t="n"/>
      <c r="AS917" s="1" t="n"/>
      <c r="AT917" s="1" t="n"/>
      <c r="AU917" s="1" t="n"/>
      <c r="AV917" s="1" t="n"/>
      <c r="AW917" s="1" t="n"/>
      <c r="AX917" s="1" t="n"/>
      <c r="AY917" s="1" t="n"/>
      <c r="AZ917" s="1" t="n"/>
      <c r="BA917" s="1" t="n"/>
    </row>
    <row r="918" ht="16.5" customHeight="1" s="220">
      <c r="A918" s="1" t="n"/>
      <c r="B918" s="1" t="n"/>
      <c r="C918" s="2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Q918" s="1" t="n"/>
      <c r="AR918" s="1" t="n"/>
      <c r="AS918" s="1" t="n"/>
      <c r="AT918" s="1" t="n"/>
      <c r="AU918" s="1" t="n"/>
      <c r="AV918" s="1" t="n"/>
      <c r="AW918" s="1" t="n"/>
      <c r="AX918" s="1" t="n"/>
      <c r="AY918" s="1" t="n"/>
      <c r="AZ918" s="1" t="n"/>
      <c r="BA918" s="1" t="n"/>
    </row>
    <row r="919" ht="16.5" customHeight="1" s="220">
      <c r="A919" s="1" t="n"/>
      <c r="B919" s="1" t="n"/>
      <c r="C919" s="2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  <c r="AR919" s="1" t="n"/>
      <c r="AS919" s="1" t="n"/>
      <c r="AT919" s="1" t="n"/>
      <c r="AU919" s="1" t="n"/>
      <c r="AV919" s="1" t="n"/>
      <c r="AW919" s="1" t="n"/>
      <c r="AX919" s="1" t="n"/>
      <c r="AY919" s="1" t="n"/>
      <c r="AZ919" s="1" t="n"/>
      <c r="BA919" s="1" t="n"/>
    </row>
    <row r="920" ht="16.5" customHeight="1" s="220">
      <c r="A920" s="1" t="n"/>
      <c r="B920" s="1" t="n"/>
      <c r="C920" s="2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Q920" s="1" t="n"/>
      <c r="AR920" s="1" t="n"/>
      <c r="AS920" s="1" t="n"/>
      <c r="AT920" s="1" t="n"/>
      <c r="AU920" s="1" t="n"/>
      <c r="AV920" s="1" t="n"/>
      <c r="AW920" s="1" t="n"/>
      <c r="AX920" s="1" t="n"/>
      <c r="AY920" s="1" t="n"/>
      <c r="AZ920" s="1" t="n"/>
      <c r="BA920" s="1" t="n"/>
    </row>
    <row r="921" ht="16.5" customHeight="1" s="220">
      <c r="A921" s="1" t="n"/>
      <c r="B921" s="1" t="n"/>
      <c r="C921" s="2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  <c r="AR921" s="1" t="n"/>
      <c r="AS921" s="1" t="n"/>
      <c r="AT921" s="1" t="n"/>
      <c r="AU921" s="1" t="n"/>
      <c r="AV921" s="1" t="n"/>
      <c r="AW921" s="1" t="n"/>
      <c r="AX921" s="1" t="n"/>
      <c r="AY921" s="1" t="n"/>
      <c r="AZ921" s="1" t="n"/>
      <c r="BA921" s="1" t="n"/>
    </row>
    <row r="922" ht="16.5" customHeight="1" s="220">
      <c r="A922" s="1" t="n"/>
      <c r="B922" s="1" t="n"/>
      <c r="C922" s="2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Q922" s="1" t="n"/>
      <c r="AR922" s="1" t="n"/>
      <c r="AS922" s="1" t="n"/>
      <c r="AT922" s="1" t="n"/>
      <c r="AU922" s="1" t="n"/>
      <c r="AV922" s="1" t="n"/>
      <c r="AW922" s="1" t="n"/>
      <c r="AX922" s="1" t="n"/>
      <c r="AY922" s="1" t="n"/>
      <c r="AZ922" s="1" t="n"/>
      <c r="BA922" s="1" t="n"/>
    </row>
    <row r="923" ht="16.5" customHeight="1" s="220">
      <c r="A923" s="1" t="n"/>
      <c r="B923" s="1" t="n"/>
      <c r="C923" s="2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  <c r="AR923" s="1" t="n"/>
      <c r="AS923" s="1" t="n"/>
      <c r="AT923" s="1" t="n"/>
      <c r="AU923" s="1" t="n"/>
      <c r="AV923" s="1" t="n"/>
      <c r="AW923" s="1" t="n"/>
      <c r="AX923" s="1" t="n"/>
      <c r="AY923" s="1" t="n"/>
      <c r="AZ923" s="1" t="n"/>
      <c r="BA923" s="1" t="n"/>
    </row>
    <row r="924" ht="16.5" customHeight="1" s="220">
      <c r="A924" s="1" t="n"/>
      <c r="B924" s="1" t="n"/>
      <c r="C924" s="2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Q924" s="1" t="n"/>
      <c r="AR924" s="1" t="n"/>
      <c r="AS924" s="1" t="n"/>
      <c r="AT924" s="1" t="n"/>
      <c r="AU924" s="1" t="n"/>
      <c r="AV924" s="1" t="n"/>
      <c r="AW924" s="1" t="n"/>
      <c r="AX924" s="1" t="n"/>
      <c r="AY924" s="1" t="n"/>
      <c r="AZ924" s="1" t="n"/>
      <c r="BA924" s="1" t="n"/>
    </row>
    <row r="925" ht="16.5" customHeight="1" s="220">
      <c r="A925" s="1" t="n"/>
      <c r="B925" s="1" t="n"/>
      <c r="C925" s="2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  <c r="AR925" s="1" t="n"/>
      <c r="AS925" s="1" t="n"/>
      <c r="AT925" s="1" t="n"/>
      <c r="AU925" s="1" t="n"/>
      <c r="AV925" s="1" t="n"/>
      <c r="AW925" s="1" t="n"/>
      <c r="AX925" s="1" t="n"/>
      <c r="AY925" s="1" t="n"/>
      <c r="AZ925" s="1" t="n"/>
      <c r="BA925" s="1" t="n"/>
    </row>
    <row r="926" ht="16.5" customHeight="1" s="220">
      <c r="A926" s="1" t="n"/>
      <c r="B926" s="1" t="n"/>
      <c r="C926" s="2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Q926" s="1" t="n"/>
      <c r="AR926" s="1" t="n"/>
      <c r="AS926" s="1" t="n"/>
      <c r="AT926" s="1" t="n"/>
      <c r="AU926" s="1" t="n"/>
      <c r="AV926" s="1" t="n"/>
      <c r="AW926" s="1" t="n"/>
      <c r="AX926" s="1" t="n"/>
      <c r="AY926" s="1" t="n"/>
      <c r="AZ926" s="1" t="n"/>
      <c r="BA926" s="1" t="n"/>
    </row>
    <row r="927" ht="16.5" customHeight="1" s="220">
      <c r="A927" s="1" t="n"/>
      <c r="B927" s="1" t="n"/>
      <c r="C927" s="2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  <c r="AR927" s="1" t="n"/>
      <c r="AS927" s="1" t="n"/>
      <c r="AT927" s="1" t="n"/>
      <c r="AU927" s="1" t="n"/>
      <c r="AV927" s="1" t="n"/>
      <c r="AW927" s="1" t="n"/>
      <c r="AX927" s="1" t="n"/>
      <c r="AY927" s="1" t="n"/>
      <c r="AZ927" s="1" t="n"/>
      <c r="BA927" s="1" t="n"/>
    </row>
    <row r="928" ht="16.5" customHeight="1" s="220">
      <c r="A928" s="1" t="n"/>
      <c r="B928" s="1" t="n"/>
      <c r="C928" s="2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Q928" s="1" t="n"/>
      <c r="AR928" s="1" t="n"/>
      <c r="AS928" s="1" t="n"/>
      <c r="AT928" s="1" t="n"/>
      <c r="AU928" s="1" t="n"/>
      <c r="AV928" s="1" t="n"/>
      <c r="AW928" s="1" t="n"/>
      <c r="AX928" s="1" t="n"/>
      <c r="AY928" s="1" t="n"/>
      <c r="AZ928" s="1" t="n"/>
      <c r="BA928" s="1" t="n"/>
    </row>
    <row r="929" ht="16.5" customHeight="1" s="220">
      <c r="A929" s="1" t="n"/>
      <c r="B929" s="1" t="n"/>
      <c r="C929" s="2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  <c r="AR929" s="1" t="n"/>
      <c r="AS929" s="1" t="n"/>
      <c r="AT929" s="1" t="n"/>
      <c r="AU929" s="1" t="n"/>
      <c r="AV929" s="1" t="n"/>
      <c r="AW929" s="1" t="n"/>
      <c r="AX929" s="1" t="n"/>
      <c r="AY929" s="1" t="n"/>
      <c r="AZ929" s="1" t="n"/>
      <c r="BA929" s="1" t="n"/>
    </row>
    <row r="930" ht="16.5" customHeight="1" s="220">
      <c r="A930" s="1" t="n"/>
      <c r="B930" s="1" t="n"/>
      <c r="C930" s="2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Q930" s="1" t="n"/>
      <c r="AR930" s="1" t="n"/>
      <c r="AS930" s="1" t="n"/>
      <c r="AT930" s="1" t="n"/>
      <c r="AU930" s="1" t="n"/>
      <c r="AV930" s="1" t="n"/>
      <c r="AW930" s="1" t="n"/>
      <c r="AX930" s="1" t="n"/>
      <c r="AY930" s="1" t="n"/>
      <c r="AZ930" s="1" t="n"/>
      <c r="BA930" s="1" t="n"/>
    </row>
    <row r="931" ht="16.5" customHeight="1" s="220">
      <c r="A931" s="1" t="n"/>
      <c r="B931" s="1" t="n"/>
      <c r="C931" s="2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  <c r="AR931" s="1" t="n"/>
      <c r="AS931" s="1" t="n"/>
      <c r="AT931" s="1" t="n"/>
      <c r="AU931" s="1" t="n"/>
      <c r="AV931" s="1" t="n"/>
      <c r="AW931" s="1" t="n"/>
      <c r="AX931" s="1" t="n"/>
      <c r="AY931" s="1" t="n"/>
      <c r="AZ931" s="1" t="n"/>
      <c r="BA931" s="1" t="n"/>
    </row>
    <row r="932" ht="16.5" customHeight="1" s="220">
      <c r="A932" s="1" t="n"/>
      <c r="B932" s="1" t="n"/>
      <c r="C932" s="2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Q932" s="1" t="n"/>
      <c r="AR932" s="1" t="n"/>
      <c r="AS932" s="1" t="n"/>
      <c r="AT932" s="1" t="n"/>
      <c r="AU932" s="1" t="n"/>
      <c r="AV932" s="1" t="n"/>
      <c r="AW932" s="1" t="n"/>
      <c r="AX932" s="1" t="n"/>
      <c r="AY932" s="1" t="n"/>
      <c r="AZ932" s="1" t="n"/>
      <c r="BA932" s="1" t="n"/>
    </row>
    <row r="933" ht="16.5" customHeight="1" s="220">
      <c r="A933" s="1" t="n"/>
      <c r="B933" s="1" t="n"/>
      <c r="C933" s="2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  <c r="AR933" s="1" t="n"/>
      <c r="AS933" s="1" t="n"/>
      <c r="AT933" s="1" t="n"/>
      <c r="AU933" s="1" t="n"/>
      <c r="AV933" s="1" t="n"/>
      <c r="AW933" s="1" t="n"/>
      <c r="AX933" s="1" t="n"/>
      <c r="AY933" s="1" t="n"/>
      <c r="AZ933" s="1" t="n"/>
      <c r="BA933" s="1" t="n"/>
    </row>
    <row r="934" ht="16.5" customHeight="1" s="220">
      <c r="A934" s="1" t="n"/>
      <c r="B934" s="1" t="n"/>
      <c r="C934" s="2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Q934" s="1" t="n"/>
      <c r="AR934" s="1" t="n"/>
      <c r="AS934" s="1" t="n"/>
      <c r="AT934" s="1" t="n"/>
      <c r="AU934" s="1" t="n"/>
      <c r="AV934" s="1" t="n"/>
      <c r="AW934" s="1" t="n"/>
      <c r="AX934" s="1" t="n"/>
      <c r="AY934" s="1" t="n"/>
      <c r="AZ934" s="1" t="n"/>
      <c r="BA934" s="1" t="n"/>
    </row>
    <row r="935" ht="16.5" customHeight="1" s="220">
      <c r="A935" s="1" t="n"/>
      <c r="B935" s="1" t="n"/>
      <c r="C935" s="2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  <c r="AR935" s="1" t="n"/>
      <c r="AS935" s="1" t="n"/>
      <c r="AT935" s="1" t="n"/>
      <c r="AU935" s="1" t="n"/>
      <c r="AV935" s="1" t="n"/>
      <c r="AW935" s="1" t="n"/>
      <c r="AX935" s="1" t="n"/>
      <c r="AY935" s="1" t="n"/>
      <c r="AZ935" s="1" t="n"/>
      <c r="BA935" s="1" t="n"/>
    </row>
    <row r="936" ht="16.5" customHeight="1" s="220">
      <c r="A936" s="1" t="n"/>
      <c r="B936" s="1" t="n"/>
      <c r="C936" s="2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Q936" s="1" t="n"/>
      <c r="AR936" s="1" t="n"/>
      <c r="AS936" s="1" t="n"/>
      <c r="AT936" s="1" t="n"/>
      <c r="AU936" s="1" t="n"/>
      <c r="AV936" s="1" t="n"/>
      <c r="AW936" s="1" t="n"/>
      <c r="AX936" s="1" t="n"/>
      <c r="AY936" s="1" t="n"/>
      <c r="AZ936" s="1" t="n"/>
      <c r="BA936" s="1" t="n"/>
    </row>
    <row r="937" ht="16.5" customHeight="1" s="220">
      <c r="A937" s="1" t="n"/>
      <c r="B937" s="1" t="n"/>
      <c r="C937" s="2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  <c r="AR937" s="1" t="n"/>
      <c r="AS937" s="1" t="n"/>
      <c r="AT937" s="1" t="n"/>
      <c r="AU937" s="1" t="n"/>
      <c r="AV937" s="1" t="n"/>
      <c r="AW937" s="1" t="n"/>
      <c r="AX937" s="1" t="n"/>
      <c r="AY937" s="1" t="n"/>
      <c r="AZ937" s="1" t="n"/>
      <c r="BA937" s="1" t="n"/>
    </row>
    <row r="938" ht="16.5" customHeight="1" s="220">
      <c r="A938" s="1" t="n"/>
      <c r="B938" s="1" t="n"/>
      <c r="C938" s="2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Q938" s="1" t="n"/>
      <c r="AR938" s="1" t="n"/>
      <c r="AS938" s="1" t="n"/>
      <c r="AT938" s="1" t="n"/>
      <c r="AU938" s="1" t="n"/>
      <c r="AV938" s="1" t="n"/>
      <c r="AW938" s="1" t="n"/>
      <c r="AX938" s="1" t="n"/>
      <c r="AY938" s="1" t="n"/>
      <c r="AZ938" s="1" t="n"/>
      <c r="BA938" s="1" t="n"/>
    </row>
    <row r="939" ht="16.5" customHeight="1" s="220">
      <c r="A939" s="1" t="n"/>
      <c r="B939" s="1" t="n"/>
      <c r="C939" s="2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  <c r="AR939" s="1" t="n"/>
      <c r="AS939" s="1" t="n"/>
      <c r="AT939" s="1" t="n"/>
      <c r="AU939" s="1" t="n"/>
      <c r="AV939" s="1" t="n"/>
      <c r="AW939" s="1" t="n"/>
      <c r="AX939" s="1" t="n"/>
      <c r="AY939" s="1" t="n"/>
      <c r="AZ939" s="1" t="n"/>
      <c r="BA939" s="1" t="n"/>
    </row>
    <row r="940" ht="16.5" customHeight="1" s="220">
      <c r="A940" s="1" t="n"/>
      <c r="B940" s="1" t="n"/>
      <c r="C940" s="2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Q940" s="1" t="n"/>
      <c r="AR940" s="1" t="n"/>
      <c r="AS940" s="1" t="n"/>
      <c r="AT940" s="1" t="n"/>
      <c r="AU940" s="1" t="n"/>
      <c r="AV940" s="1" t="n"/>
      <c r="AW940" s="1" t="n"/>
      <c r="AX940" s="1" t="n"/>
      <c r="AY940" s="1" t="n"/>
      <c r="AZ940" s="1" t="n"/>
      <c r="BA940" s="1" t="n"/>
    </row>
    <row r="941" ht="16.5" customHeight="1" s="220">
      <c r="A941" s="1" t="n"/>
      <c r="B941" s="1" t="n"/>
      <c r="C941" s="2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  <c r="AR941" s="1" t="n"/>
      <c r="AS941" s="1" t="n"/>
      <c r="AT941" s="1" t="n"/>
      <c r="AU941" s="1" t="n"/>
      <c r="AV941" s="1" t="n"/>
      <c r="AW941" s="1" t="n"/>
      <c r="AX941" s="1" t="n"/>
      <c r="AY941" s="1" t="n"/>
      <c r="AZ941" s="1" t="n"/>
      <c r="BA941" s="1" t="n"/>
    </row>
    <row r="942" ht="16.5" customHeight="1" s="220">
      <c r="A942" s="1" t="n"/>
      <c r="B942" s="1" t="n"/>
      <c r="C942" s="2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Q942" s="1" t="n"/>
      <c r="AR942" s="1" t="n"/>
      <c r="AS942" s="1" t="n"/>
      <c r="AT942" s="1" t="n"/>
      <c r="AU942" s="1" t="n"/>
      <c r="AV942" s="1" t="n"/>
      <c r="AW942" s="1" t="n"/>
      <c r="AX942" s="1" t="n"/>
      <c r="AY942" s="1" t="n"/>
      <c r="AZ942" s="1" t="n"/>
      <c r="BA942" s="1" t="n"/>
    </row>
    <row r="943" ht="16.5" customHeight="1" s="220">
      <c r="A943" s="1" t="n"/>
      <c r="B943" s="1" t="n"/>
      <c r="C943" s="2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  <c r="AR943" s="1" t="n"/>
      <c r="AS943" s="1" t="n"/>
      <c r="AT943" s="1" t="n"/>
      <c r="AU943" s="1" t="n"/>
      <c r="AV943" s="1" t="n"/>
      <c r="AW943" s="1" t="n"/>
      <c r="AX943" s="1" t="n"/>
      <c r="AY943" s="1" t="n"/>
      <c r="AZ943" s="1" t="n"/>
      <c r="BA943" s="1" t="n"/>
    </row>
    <row r="944" ht="16.5" customHeight="1" s="220">
      <c r="A944" s="1" t="n"/>
      <c r="B944" s="1" t="n"/>
      <c r="C944" s="2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Q944" s="1" t="n"/>
      <c r="AR944" s="1" t="n"/>
      <c r="AS944" s="1" t="n"/>
      <c r="AT944" s="1" t="n"/>
      <c r="AU944" s="1" t="n"/>
      <c r="AV944" s="1" t="n"/>
      <c r="AW944" s="1" t="n"/>
      <c r="AX944" s="1" t="n"/>
      <c r="AY944" s="1" t="n"/>
      <c r="AZ944" s="1" t="n"/>
      <c r="BA944" s="1" t="n"/>
    </row>
    <row r="945" ht="16.5" customHeight="1" s="220">
      <c r="A945" s="1" t="n"/>
      <c r="B945" s="1" t="n"/>
      <c r="C945" s="2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  <c r="AR945" s="1" t="n"/>
      <c r="AS945" s="1" t="n"/>
      <c r="AT945" s="1" t="n"/>
      <c r="AU945" s="1" t="n"/>
      <c r="AV945" s="1" t="n"/>
      <c r="AW945" s="1" t="n"/>
      <c r="AX945" s="1" t="n"/>
      <c r="AY945" s="1" t="n"/>
      <c r="AZ945" s="1" t="n"/>
      <c r="BA945" s="1" t="n"/>
    </row>
    <row r="946" ht="16.5" customHeight="1" s="220">
      <c r="A946" s="1" t="n"/>
      <c r="B946" s="1" t="n"/>
      <c r="C946" s="2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Q946" s="1" t="n"/>
      <c r="AR946" s="1" t="n"/>
      <c r="AS946" s="1" t="n"/>
      <c r="AT946" s="1" t="n"/>
      <c r="AU946" s="1" t="n"/>
      <c r="AV946" s="1" t="n"/>
      <c r="AW946" s="1" t="n"/>
      <c r="AX946" s="1" t="n"/>
      <c r="AY946" s="1" t="n"/>
      <c r="AZ946" s="1" t="n"/>
      <c r="BA946" s="1" t="n"/>
    </row>
    <row r="947" ht="16.5" customHeight="1" s="220">
      <c r="A947" s="1" t="n"/>
      <c r="B947" s="1" t="n"/>
      <c r="C947" s="2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  <c r="AR947" s="1" t="n"/>
      <c r="AS947" s="1" t="n"/>
      <c r="AT947" s="1" t="n"/>
      <c r="AU947" s="1" t="n"/>
      <c r="AV947" s="1" t="n"/>
      <c r="AW947" s="1" t="n"/>
      <c r="AX947" s="1" t="n"/>
      <c r="AY947" s="1" t="n"/>
      <c r="AZ947" s="1" t="n"/>
      <c r="BA947" s="1" t="n"/>
    </row>
    <row r="948" ht="16.5" customHeight="1" s="220">
      <c r="A948" s="1" t="n"/>
      <c r="B948" s="1" t="n"/>
      <c r="C948" s="2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Q948" s="1" t="n"/>
      <c r="AR948" s="1" t="n"/>
      <c r="AS948" s="1" t="n"/>
      <c r="AT948" s="1" t="n"/>
      <c r="AU948" s="1" t="n"/>
      <c r="AV948" s="1" t="n"/>
      <c r="AW948" s="1" t="n"/>
      <c r="AX948" s="1" t="n"/>
      <c r="AY948" s="1" t="n"/>
      <c r="AZ948" s="1" t="n"/>
      <c r="BA948" s="1" t="n"/>
    </row>
    <row r="949" ht="16.5" customHeight="1" s="220">
      <c r="A949" s="1" t="n"/>
      <c r="B949" s="1" t="n"/>
      <c r="C949" s="2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  <c r="AR949" s="1" t="n"/>
      <c r="AS949" s="1" t="n"/>
      <c r="AT949" s="1" t="n"/>
      <c r="AU949" s="1" t="n"/>
      <c r="AV949" s="1" t="n"/>
      <c r="AW949" s="1" t="n"/>
      <c r="AX949" s="1" t="n"/>
      <c r="AY949" s="1" t="n"/>
      <c r="AZ949" s="1" t="n"/>
      <c r="BA949" s="1" t="n"/>
    </row>
    <row r="950" ht="16.5" customHeight="1" s="220">
      <c r="A950" s="1" t="n"/>
      <c r="B950" s="1" t="n"/>
      <c r="C950" s="2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Q950" s="1" t="n"/>
      <c r="AR950" s="1" t="n"/>
      <c r="AS950" s="1" t="n"/>
      <c r="AT950" s="1" t="n"/>
      <c r="AU950" s="1" t="n"/>
      <c r="AV950" s="1" t="n"/>
      <c r="AW950" s="1" t="n"/>
      <c r="AX950" s="1" t="n"/>
      <c r="AY950" s="1" t="n"/>
      <c r="AZ950" s="1" t="n"/>
      <c r="BA950" s="1" t="n"/>
    </row>
    <row r="951" ht="16.5" customHeight="1" s="220">
      <c r="A951" s="1" t="n"/>
      <c r="B951" s="1" t="n"/>
      <c r="C951" s="2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  <c r="AR951" s="1" t="n"/>
      <c r="AS951" s="1" t="n"/>
      <c r="AT951" s="1" t="n"/>
      <c r="AU951" s="1" t="n"/>
      <c r="AV951" s="1" t="n"/>
      <c r="AW951" s="1" t="n"/>
      <c r="AX951" s="1" t="n"/>
      <c r="AY951" s="1" t="n"/>
      <c r="AZ951" s="1" t="n"/>
      <c r="BA951" s="1" t="n"/>
    </row>
    <row r="952" ht="16.5" customHeight="1" s="220">
      <c r="A952" s="1" t="n"/>
      <c r="B952" s="1" t="n"/>
      <c r="C952" s="2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Q952" s="1" t="n"/>
      <c r="AR952" s="1" t="n"/>
      <c r="AS952" s="1" t="n"/>
      <c r="AT952" s="1" t="n"/>
      <c r="AU952" s="1" t="n"/>
      <c r="AV952" s="1" t="n"/>
      <c r="AW952" s="1" t="n"/>
      <c r="AX952" s="1" t="n"/>
      <c r="AY952" s="1" t="n"/>
      <c r="AZ952" s="1" t="n"/>
      <c r="BA952" s="1" t="n"/>
    </row>
    <row r="953" ht="16.5" customHeight="1" s="220">
      <c r="A953" s="1" t="n"/>
      <c r="B953" s="1" t="n"/>
      <c r="C953" s="2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  <c r="AR953" s="1" t="n"/>
      <c r="AS953" s="1" t="n"/>
      <c r="AT953" s="1" t="n"/>
      <c r="AU953" s="1" t="n"/>
      <c r="AV953" s="1" t="n"/>
      <c r="AW953" s="1" t="n"/>
      <c r="AX953" s="1" t="n"/>
      <c r="AY953" s="1" t="n"/>
      <c r="AZ953" s="1" t="n"/>
      <c r="BA953" s="1" t="n"/>
    </row>
    <row r="954" ht="16.5" customHeight="1" s="220">
      <c r="A954" s="1" t="n"/>
      <c r="B954" s="1" t="n"/>
      <c r="C954" s="2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Q954" s="1" t="n"/>
      <c r="AR954" s="1" t="n"/>
      <c r="AS954" s="1" t="n"/>
      <c r="AT954" s="1" t="n"/>
      <c r="AU954" s="1" t="n"/>
      <c r="AV954" s="1" t="n"/>
      <c r="AW954" s="1" t="n"/>
      <c r="AX954" s="1" t="n"/>
      <c r="AY954" s="1" t="n"/>
      <c r="AZ954" s="1" t="n"/>
      <c r="BA954" s="1" t="n"/>
    </row>
    <row r="955" ht="16.5" customHeight="1" s="220">
      <c r="A955" s="1" t="n"/>
      <c r="B955" s="1" t="n"/>
      <c r="C955" s="2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  <c r="AR955" s="1" t="n"/>
      <c r="AS955" s="1" t="n"/>
      <c r="AT955" s="1" t="n"/>
      <c r="AU955" s="1" t="n"/>
      <c r="AV955" s="1" t="n"/>
      <c r="AW955" s="1" t="n"/>
      <c r="AX955" s="1" t="n"/>
      <c r="AY955" s="1" t="n"/>
      <c r="AZ955" s="1" t="n"/>
      <c r="BA955" s="1" t="n"/>
    </row>
    <row r="956" ht="16.5" customHeight="1" s="220">
      <c r="A956" s="1" t="n"/>
      <c r="B956" s="1" t="n"/>
      <c r="C956" s="2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Q956" s="1" t="n"/>
      <c r="AR956" s="1" t="n"/>
      <c r="AS956" s="1" t="n"/>
      <c r="AT956" s="1" t="n"/>
      <c r="AU956" s="1" t="n"/>
      <c r="AV956" s="1" t="n"/>
      <c r="AW956" s="1" t="n"/>
      <c r="AX956" s="1" t="n"/>
      <c r="AY956" s="1" t="n"/>
      <c r="AZ956" s="1" t="n"/>
      <c r="BA956" s="1" t="n"/>
    </row>
    <row r="957" ht="16.5" customHeight="1" s="220">
      <c r="A957" s="1" t="n"/>
      <c r="B957" s="1" t="n"/>
      <c r="C957" s="2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  <c r="AR957" s="1" t="n"/>
      <c r="AS957" s="1" t="n"/>
      <c r="AT957" s="1" t="n"/>
      <c r="AU957" s="1" t="n"/>
      <c r="AV957" s="1" t="n"/>
      <c r="AW957" s="1" t="n"/>
      <c r="AX957" s="1" t="n"/>
      <c r="AY957" s="1" t="n"/>
      <c r="AZ957" s="1" t="n"/>
      <c r="BA957" s="1" t="n"/>
    </row>
    <row r="958" ht="16.5" customHeight="1" s="220">
      <c r="A958" s="1" t="n"/>
      <c r="B958" s="1" t="n"/>
      <c r="C958" s="2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Q958" s="1" t="n"/>
      <c r="AR958" s="1" t="n"/>
      <c r="AS958" s="1" t="n"/>
      <c r="AT958" s="1" t="n"/>
      <c r="AU958" s="1" t="n"/>
      <c r="AV958" s="1" t="n"/>
      <c r="AW958" s="1" t="n"/>
      <c r="AX958" s="1" t="n"/>
      <c r="AY958" s="1" t="n"/>
      <c r="AZ958" s="1" t="n"/>
      <c r="BA958" s="1" t="n"/>
    </row>
    <row r="959" ht="16.5" customHeight="1" s="220">
      <c r="A959" s="1" t="n"/>
      <c r="B959" s="1" t="n"/>
      <c r="C959" s="2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  <c r="AR959" s="1" t="n"/>
      <c r="AS959" s="1" t="n"/>
      <c r="AT959" s="1" t="n"/>
      <c r="AU959" s="1" t="n"/>
      <c r="AV959" s="1" t="n"/>
      <c r="AW959" s="1" t="n"/>
      <c r="AX959" s="1" t="n"/>
      <c r="AY959" s="1" t="n"/>
      <c r="AZ959" s="1" t="n"/>
      <c r="BA959" s="1" t="n"/>
    </row>
    <row r="960" ht="16.5" customHeight="1" s="220">
      <c r="A960" s="1" t="n"/>
      <c r="B960" s="1" t="n"/>
      <c r="C960" s="2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Q960" s="1" t="n"/>
      <c r="AR960" s="1" t="n"/>
      <c r="AS960" s="1" t="n"/>
      <c r="AT960" s="1" t="n"/>
      <c r="AU960" s="1" t="n"/>
      <c r="AV960" s="1" t="n"/>
      <c r="AW960" s="1" t="n"/>
      <c r="AX960" s="1" t="n"/>
      <c r="AY960" s="1" t="n"/>
      <c r="AZ960" s="1" t="n"/>
      <c r="BA960" s="1" t="n"/>
    </row>
    <row r="961" ht="16.5" customHeight="1" s="220">
      <c r="A961" s="1" t="n"/>
      <c r="B961" s="1" t="n"/>
      <c r="C961" s="2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  <c r="AR961" s="1" t="n"/>
      <c r="AS961" s="1" t="n"/>
      <c r="AT961" s="1" t="n"/>
      <c r="AU961" s="1" t="n"/>
      <c r="AV961" s="1" t="n"/>
      <c r="AW961" s="1" t="n"/>
      <c r="AX961" s="1" t="n"/>
      <c r="AY961" s="1" t="n"/>
      <c r="AZ961" s="1" t="n"/>
      <c r="BA961" s="1" t="n"/>
    </row>
    <row r="962" ht="16.5" customHeight="1" s="220">
      <c r="A962" s="1" t="n"/>
      <c r="B962" s="1" t="n"/>
      <c r="C962" s="2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Q962" s="1" t="n"/>
      <c r="AR962" s="1" t="n"/>
      <c r="AS962" s="1" t="n"/>
      <c r="AT962" s="1" t="n"/>
      <c r="AU962" s="1" t="n"/>
      <c r="AV962" s="1" t="n"/>
      <c r="AW962" s="1" t="n"/>
      <c r="AX962" s="1" t="n"/>
      <c r="AY962" s="1" t="n"/>
      <c r="AZ962" s="1" t="n"/>
      <c r="BA962" s="1" t="n"/>
    </row>
    <row r="963" ht="16.5" customHeight="1" s="220">
      <c r="A963" s="1" t="n"/>
      <c r="B963" s="1" t="n"/>
      <c r="C963" s="2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  <c r="AR963" s="1" t="n"/>
      <c r="AS963" s="1" t="n"/>
      <c r="AT963" s="1" t="n"/>
      <c r="AU963" s="1" t="n"/>
      <c r="AV963" s="1" t="n"/>
      <c r="AW963" s="1" t="n"/>
      <c r="AX963" s="1" t="n"/>
      <c r="AY963" s="1" t="n"/>
      <c r="AZ963" s="1" t="n"/>
      <c r="BA963" s="1" t="n"/>
    </row>
    <row r="964" ht="16.5" customHeight="1" s="220">
      <c r="A964" s="1" t="n"/>
      <c r="B964" s="1" t="n"/>
      <c r="C964" s="2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Q964" s="1" t="n"/>
      <c r="AR964" s="1" t="n"/>
      <c r="AS964" s="1" t="n"/>
      <c r="AT964" s="1" t="n"/>
      <c r="AU964" s="1" t="n"/>
      <c r="AV964" s="1" t="n"/>
      <c r="AW964" s="1" t="n"/>
      <c r="AX964" s="1" t="n"/>
      <c r="AY964" s="1" t="n"/>
      <c r="AZ964" s="1" t="n"/>
      <c r="BA964" s="1" t="n"/>
    </row>
    <row r="965" ht="16.5" customHeight="1" s="220">
      <c r="A965" s="1" t="n"/>
      <c r="B965" s="1" t="n"/>
      <c r="C965" s="2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  <c r="AR965" s="1" t="n"/>
      <c r="AS965" s="1" t="n"/>
      <c r="AT965" s="1" t="n"/>
      <c r="AU965" s="1" t="n"/>
      <c r="AV965" s="1" t="n"/>
      <c r="AW965" s="1" t="n"/>
      <c r="AX965" s="1" t="n"/>
      <c r="AY965" s="1" t="n"/>
      <c r="AZ965" s="1" t="n"/>
      <c r="BA965" s="1" t="n"/>
    </row>
    <row r="966" ht="16.5" customHeight="1" s="220">
      <c r="A966" s="1" t="n"/>
      <c r="B966" s="1" t="n"/>
      <c r="C966" s="2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Q966" s="1" t="n"/>
      <c r="AR966" s="1" t="n"/>
      <c r="AS966" s="1" t="n"/>
      <c r="AT966" s="1" t="n"/>
      <c r="AU966" s="1" t="n"/>
      <c r="AV966" s="1" t="n"/>
      <c r="AW966" s="1" t="n"/>
      <c r="AX966" s="1" t="n"/>
      <c r="AY966" s="1" t="n"/>
      <c r="AZ966" s="1" t="n"/>
      <c r="BA966" s="1" t="n"/>
    </row>
    <row r="967" ht="16.5" customHeight="1" s="220">
      <c r="A967" s="1" t="n"/>
      <c r="B967" s="1" t="n"/>
      <c r="C967" s="2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  <c r="AR967" s="1" t="n"/>
      <c r="AS967" s="1" t="n"/>
      <c r="AT967" s="1" t="n"/>
      <c r="AU967" s="1" t="n"/>
      <c r="AV967" s="1" t="n"/>
      <c r="AW967" s="1" t="n"/>
      <c r="AX967" s="1" t="n"/>
      <c r="AY967" s="1" t="n"/>
      <c r="AZ967" s="1" t="n"/>
      <c r="BA967" s="1" t="n"/>
    </row>
    <row r="968" ht="16.5" customHeight="1" s="220">
      <c r="A968" s="1" t="n"/>
      <c r="B968" s="1" t="n"/>
      <c r="C968" s="2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Q968" s="1" t="n"/>
      <c r="AR968" s="1" t="n"/>
      <c r="AS968" s="1" t="n"/>
      <c r="AT968" s="1" t="n"/>
      <c r="AU968" s="1" t="n"/>
      <c r="AV968" s="1" t="n"/>
      <c r="AW968" s="1" t="n"/>
      <c r="AX968" s="1" t="n"/>
      <c r="AY968" s="1" t="n"/>
      <c r="AZ968" s="1" t="n"/>
      <c r="BA968" s="1" t="n"/>
    </row>
    <row r="969" ht="16.5" customHeight="1" s="220">
      <c r="A969" s="1" t="n"/>
      <c r="B969" s="1" t="n"/>
      <c r="C969" s="2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  <c r="AR969" s="1" t="n"/>
      <c r="AS969" s="1" t="n"/>
      <c r="AT969" s="1" t="n"/>
      <c r="AU969" s="1" t="n"/>
      <c r="AV969" s="1" t="n"/>
      <c r="AW969" s="1" t="n"/>
      <c r="AX969" s="1" t="n"/>
      <c r="AY969" s="1" t="n"/>
      <c r="AZ969" s="1" t="n"/>
      <c r="BA969" s="1" t="n"/>
    </row>
    <row r="970" ht="16.5" customHeight="1" s="220">
      <c r="A970" s="1" t="n"/>
      <c r="B970" s="1" t="n"/>
      <c r="C970" s="2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Q970" s="1" t="n"/>
      <c r="AR970" s="1" t="n"/>
      <c r="AS970" s="1" t="n"/>
      <c r="AT970" s="1" t="n"/>
      <c r="AU970" s="1" t="n"/>
      <c r="AV970" s="1" t="n"/>
      <c r="AW970" s="1" t="n"/>
      <c r="AX970" s="1" t="n"/>
      <c r="AY970" s="1" t="n"/>
      <c r="AZ970" s="1" t="n"/>
      <c r="BA970" s="1" t="n"/>
    </row>
    <row r="971" ht="16.5" customHeight="1" s="220">
      <c r="A971" s="1" t="n"/>
      <c r="B971" s="1" t="n"/>
      <c r="C971" s="2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  <c r="AR971" s="1" t="n"/>
      <c r="AS971" s="1" t="n"/>
      <c r="AT971" s="1" t="n"/>
      <c r="AU971" s="1" t="n"/>
      <c r="AV971" s="1" t="n"/>
      <c r="AW971" s="1" t="n"/>
      <c r="AX971" s="1" t="n"/>
      <c r="AY971" s="1" t="n"/>
      <c r="AZ971" s="1" t="n"/>
      <c r="BA971" s="1" t="n"/>
    </row>
    <row r="972" ht="16.5" customHeight="1" s="220">
      <c r="A972" s="1" t="n"/>
      <c r="B972" s="1" t="n"/>
      <c r="C972" s="2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Q972" s="1" t="n"/>
      <c r="AR972" s="1" t="n"/>
      <c r="AS972" s="1" t="n"/>
      <c r="AT972" s="1" t="n"/>
      <c r="AU972" s="1" t="n"/>
      <c r="AV972" s="1" t="n"/>
      <c r="AW972" s="1" t="n"/>
      <c r="AX972" s="1" t="n"/>
      <c r="AY972" s="1" t="n"/>
      <c r="AZ972" s="1" t="n"/>
      <c r="BA972" s="1" t="n"/>
    </row>
    <row r="973" ht="16.5" customHeight="1" s="220">
      <c r="A973" s="1" t="n"/>
      <c r="B973" s="1" t="n"/>
      <c r="C973" s="2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  <c r="AR973" s="1" t="n"/>
      <c r="AS973" s="1" t="n"/>
      <c r="AT973" s="1" t="n"/>
      <c r="AU973" s="1" t="n"/>
      <c r="AV973" s="1" t="n"/>
      <c r="AW973" s="1" t="n"/>
      <c r="AX973" s="1" t="n"/>
      <c r="AY973" s="1" t="n"/>
      <c r="AZ973" s="1" t="n"/>
      <c r="BA973" s="1" t="n"/>
    </row>
    <row r="974" ht="16.5" customHeight="1" s="220">
      <c r="A974" s="1" t="n"/>
      <c r="B974" s="1" t="n"/>
      <c r="C974" s="2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Q974" s="1" t="n"/>
      <c r="AR974" s="1" t="n"/>
      <c r="AS974" s="1" t="n"/>
      <c r="AT974" s="1" t="n"/>
      <c r="AU974" s="1" t="n"/>
      <c r="AV974" s="1" t="n"/>
      <c r="AW974" s="1" t="n"/>
      <c r="AX974" s="1" t="n"/>
      <c r="AY974" s="1" t="n"/>
      <c r="AZ974" s="1" t="n"/>
      <c r="BA974" s="1" t="n"/>
    </row>
    <row r="975" ht="16.5" customHeight="1" s="220">
      <c r="A975" s="1" t="n"/>
      <c r="B975" s="1" t="n"/>
      <c r="C975" s="2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  <c r="AR975" s="1" t="n"/>
      <c r="AS975" s="1" t="n"/>
      <c r="AT975" s="1" t="n"/>
      <c r="AU975" s="1" t="n"/>
      <c r="AV975" s="1" t="n"/>
      <c r="AW975" s="1" t="n"/>
      <c r="AX975" s="1" t="n"/>
      <c r="AY975" s="1" t="n"/>
      <c r="AZ975" s="1" t="n"/>
      <c r="BA975" s="1" t="n"/>
    </row>
    <row r="976" ht="16.5" customHeight="1" s="220">
      <c r="A976" s="1" t="n"/>
      <c r="B976" s="1" t="n"/>
      <c r="C976" s="2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Q976" s="1" t="n"/>
      <c r="AR976" s="1" t="n"/>
      <c r="AS976" s="1" t="n"/>
      <c r="AT976" s="1" t="n"/>
      <c r="AU976" s="1" t="n"/>
      <c r="AV976" s="1" t="n"/>
      <c r="AW976" s="1" t="n"/>
      <c r="AX976" s="1" t="n"/>
      <c r="AY976" s="1" t="n"/>
      <c r="AZ976" s="1" t="n"/>
      <c r="BA976" s="1" t="n"/>
    </row>
    <row r="977" ht="16.5" customHeight="1" s="220">
      <c r="A977" s="1" t="n"/>
      <c r="B977" s="1" t="n"/>
      <c r="C977" s="2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  <c r="AR977" s="1" t="n"/>
      <c r="AS977" s="1" t="n"/>
      <c r="AT977" s="1" t="n"/>
      <c r="AU977" s="1" t="n"/>
      <c r="AV977" s="1" t="n"/>
      <c r="AW977" s="1" t="n"/>
      <c r="AX977" s="1" t="n"/>
      <c r="AY977" s="1" t="n"/>
      <c r="AZ977" s="1" t="n"/>
      <c r="BA977" s="1" t="n"/>
    </row>
    <row r="978" ht="16.5" customHeight="1" s="220">
      <c r="A978" s="1" t="n"/>
      <c r="B978" s="1" t="n"/>
      <c r="C978" s="2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Q978" s="1" t="n"/>
      <c r="AR978" s="1" t="n"/>
      <c r="AS978" s="1" t="n"/>
      <c r="AT978" s="1" t="n"/>
      <c r="AU978" s="1" t="n"/>
      <c r="AV978" s="1" t="n"/>
      <c r="AW978" s="1" t="n"/>
      <c r="AX978" s="1" t="n"/>
      <c r="AY978" s="1" t="n"/>
      <c r="AZ978" s="1" t="n"/>
      <c r="BA978" s="1" t="n"/>
    </row>
    <row r="979" ht="16.5" customHeight="1" s="220">
      <c r="A979" s="1" t="n"/>
      <c r="B979" s="1" t="n"/>
      <c r="C979" s="2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  <c r="AR979" s="1" t="n"/>
      <c r="AS979" s="1" t="n"/>
      <c r="AT979" s="1" t="n"/>
      <c r="AU979" s="1" t="n"/>
      <c r="AV979" s="1" t="n"/>
      <c r="AW979" s="1" t="n"/>
      <c r="AX979" s="1" t="n"/>
      <c r="AY979" s="1" t="n"/>
      <c r="AZ979" s="1" t="n"/>
      <c r="BA979" s="1" t="n"/>
    </row>
    <row r="980" ht="16.5" customHeight="1" s="220">
      <c r="A980" s="1" t="n"/>
      <c r="B980" s="1" t="n"/>
      <c r="C980" s="2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Q980" s="1" t="n"/>
      <c r="AR980" s="1" t="n"/>
      <c r="AS980" s="1" t="n"/>
      <c r="AT980" s="1" t="n"/>
      <c r="AU980" s="1" t="n"/>
      <c r="AV980" s="1" t="n"/>
      <c r="AW980" s="1" t="n"/>
      <c r="AX980" s="1" t="n"/>
      <c r="AY980" s="1" t="n"/>
      <c r="AZ980" s="1" t="n"/>
      <c r="BA980" s="1" t="n"/>
    </row>
    <row r="981" ht="16.5" customHeight="1" s="220">
      <c r="A981" s="1" t="n"/>
      <c r="B981" s="1" t="n"/>
      <c r="C981" s="2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  <c r="AR981" s="1" t="n"/>
      <c r="AS981" s="1" t="n"/>
      <c r="AT981" s="1" t="n"/>
      <c r="AU981" s="1" t="n"/>
      <c r="AV981" s="1" t="n"/>
      <c r="AW981" s="1" t="n"/>
      <c r="AX981" s="1" t="n"/>
      <c r="AY981" s="1" t="n"/>
      <c r="AZ981" s="1" t="n"/>
      <c r="BA981" s="1" t="n"/>
    </row>
    <row r="982" ht="16.5" customHeight="1" s="220">
      <c r="A982" s="1" t="n"/>
      <c r="B982" s="1" t="n"/>
      <c r="C982" s="2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Q982" s="1" t="n"/>
      <c r="AR982" s="1" t="n"/>
      <c r="AS982" s="1" t="n"/>
      <c r="AT982" s="1" t="n"/>
      <c r="AU982" s="1" t="n"/>
      <c r="AV982" s="1" t="n"/>
      <c r="AW982" s="1" t="n"/>
      <c r="AX982" s="1" t="n"/>
      <c r="AY982" s="1" t="n"/>
      <c r="AZ982" s="1" t="n"/>
      <c r="BA982" s="1" t="n"/>
    </row>
    <row r="983" ht="16.5" customHeight="1" s="220">
      <c r="A983" s="1" t="n"/>
      <c r="B983" s="1" t="n"/>
      <c r="C983" s="2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  <c r="AR983" s="1" t="n"/>
      <c r="AS983" s="1" t="n"/>
      <c r="AT983" s="1" t="n"/>
      <c r="AU983" s="1" t="n"/>
      <c r="AV983" s="1" t="n"/>
      <c r="AW983" s="1" t="n"/>
      <c r="AX983" s="1" t="n"/>
      <c r="AY983" s="1" t="n"/>
      <c r="AZ983" s="1" t="n"/>
      <c r="BA983" s="1" t="n"/>
    </row>
    <row r="984" ht="16.5" customHeight="1" s="220">
      <c r="A984" s="1" t="n"/>
      <c r="B984" s="1" t="n"/>
      <c r="C984" s="2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Q984" s="1" t="n"/>
      <c r="AR984" s="1" t="n"/>
      <c r="AS984" s="1" t="n"/>
      <c r="AT984" s="1" t="n"/>
      <c r="AU984" s="1" t="n"/>
      <c r="AV984" s="1" t="n"/>
      <c r="AW984" s="1" t="n"/>
      <c r="AX984" s="1" t="n"/>
      <c r="AY984" s="1" t="n"/>
      <c r="AZ984" s="1" t="n"/>
      <c r="BA984" s="1" t="n"/>
    </row>
    <row r="985" ht="16.5" customHeight="1" s="220">
      <c r="A985" s="1" t="n"/>
      <c r="B985" s="1" t="n"/>
      <c r="C985" s="2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  <c r="AR985" s="1" t="n"/>
      <c r="AS985" s="1" t="n"/>
      <c r="AT985" s="1" t="n"/>
      <c r="AU985" s="1" t="n"/>
      <c r="AV985" s="1" t="n"/>
      <c r="AW985" s="1" t="n"/>
      <c r="AX985" s="1" t="n"/>
      <c r="AY985" s="1" t="n"/>
      <c r="AZ985" s="1" t="n"/>
      <c r="BA985" s="1" t="n"/>
    </row>
    <row r="986" ht="16.5" customHeight="1" s="220">
      <c r="A986" s="1" t="n"/>
      <c r="B986" s="1" t="n"/>
      <c r="C986" s="2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Q986" s="1" t="n"/>
      <c r="AR986" s="1" t="n"/>
      <c r="AS986" s="1" t="n"/>
      <c r="AT986" s="1" t="n"/>
      <c r="AU986" s="1" t="n"/>
      <c r="AV986" s="1" t="n"/>
      <c r="AW986" s="1" t="n"/>
      <c r="AX986" s="1" t="n"/>
      <c r="AY986" s="1" t="n"/>
      <c r="AZ986" s="1" t="n"/>
      <c r="BA986" s="1" t="n"/>
    </row>
    <row r="987" ht="16.5" customHeight="1" s="220">
      <c r="A987" s="1" t="n"/>
      <c r="B987" s="1" t="n"/>
      <c r="C987" s="2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  <c r="AR987" s="1" t="n"/>
      <c r="AS987" s="1" t="n"/>
      <c r="AT987" s="1" t="n"/>
      <c r="AU987" s="1" t="n"/>
      <c r="AV987" s="1" t="n"/>
      <c r="AW987" s="1" t="n"/>
      <c r="AX987" s="1" t="n"/>
      <c r="AY987" s="1" t="n"/>
      <c r="AZ987" s="1" t="n"/>
      <c r="BA987" s="1" t="n"/>
    </row>
    <row r="988" ht="16.5" customHeight="1" s="220">
      <c r="A988" s="1" t="n"/>
      <c r="B988" s="1" t="n"/>
      <c r="C988" s="2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Q988" s="1" t="n"/>
      <c r="AR988" s="1" t="n"/>
      <c r="AS988" s="1" t="n"/>
      <c r="AT988" s="1" t="n"/>
      <c r="AU988" s="1" t="n"/>
      <c r="AV988" s="1" t="n"/>
      <c r="AW988" s="1" t="n"/>
      <c r="AX988" s="1" t="n"/>
      <c r="AY988" s="1" t="n"/>
      <c r="AZ988" s="1" t="n"/>
      <c r="BA988" s="1" t="n"/>
    </row>
    <row r="989" ht="16.5" customHeight="1" s="220">
      <c r="A989" s="1" t="n"/>
      <c r="B989" s="1" t="n"/>
      <c r="C989" s="2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  <c r="AR989" s="1" t="n"/>
      <c r="AS989" s="1" t="n"/>
      <c r="AT989" s="1" t="n"/>
      <c r="AU989" s="1" t="n"/>
      <c r="AV989" s="1" t="n"/>
      <c r="AW989" s="1" t="n"/>
      <c r="AX989" s="1" t="n"/>
      <c r="AY989" s="1" t="n"/>
      <c r="AZ989" s="1" t="n"/>
      <c r="BA989" s="1" t="n"/>
    </row>
    <row r="990" ht="16.5" customHeight="1" s="220">
      <c r="A990" s="1" t="n"/>
      <c r="B990" s="1" t="n"/>
      <c r="C990" s="2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  <c r="AQ990" s="1" t="n"/>
      <c r="AR990" s="1" t="n"/>
      <c r="AS990" s="1" t="n"/>
      <c r="AT990" s="1" t="n"/>
      <c r="AU990" s="1" t="n"/>
      <c r="AV990" s="1" t="n"/>
      <c r="AW990" s="1" t="n"/>
      <c r="AX990" s="1" t="n"/>
      <c r="AY990" s="1" t="n"/>
      <c r="AZ990" s="1" t="n"/>
      <c r="BA990" s="1" t="n"/>
    </row>
    <row r="991" ht="16.5" customHeight="1" s="220">
      <c r="A991" s="1" t="n"/>
      <c r="B991" s="1" t="n"/>
      <c r="C991" s="2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  <c r="AR991" s="1" t="n"/>
      <c r="AS991" s="1" t="n"/>
      <c r="AT991" s="1" t="n"/>
      <c r="AU991" s="1" t="n"/>
      <c r="AV991" s="1" t="n"/>
      <c r="AW991" s="1" t="n"/>
      <c r="AX991" s="1" t="n"/>
      <c r="AY991" s="1" t="n"/>
      <c r="AZ991" s="1" t="n"/>
      <c r="BA991" s="1" t="n"/>
    </row>
    <row r="992" ht="16.5" customHeight="1" s="220">
      <c r="A992" s="1" t="n"/>
      <c r="B992" s="1" t="n"/>
      <c r="C992" s="2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  <c r="AQ992" s="1" t="n"/>
      <c r="AR992" s="1" t="n"/>
      <c r="AS992" s="1" t="n"/>
      <c r="AT992" s="1" t="n"/>
      <c r="AU992" s="1" t="n"/>
      <c r="AV992" s="1" t="n"/>
      <c r="AW992" s="1" t="n"/>
      <c r="AX992" s="1" t="n"/>
      <c r="AY992" s="1" t="n"/>
      <c r="AZ992" s="1" t="n"/>
      <c r="BA992" s="1" t="n"/>
    </row>
    <row r="993" ht="16.5" customHeight="1" s="220">
      <c r="A993" s="1" t="n"/>
      <c r="B993" s="1" t="n"/>
      <c r="C993" s="2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Q993" s="1" t="n"/>
      <c r="AR993" s="1" t="n"/>
      <c r="AS993" s="1" t="n"/>
      <c r="AT993" s="1" t="n"/>
      <c r="AU993" s="1" t="n"/>
      <c r="AV993" s="1" t="n"/>
      <c r="AW993" s="1" t="n"/>
      <c r="AX993" s="1" t="n"/>
      <c r="AY993" s="1" t="n"/>
      <c r="AZ993" s="1" t="n"/>
      <c r="BA993" s="1" t="n"/>
    </row>
    <row r="994" ht="16.5" customHeight="1" s="220">
      <c r="A994" s="1" t="n"/>
      <c r="B994" s="1" t="n"/>
      <c r="C994" s="2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Q994" s="1" t="n"/>
      <c r="AR994" s="1" t="n"/>
      <c r="AS994" s="1" t="n"/>
      <c r="AT994" s="1" t="n"/>
      <c r="AU994" s="1" t="n"/>
      <c r="AV994" s="1" t="n"/>
      <c r="AW994" s="1" t="n"/>
      <c r="AX994" s="1" t="n"/>
      <c r="AY994" s="1" t="n"/>
      <c r="AZ994" s="1" t="n"/>
      <c r="BA994" s="1" t="n"/>
    </row>
    <row r="995" ht="16.5" customHeight="1" s="220">
      <c r="A995" s="1" t="n"/>
      <c r="B995" s="1" t="n"/>
      <c r="C995" s="2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  <c r="AR995" s="1" t="n"/>
      <c r="AS995" s="1" t="n"/>
      <c r="AT995" s="1" t="n"/>
      <c r="AU995" s="1" t="n"/>
      <c r="AV995" s="1" t="n"/>
      <c r="AW995" s="1" t="n"/>
      <c r="AX995" s="1" t="n"/>
      <c r="AY995" s="1" t="n"/>
      <c r="AZ995" s="1" t="n"/>
      <c r="BA995" s="1" t="n"/>
    </row>
    <row r="996" ht="16.5" customHeight="1" s="220">
      <c r="A996" s="1" t="n"/>
      <c r="B996" s="1" t="n"/>
      <c r="C996" s="2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Q996" s="1" t="n"/>
      <c r="AR996" s="1" t="n"/>
      <c r="AS996" s="1" t="n"/>
      <c r="AT996" s="1" t="n"/>
      <c r="AU996" s="1" t="n"/>
      <c r="AV996" s="1" t="n"/>
      <c r="AW996" s="1" t="n"/>
      <c r="AX996" s="1" t="n"/>
      <c r="AY996" s="1" t="n"/>
      <c r="AZ996" s="1" t="n"/>
      <c r="BA996" s="1" t="n"/>
    </row>
    <row r="997" ht="16.5" customHeight="1" s="220">
      <c r="A997" s="1" t="n"/>
      <c r="B997" s="1" t="n"/>
      <c r="C997" s="2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  <c r="AR997" s="1" t="n"/>
      <c r="AS997" s="1" t="n"/>
      <c r="AT997" s="1" t="n"/>
      <c r="AU997" s="1" t="n"/>
      <c r="AV997" s="1" t="n"/>
      <c r="AW997" s="1" t="n"/>
      <c r="AX997" s="1" t="n"/>
      <c r="AY997" s="1" t="n"/>
      <c r="AZ997" s="1" t="n"/>
      <c r="BA997" s="1" t="n"/>
    </row>
    <row r="998" ht="16.5" customHeight="1" s="220">
      <c r="A998" s="1" t="n"/>
      <c r="B998" s="1" t="n"/>
      <c r="C998" s="2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  <c r="AQ998" s="1" t="n"/>
      <c r="AR998" s="1" t="n"/>
      <c r="AS998" s="1" t="n"/>
      <c r="AT998" s="1" t="n"/>
      <c r="AU998" s="1" t="n"/>
      <c r="AV998" s="1" t="n"/>
      <c r="AW998" s="1" t="n"/>
      <c r="AX998" s="1" t="n"/>
      <c r="AY998" s="1" t="n"/>
      <c r="AZ998" s="1" t="n"/>
      <c r="BA998" s="1" t="n"/>
    </row>
    <row r="999" ht="16.5" customHeight="1" s="220">
      <c r="A999" s="1" t="n"/>
      <c r="B999" s="1" t="n"/>
      <c r="C999" s="2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Q999" s="1" t="n"/>
      <c r="AR999" s="1" t="n"/>
      <c r="AS999" s="1" t="n"/>
      <c r="AT999" s="1" t="n"/>
      <c r="AU999" s="1" t="n"/>
      <c r="AV999" s="1" t="n"/>
      <c r="AW999" s="1" t="n"/>
      <c r="AX999" s="1" t="n"/>
      <c r="AY999" s="1" t="n"/>
      <c r="AZ999" s="1" t="n"/>
      <c r="BA999" s="1" t="n"/>
    </row>
    <row r="1000" ht="16.5" customHeight="1" s="220">
      <c r="A1000" s="1" t="n"/>
      <c r="B1000" s="1" t="n"/>
      <c r="C1000" s="2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  <c r="AQ1000" s="1" t="n"/>
      <c r="AR1000" s="1" t="n"/>
      <c r="AS1000" s="1" t="n"/>
      <c r="AT1000" s="1" t="n"/>
      <c r="AU1000" s="1" t="n"/>
      <c r="AV1000" s="1" t="n"/>
      <c r="AW1000" s="1" t="n"/>
      <c r="AX1000" s="1" t="n"/>
      <c r="AY1000" s="1" t="n"/>
      <c r="AZ1000" s="1" t="n"/>
      <c r="BA1000" s="1" t="n"/>
    </row>
  </sheetData>
  <mergeCells count="48">
    <mergeCell ref="F4:G4"/>
    <mergeCell ref="Y5:AA5"/>
    <mergeCell ref="Q5:S5"/>
    <mergeCell ref="AY3:AZ3"/>
    <mergeCell ref="B3:C3"/>
    <mergeCell ref="V33:W33"/>
    <mergeCell ref="N4:O4"/>
    <mergeCell ref="AY33:AZ33"/>
    <mergeCell ref="R4:S4"/>
    <mergeCell ref="F3:G3"/>
    <mergeCell ref="AT3:AU3"/>
    <mergeCell ref="V4:W4"/>
    <mergeCell ref="AE3:AF3"/>
    <mergeCell ref="N3:O3"/>
    <mergeCell ref="AY4:AZ4"/>
    <mergeCell ref="A5:C5"/>
    <mergeCell ref="AT33:AU33"/>
    <mergeCell ref="AO3:AP3"/>
    <mergeCell ref="I5:K5"/>
    <mergeCell ref="F33:G33"/>
    <mergeCell ref="AO33:AP33"/>
    <mergeCell ref="N33:O33"/>
    <mergeCell ref="AE33:AF33"/>
    <mergeCell ref="AT4:AU4"/>
    <mergeCell ref="Z3:AA3"/>
    <mergeCell ref="J4:K4"/>
    <mergeCell ref="AJ3:AK3"/>
    <mergeCell ref="U5:W5"/>
    <mergeCell ref="AX5:AZ5"/>
    <mergeCell ref="AI5:AK5"/>
    <mergeCell ref="AJ33:AK33"/>
    <mergeCell ref="Z33:AA33"/>
    <mergeCell ref="AS5:AU5"/>
    <mergeCell ref="R3:S3"/>
    <mergeCell ref="AO4:AP4"/>
    <mergeCell ref="J3:K3"/>
    <mergeCell ref="AJ4:AK4"/>
    <mergeCell ref="Z4:AA4"/>
    <mergeCell ref="AD5:AF5"/>
    <mergeCell ref="B33:C33"/>
    <mergeCell ref="E5:G5"/>
    <mergeCell ref="AN5:AP5"/>
    <mergeCell ref="M5:O5"/>
    <mergeCell ref="J33:K33"/>
    <mergeCell ref="R33:S33"/>
    <mergeCell ref="B4:C4"/>
    <mergeCell ref="V3:W3"/>
    <mergeCell ref="AE4:AF4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CCFF"/>
    <outlinePr summaryBelow="1" summaryRight="1"/>
    <pageSetUpPr/>
  </sheetPr>
  <dimension ref="A1:AL1000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32.5" customWidth="1" style="220" min="1" max="1"/>
    <col width="76.13" customWidth="1" style="220" min="2" max="2"/>
    <col width="43.5" customWidth="1" style="220" min="3" max="3"/>
    <col width="27.75" customWidth="1" style="220" min="4" max="4"/>
    <col width="33" customWidth="1" style="220" min="5" max="5"/>
    <col width="56.75" customWidth="1" style="220" min="6" max="6"/>
    <col width="33.88" customWidth="1" style="220" min="7" max="7"/>
    <col width="28" customWidth="1" style="220" min="8" max="8"/>
    <col width="33" customWidth="1" style="220" min="9" max="9"/>
    <col width="56.75" customWidth="1" style="220" min="10" max="10"/>
    <col width="30.13" customWidth="1" style="220" min="11" max="11"/>
    <col width="28" customWidth="1" style="220" min="12" max="12"/>
    <col width="33.13" customWidth="1" style="220" min="13" max="13"/>
    <col width="56.75" customWidth="1" style="220" min="14" max="14"/>
    <col width="30.13" customWidth="1" style="220" min="15" max="15"/>
    <col width="41.75" customWidth="1" style="220" min="16" max="16"/>
    <col hidden="1" width="28.13" customWidth="1" style="220" min="17" max="17"/>
    <col hidden="1" width="56.75" customWidth="1" style="220" min="18" max="18"/>
    <col hidden="1" width="30.13" customWidth="1" style="220" min="19" max="19"/>
    <col hidden="1" width="27.38" customWidth="1" style="220" min="20" max="20"/>
    <col width="33.38" customWidth="1" style="220" min="21" max="21"/>
    <col width="56.75" customWidth="1" style="220" min="22" max="22"/>
    <col width="30.13" customWidth="1" style="220" min="23" max="23"/>
    <col width="47.63" customWidth="1" style="220" min="24" max="24"/>
    <col width="33.88" customWidth="1" style="220" min="25" max="25"/>
    <col width="56.75" customWidth="1" style="220" min="26" max="26"/>
    <col width="30.13" customWidth="1" style="220" min="27" max="27"/>
    <col width="22.88" customWidth="1" style="220" min="28" max="28"/>
    <col width="8.880000000000001" customWidth="1" style="220" min="29" max="29"/>
    <col width="32.75" customWidth="1" style="220" min="30" max="30"/>
    <col width="56.75" customWidth="1" style="220" min="31" max="31"/>
    <col width="30.13" customWidth="1" style="220" min="32" max="32"/>
    <col width="22.88" customWidth="1" style="220" min="33" max="33"/>
    <col width="8.880000000000001" customWidth="1" style="220" min="34" max="34"/>
    <col width="31.88" customWidth="1" style="220" min="35" max="35"/>
    <col width="52.63" customWidth="1" style="220" min="36" max="36"/>
    <col width="20" customWidth="1" style="220" min="37" max="37"/>
    <col width="19.25" customWidth="1" style="220" min="38" max="38"/>
  </cols>
  <sheetData>
    <row r="1" ht="16.5" customHeight="1" s="220">
      <c r="A1" s="1" t="n"/>
      <c r="B1" s="1" t="n"/>
      <c r="C1" s="2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17.25" customHeight="1" s="220">
      <c r="A2" s="1" t="n"/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</row>
    <row r="3" ht="23.25" customHeight="1" s="220">
      <c r="A3" s="3" t="inlineStr">
        <is>
          <t>MONTH/YEAR:</t>
        </is>
      </c>
      <c r="B3" s="221" t="n">
        <v>46023</v>
      </c>
      <c r="C3" s="222" t="n"/>
      <c r="D3" s="1" t="n"/>
      <c r="E3" s="3" t="inlineStr">
        <is>
          <t>MONTH/YEAR:</t>
        </is>
      </c>
      <c r="F3" s="221">
        <f>B3</f>
        <v/>
      </c>
      <c r="G3" s="222" t="n"/>
      <c r="H3" s="1" t="n"/>
      <c r="I3" s="3" t="inlineStr">
        <is>
          <t>MONTH/YEAR:</t>
        </is>
      </c>
      <c r="J3" s="221">
        <f>B3</f>
        <v/>
      </c>
      <c r="K3" s="222" t="n"/>
      <c r="L3" s="1" t="n"/>
      <c r="M3" s="3" t="inlineStr">
        <is>
          <t>MONTH/YEAR:</t>
        </is>
      </c>
      <c r="N3" s="221">
        <f>B3</f>
        <v/>
      </c>
      <c r="O3" s="222" t="n"/>
      <c r="P3" s="1" t="n"/>
      <c r="Q3" s="3" t="inlineStr">
        <is>
          <t>MONTH/YEAR:</t>
        </is>
      </c>
      <c r="R3" s="221">
        <f>B3</f>
        <v/>
      </c>
      <c r="S3" s="222" t="n"/>
      <c r="T3" s="1" t="n"/>
      <c r="U3" s="3" t="inlineStr">
        <is>
          <t>MONTH/YEAR:</t>
        </is>
      </c>
      <c r="V3" s="221">
        <f>B3</f>
        <v/>
      </c>
      <c r="W3" s="222" t="n"/>
      <c r="X3" s="1" t="n"/>
      <c r="Y3" s="3" t="inlineStr">
        <is>
          <t>MONTH/YEAR:</t>
        </is>
      </c>
      <c r="Z3" s="221">
        <f>B3</f>
        <v/>
      </c>
      <c r="AA3" s="222" t="n"/>
      <c r="AB3" s="1" t="n"/>
      <c r="AC3" s="1" t="n"/>
      <c r="AD3" s="3" t="inlineStr">
        <is>
          <t>MONTH/YEAR:</t>
        </is>
      </c>
      <c r="AE3" s="221">
        <f>B3</f>
        <v/>
      </c>
      <c r="AF3" s="222" t="n"/>
      <c r="AG3" s="1" t="n"/>
      <c r="AH3" s="1" t="n"/>
      <c r="AI3" s="3" t="inlineStr">
        <is>
          <t>MONTH/YEAR:</t>
        </is>
      </c>
      <c r="AJ3" s="221">
        <f>AE3</f>
        <v/>
      </c>
      <c r="AK3" s="222" t="n"/>
      <c r="AL3" s="1" t="n"/>
    </row>
    <row r="4" ht="31.5" customHeight="1" s="220">
      <c r="A4" s="6" t="inlineStr">
        <is>
          <t>BRANCH:</t>
        </is>
      </c>
      <c r="B4" s="223" t="inlineStr">
        <is>
          <t>CASA DENTAL TENGAH PTE LTD</t>
        </is>
      </c>
      <c r="C4" s="224" t="n"/>
      <c r="D4" s="1" t="n"/>
      <c r="E4" s="6" t="inlineStr">
        <is>
          <t>BRANCH:</t>
        </is>
      </c>
      <c r="F4" s="223">
        <f>B4</f>
        <v/>
      </c>
      <c r="G4" s="224" t="n"/>
      <c r="H4" s="1" t="n"/>
      <c r="I4" s="6" t="inlineStr">
        <is>
          <t>BRANCH:</t>
        </is>
      </c>
      <c r="J4" s="223">
        <f>F4</f>
        <v/>
      </c>
      <c r="K4" s="224" t="n"/>
      <c r="L4" s="1" t="n"/>
      <c r="M4" s="6" t="inlineStr">
        <is>
          <t>BRANCH:</t>
        </is>
      </c>
      <c r="N4" s="223">
        <f>J4</f>
        <v/>
      </c>
      <c r="O4" s="224" t="n"/>
      <c r="P4" s="1" t="n"/>
      <c r="Q4" s="6" t="inlineStr">
        <is>
          <t>BRANCH:</t>
        </is>
      </c>
      <c r="R4" s="223" t="inlineStr">
        <is>
          <t>CASA DENTAL AMK PTE LTD</t>
        </is>
      </c>
      <c r="S4" s="224" t="n"/>
      <c r="T4" s="1" t="n"/>
      <c r="U4" s="6" t="inlineStr">
        <is>
          <t>BRANCH:</t>
        </is>
      </c>
      <c r="V4" s="223">
        <f>N4</f>
        <v/>
      </c>
      <c r="W4" s="224" t="n"/>
      <c r="X4" s="1" t="n"/>
      <c r="Y4" s="6" t="inlineStr">
        <is>
          <t>BRANCH:</t>
        </is>
      </c>
      <c r="Z4" s="223">
        <f>V4</f>
        <v/>
      </c>
      <c r="AA4" s="224" t="n"/>
      <c r="AB4" s="1" t="n"/>
      <c r="AC4" s="1" t="n"/>
      <c r="AD4" s="6" t="inlineStr">
        <is>
          <t>BRANCH:</t>
        </is>
      </c>
      <c r="AE4" s="223">
        <f>Z4</f>
        <v/>
      </c>
      <c r="AF4" s="224" t="n"/>
      <c r="AG4" s="1" t="n"/>
      <c r="AH4" s="1" t="n"/>
      <c r="AI4" s="6" t="inlineStr">
        <is>
          <t>BRANCH:</t>
        </is>
      </c>
      <c r="AJ4" s="223">
        <f>AE4</f>
        <v/>
      </c>
      <c r="AK4" s="224" t="n"/>
      <c r="AL4" s="1" t="n"/>
    </row>
    <row r="5" ht="34.5" customHeight="1" s="220">
      <c r="A5" s="225" t="inlineStr">
        <is>
          <t>ALL PROVIDERS SETTLEMENT</t>
        </is>
      </c>
      <c r="C5" s="226" t="n"/>
      <c r="D5" s="1" t="n"/>
      <c r="E5" s="227" t="inlineStr">
        <is>
          <t>DR ANGELA TRAN</t>
        </is>
      </c>
      <c r="F5" s="228" t="n"/>
      <c r="G5" s="229" t="n"/>
      <c r="H5" s="1" t="n"/>
      <c r="I5" s="227" t="inlineStr">
        <is>
          <t>DR ANG LI EN</t>
        </is>
      </c>
      <c r="J5" s="228" t="n"/>
      <c r="K5" s="229" t="n"/>
      <c r="L5" s="1" t="n"/>
      <c r="M5" s="227" t="inlineStr">
        <is>
          <t>DR AMIT PATEL</t>
        </is>
      </c>
      <c r="N5" s="228" t="n"/>
      <c r="O5" s="229" t="n"/>
      <c r="P5" s="1" t="n"/>
      <c r="Q5" s="227" t="inlineStr">
        <is>
          <t xml:space="preserve">DR KALIE </t>
        </is>
      </c>
      <c r="R5" s="228" t="n"/>
      <c r="S5" s="229" t="n"/>
      <c r="T5" s="1" t="n"/>
      <c r="U5" s="227" t="inlineStr">
        <is>
          <t>DR PETER KEITH</t>
        </is>
      </c>
      <c r="V5" s="228" t="n"/>
      <c r="W5" s="229" t="n"/>
      <c r="X5" s="1" t="n"/>
      <c r="Y5" s="227" t="inlineStr">
        <is>
          <t>DR JENNIFER HOANG</t>
        </is>
      </c>
      <c r="Z5" s="228" t="n"/>
      <c r="AA5" s="229" t="n"/>
      <c r="AB5" s="1" t="n"/>
      <c r="AC5" s="1" t="n"/>
      <c r="AD5" s="227" t="inlineStr">
        <is>
          <t>DR KALIE CHIA</t>
        </is>
      </c>
      <c r="AE5" s="228" t="n"/>
      <c r="AF5" s="229" t="n"/>
      <c r="AG5" s="1" t="n"/>
      <c r="AH5" s="1" t="n"/>
      <c r="AI5" s="227" t="inlineStr">
        <is>
          <t>DR YVETTE CHOW</t>
        </is>
      </c>
      <c r="AJ5" s="228" t="n"/>
      <c r="AK5" s="229" t="n"/>
      <c r="AL5" s="1" t="n"/>
    </row>
    <row r="6" ht="18.75" customHeight="1" s="220">
      <c r="A6" s="14" t="n"/>
      <c r="B6" s="15" t="n"/>
      <c r="C6" s="16" t="inlineStr">
        <is>
          <t>ADMIN CHARGES</t>
        </is>
      </c>
      <c r="D6" s="17" t="n"/>
      <c r="E6" s="18" t="n"/>
      <c r="F6" s="15" t="n"/>
      <c r="G6" s="16" t="inlineStr">
        <is>
          <t>ADMIN CHARGES</t>
        </is>
      </c>
      <c r="H6" s="17" t="n"/>
      <c r="I6" s="19" t="n"/>
      <c r="J6" s="15" t="inlineStr">
        <is>
          <t>TOTALS</t>
        </is>
      </c>
      <c r="K6" s="20" t="inlineStr">
        <is>
          <t>ADMIN CHARGES</t>
        </is>
      </c>
      <c r="L6" s="17" t="n"/>
      <c r="M6" s="21" t="n"/>
      <c r="N6" s="22" t="n"/>
      <c r="O6" s="16" t="inlineStr">
        <is>
          <t>ADMIN CHARGES</t>
        </is>
      </c>
      <c r="P6" s="1" t="n"/>
      <c r="Q6" s="23" t="n"/>
      <c r="R6" s="24" t="n"/>
      <c r="S6" s="25" t="inlineStr">
        <is>
          <t>ADMIN CHARGES</t>
        </is>
      </c>
      <c r="T6" s="1" t="n"/>
      <c r="U6" s="26" t="n"/>
      <c r="V6" s="24" t="n"/>
      <c r="W6" s="27" t="inlineStr">
        <is>
          <t>ADMIN CHARGES</t>
        </is>
      </c>
      <c r="X6" s="28" t="n"/>
      <c r="Y6" s="14" t="n"/>
      <c r="Z6" s="29" t="n"/>
      <c r="AA6" s="22" t="inlineStr">
        <is>
          <t>ADMIN CHARGES</t>
        </is>
      </c>
      <c r="AB6" s="1" t="n"/>
      <c r="AC6" s="1" t="n"/>
      <c r="AD6" s="26" t="n"/>
      <c r="AE6" s="27" t="n"/>
      <c r="AF6" s="27" t="inlineStr">
        <is>
          <t>ADMIN CHARGES</t>
        </is>
      </c>
      <c r="AG6" s="30" t="n"/>
      <c r="AH6" s="1" t="n"/>
      <c r="AI6" s="23" t="n"/>
      <c r="AJ6" s="25" t="n"/>
      <c r="AK6" s="25" t="inlineStr">
        <is>
          <t>ADMIN CHARGES</t>
        </is>
      </c>
      <c r="AL6" s="1" t="n"/>
    </row>
    <row r="7" ht="27.75" customHeight="1" s="220">
      <c r="A7" s="31" t="inlineStr">
        <is>
          <t>AIA</t>
        </is>
      </c>
      <c r="B7" s="174" t="n"/>
      <c r="C7" s="33">
        <f>B7*0.05*1.09</f>
        <v/>
      </c>
      <c r="D7" s="34" t="n"/>
      <c r="E7" s="35" t="inlineStr">
        <is>
          <t>AIA</t>
        </is>
      </c>
      <c r="F7" s="36" t="n"/>
      <c r="G7" s="33">
        <f>F7*0.05*1.09</f>
        <v/>
      </c>
      <c r="H7" s="37" t="n"/>
      <c r="I7" s="35" t="inlineStr">
        <is>
          <t>AIA</t>
        </is>
      </c>
      <c r="J7" s="174" t="n"/>
      <c r="K7" s="33">
        <f>J7*0.05*1.09</f>
        <v/>
      </c>
      <c r="L7" s="37" t="n"/>
      <c r="M7" s="35" t="inlineStr">
        <is>
          <t>AIA</t>
        </is>
      </c>
      <c r="N7" s="174" t="n"/>
      <c r="O7" s="33">
        <f>N7*0.05*1.09</f>
        <v/>
      </c>
      <c r="P7" s="38" t="n"/>
      <c r="Q7" s="31" t="inlineStr">
        <is>
          <t>AIA</t>
        </is>
      </c>
      <c r="R7" s="39" t="n"/>
      <c r="S7" s="40">
        <f>R7*0.05*1.09</f>
        <v/>
      </c>
      <c r="T7" s="38" t="n"/>
      <c r="U7" s="41" t="inlineStr">
        <is>
          <t>AIA</t>
        </is>
      </c>
      <c r="V7" s="173" t="n"/>
      <c r="W7" s="43">
        <f>V7*0.05*1.09</f>
        <v/>
      </c>
      <c r="X7" s="44" t="n"/>
      <c r="Y7" s="31" t="inlineStr">
        <is>
          <t>AIA</t>
        </is>
      </c>
      <c r="Z7" s="174" t="n"/>
      <c r="AA7" s="45">
        <f>Z7*0.05*1.09</f>
        <v/>
      </c>
      <c r="AB7" s="46" t="n"/>
      <c r="AC7" s="46" t="n"/>
      <c r="AD7" s="35" t="inlineStr">
        <is>
          <t>AIA</t>
        </is>
      </c>
      <c r="AE7" s="174" t="n"/>
      <c r="AF7" s="43">
        <f>AE7*0.05*1.09</f>
        <v/>
      </c>
      <c r="AG7" s="48" t="n"/>
      <c r="AH7" s="46" t="n"/>
      <c r="AI7" s="35" t="inlineStr">
        <is>
          <t>AIA</t>
        </is>
      </c>
      <c r="AJ7" s="174" t="n"/>
      <c r="AK7" s="33">
        <f>AJ7*0.05*1.09</f>
        <v/>
      </c>
      <c r="AL7" s="46" t="n"/>
    </row>
    <row r="8" ht="27.75" customHeight="1" s="220">
      <c r="A8" s="31" t="inlineStr">
        <is>
          <t>ALLIANCE</t>
        </is>
      </c>
      <c r="B8" s="174" t="n"/>
      <c r="C8" s="33">
        <f>B8*0.05*1.09</f>
        <v/>
      </c>
      <c r="D8" s="34" t="n"/>
      <c r="E8" s="35" t="inlineStr">
        <is>
          <t>ALLIANCE</t>
        </is>
      </c>
      <c r="F8" s="36" t="n"/>
      <c r="G8" s="33">
        <f>F8*0.05*1.09</f>
        <v/>
      </c>
      <c r="H8" s="37" t="n"/>
      <c r="I8" s="35" t="inlineStr">
        <is>
          <t>ALLIANCE</t>
        </is>
      </c>
      <c r="J8" s="174" t="n"/>
      <c r="K8" s="33">
        <f>J8*0.05*1.09</f>
        <v/>
      </c>
      <c r="L8" s="37" t="n"/>
      <c r="M8" s="35" t="inlineStr">
        <is>
          <t>ALLIANCE</t>
        </is>
      </c>
      <c r="N8" s="174" t="n"/>
      <c r="O8" s="33">
        <f>N8*0.05*1.09</f>
        <v/>
      </c>
      <c r="P8" s="38" t="n"/>
      <c r="Q8" s="31" t="n"/>
      <c r="R8" s="39" t="n"/>
      <c r="S8" s="40" t="n"/>
      <c r="T8" s="38" t="n"/>
      <c r="U8" s="41" t="inlineStr">
        <is>
          <t>ALLIANCE</t>
        </is>
      </c>
      <c r="V8" s="174" t="n"/>
      <c r="W8" s="43">
        <f>V8*0.05*1.09</f>
        <v/>
      </c>
      <c r="X8" s="44" t="n"/>
      <c r="Y8" s="31" t="inlineStr">
        <is>
          <t>ALLIANCE</t>
        </is>
      </c>
      <c r="Z8" s="174" t="n"/>
      <c r="AA8" s="45">
        <f>Z8*0.05*1.09</f>
        <v/>
      </c>
      <c r="AB8" s="46" t="n"/>
      <c r="AC8" s="46" t="n"/>
      <c r="AD8" s="35" t="inlineStr">
        <is>
          <t>ALLIANCE</t>
        </is>
      </c>
      <c r="AE8" s="174" t="n"/>
      <c r="AF8" s="43">
        <f>AE8*0.05*1.09</f>
        <v/>
      </c>
      <c r="AG8" s="48" t="n"/>
      <c r="AH8" s="46" t="n"/>
      <c r="AI8" s="35" t="inlineStr">
        <is>
          <t>ALLIANCE</t>
        </is>
      </c>
      <c r="AJ8" s="174" t="n"/>
      <c r="AK8" s="33">
        <f>AJ8*0.05*1.09</f>
        <v/>
      </c>
      <c r="AL8" s="46" t="n"/>
    </row>
    <row r="9" ht="27.75" customHeight="1" s="220">
      <c r="A9" s="31" t="inlineStr">
        <is>
          <t>AMEX</t>
        </is>
      </c>
      <c r="B9" s="174" t="n"/>
      <c r="C9" s="33">
        <f>B9*0.0195</f>
        <v/>
      </c>
      <c r="D9" s="34" t="n"/>
      <c r="E9" s="35" t="inlineStr">
        <is>
          <t>AMEX</t>
        </is>
      </c>
      <c r="F9" s="36" t="n"/>
      <c r="G9" s="33">
        <f>F9*0.0195</f>
        <v/>
      </c>
      <c r="H9" s="34" t="n"/>
      <c r="I9" s="35" t="inlineStr">
        <is>
          <t>AMEX</t>
        </is>
      </c>
      <c r="J9" s="174" t="n"/>
      <c r="K9" s="33">
        <f>J9*0.0195</f>
        <v/>
      </c>
      <c r="L9" s="34" t="n"/>
      <c r="M9" s="35" t="inlineStr">
        <is>
          <t>AMEX</t>
        </is>
      </c>
      <c r="N9" s="174" t="n"/>
      <c r="O9" s="33">
        <f>N9*0.0195</f>
        <v/>
      </c>
      <c r="P9" s="46" t="n"/>
      <c r="Q9" s="31" t="inlineStr">
        <is>
          <t>AMEX</t>
        </is>
      </c>
      <c r="R9" s="39" t="n"/>
      <c r="S9" s="40">
        <f>R9*0.0195</f>
        <v/>
      </c>
      <c r="T9" s="46" t="n"/>
      <c r="U9" s="41" t="inlineStr">
        <is>
          <t>AMEX</t>
        </is>
      </c>
      <c r="V9" s="174" t="n"/>
      <c r="W9" s="43">
        <f>V9*0.0195</f>
        <v/>
      </c>
      <c r="X9" s="49" t="n"/>
      <c r="Y9" s="31" t="inlineStr">
        <is>
          <t>AMEX</t>
        </is>
      </c>
      <c r="Z9" s="36" t="n"/>
      <c r="AA9" s="45">
        <f>Z9*0.0195</f>
        <v/>
      </c>
      <c r="AB9" s="46" t="n"/>
      <c r="AC9" s="46" t="n"/>
      <c r="AD9" s="35" t="inlineStr">
        <is>
          <t>AMEX</t>
        </is>
      </c>
      <c r="AE9" s="174" t="n"/>
      <c r="AF9" s="43">
        <f>AE9*0.0195</f>
        <v/>
      </c>
      <c r="AG9" s="48" t="n"/>
      <c r="AH9" s="46" t="n"/>
      <c r="AI9" s="35" t="inlineStr">
        <is>
          <t>AMEX</t>
        </is>
      </c>
      <c r="AJ9" s="174" t="n"/>
      <c r="AK9" s="33">
        <f>AJ9*0.0195</f>
        <v/>
      </c>
      <c r="AL9" s="46" t="n"/>
    </row>
    <row r="10" ht="27.75" customHeight="1" s="220">
      <c r="A10" s="31" t="inlineStr">
        <is>
          <t>BABYBONUS</t>
        </is>
      </c>
      <c r="B10" s="32" t="n"/>
      <c r="C10" s="33">
        <f>B10*0.008</f>
        <v/>
      </c>
      <c r="D10" s="34" t="n"/>
      <c r="E10" s="35" t="inlineStr">
        <is>
          <t>BABYBONUS</t>
        </is>
      </c>
      <c r="F10" s="50" t="n"/>
      <c r="G10" s="33">
        <f>F10*0.008</f>
        <v/>
      </c>
      <c r="H10" s="34" t="n"/>
      <c r="I10" s="35" t="inlineStr">
        <is>
          <t>BABYBONUS</t>
        </is>
      </c>
      <c r="J10" s="50" t="n"/>
      <c r="K10" s="33">
        <f>J10*0.008</f>
        <v/>
      </c>
      <c r="L10" s="34" t="n"/>
      <c r="M10" s="35" t="inlineStr">
        <is>
          <t>BABYBONUS</t>
        </is>
      </c>
      <c r="N10" s="36" t="n"/>
      <c r="O10" s="33">
        <f>N10*0.008</f>
        <v/>
      </c>
      <c r="P10" s="46" t="n"/>
      <c r="Q10" s="31" t="n"/>
      <c r="R10" s="39" t="n"/>
      <c r="S10" s="40" t="n"/>
      <c r="T10" s="46" t="n"/>
      <c r="U10" s="35" t="inlineStr">
        <is>
          <t>BABYBONUS</t>
        </is>
      </c>
      <c r="V10" s="36" t="n"/>
      <c r="W10" s="33">
        <f>V10*0.008</f>
        <v/>
      </c>
      <c r="X10" s="49" t="n"/>
      <c r="Y10" s="31" t="inlineStr">
        <is>
          <t>BABYBONUS</t>
        </is>
      </c>
      <c r="Z10" s="36" t="n"/>
      <c r="AA10" s="45">
        <f>Z10*0.008</f>
        <v/>
      </c>
      <c r="AB10" s="46" t="n"/>
      <c r="AC10" s="46" t="n"/>
      <c r="AD10" s="35" t="inlineStr">
        <is>
          <t>BABYBONUS</t>
        </is>
      </c>
      <c r="AE10" s="195" t="n"/>
      <c r="AF10" s="43">
        <f>AE10*0.008</f>
        <v/>
      </c>
      <c r="AG10" s="48" t="n"/>
      <c r="AH10" s="46" t="n"/>
      <c r="AI10" s="35" t="inlineStr">
        <is>
          <t>BABYBONUS</t>
        </is>
      </c>
      <c r="AJ10" s="195" t="n"/>
      <c r="AK10" s="33">
        <f>AJ10*0.008</f>
        <v/>
      </c>
      <c r="AL10" s="46" t="n"/>
    </row>
    <row r="11" ht="27.75" customHeight="1" s="220">
      <c r="A11" s="31" t="inlineStr">
        <is>
          <t>CASH</t>
        </is>
      </c>
      <c r="B11" s="32" t="n"/>
      <c r="C11" s="33" t="n"/>
      <c r="D11" s="34" t="n"/>
      <c r="E11" s="35" t="inlineStr">
        <is>
          <t>CASH</t>
        </is>
      </c>
      <c r="F11" s="36" t="n"/>
      <c r="G11" s="33" t="n"/>
      <c r="H11" s="34" t="n"/>
      <c r="I11" s="35" t="inlineStr">
        <is>
          <t>CASH</t>
        </is>
      </c>
      <c r="J11" s="36" t="n"/>
      <c r="K11" s="33" t="n"/>
      <c r="L11" s="34" t="n"/>
      <c r="M11" s="35" t="inlineStr">
        <is>
          <t>CASH</t>
        </is>
      </c>
      <c r="N11" s="36" t="n"/>
      <c r="O11" s="33" t="n"/>
      <c r="P11" s="46" t="n"/>
      <c r="Q11" s="31" t="inlineStr">
        <is>
          <t>ALLIANCE</t>
        </is>
      </c>
      <c r="R11" s="39" t="n"/>
      <c r="S11" s="40">
        <f>R11*0.05*1.09</f>
        <v/>
      </c>
      <c r="T11" s="46" t="n"/>
      <c r="U11" s="35" t="inlineStr">
        <is>
          <t>CASH</t>
        </is>
      </c>
      <c r="V11" s="51" t="n"/>
      <c r="W11" s="33" t="n"/>
      <c r="X11" s="49" t="n"/>
      <c r="Y11" s="31" t="inlineStr">
        <is>
          <t>CASH</t>
        </is>
      </c>
      <c r="Z11" s="36" t="n"/>
      <c r="AA11" s="45" t="n"/>
      <c r="AB11" s="46" t="n"/>
      <c r="AC11" s="46" t="n"/>
      <c r="AD11" s="35" t="inlineStr">
        <is>
          <t>CASH</t>
        </is>
      </c>
      <c r="AE11" s="195" t="n"/>
      <c r="AF11" s="43" t="n"/>
      <c r="AG11" s="48" t="n"/>
      <c r="AH11" s="46" t="n"/>
      <c r="AI11" s="35" t="inlineStr">
        <is>
          <t>CASH</t>
        </is>
      </c>
      <c r="AJ11" s="195" t="n"/>
      <c r="AK11" s="33" t="n"/>
      <c r="AL11" s="46" t="n"/>
    </row>
    <row r="12" ht="27.75" customHeight="1" s="220">
      <c r="A12" s="31" t="inlineStr">
        <is>
          <t>CASA VOUCHER</t>
        </is>
      </c>
      <c r="B12" s="32" t="n"/>
      <c r="C12" s="33" t="n"/>
      <c r="D12" s="34" t="n"/>
      <c r="E12" s="35" t="inlineStr">
        <is>
          <t>CASA VOUCHER</t>
        </is>
      </c>
      <c r="F12" s="36" t="n"/>
      <c r="G12" s="33" t="n"/>
      <c r="H12" s="34" t="n"/>
      <c r="I12" s="35" t="inlineStr">
        <is>
          <t>CASA VOUCHER</t>
        </is>
      </c>
      <c r="J12" s="36" t="n"/>
      <c r="K12" s="33" t="n"/>
      <c r="L12" s="34" t="n"/>
      <c r="M12" s="35" t="inlineStr">
        <is>
          <t>CASA VOUCHER</t>
        </is>
      </c>
      <c r="N12" s="36" t="n"/>
      <c r="O12" s="33" t="n"/>
      <c r="P12" s="46" t="n"/>
      <c r="Q12" s="31" t="inlineStr">
        <is>
          <t>CASH</t>
        </is>
      </c>
      <c r="R12" s="39" t="n"/>
      <c r="S12" s="40" t="n"/>
      <c r="T12" s="46" t="n"/>
      <c r="U12" s="35" t="inlineStr">
        <is>
          <t>CASA VOUCHER</t>
        </is>
      </c>
      <c r="V12" s="51" t="n"/>
      <c r="W12" s="33" t="n"/>
      <c r="X12" s="49" t="n"/>
      <c r="Y12" s="31" t="inlineStr">
        <is>
          <t>CASA VOUCHER</t>
        </is>
      </c>
      <c r="Z12" s="36" t="n"/>
      <c r="AA12" s="45" t="n"/>
      <c r="AB12" s="46" t="n"/>
      <c r="AC12" s="46" t="n"/>
      <c r="AD12" s="35" t="inlineStr">
        <is>
          <t>CASA VOUCHER</t>
        </is>
      </c>
      <c r="AE12" s="195" t="n"/>
      <c r="AF12" s="43" t="n"/>
      <c r="AG12" s="48" t="n"/>
      <c r="AH12" s="46" t="n"/>
      <c r="AI12" s="35" t="inlineStr">
        <is>
          <t>CASA VOUCHER</t>
        </is>
      </c>
      <c r="AJ12" s="195" t="n"/>
      <c r="AK12" s="33" t="n"/>
      <c r="AL12" s="46" t="n"/>
    </row>
    <row r="13" ht="27.75" customHeight="1" s="220">
      <c r="A13" s="52" t="inlineStr">
        <is>
          <t>CDC VOUCHER</t>
        </is>
      </c>
      <c r="B13" s="174" t="n"/>
      <c r="C13" s="54" t="n"/>
      <c r="D13" s="34" t="n"/>
      <c r="E13" s="35" t="inlineStr">
        <is>
          <t>CDC VOUCHER</t>
        </is>
      </c>
      <c r="F13" s="36" t="n"/>
      <c r="G13" s="33" t="n"/>
      <c r="H13" s="34" t="n"/>
      <c r="I13" s="35" t="inlineStr">
        <is>
          <t>CDC VOUCHER</t>
        </is>
      </c>
      <c r="J13" s="174" t="n"/>
      <c r="K13" s="33" t="n"/>
      <c r="L13" s="34" t="n"/>
      <c r="M13" s="35" t="inlineStr">
        <is>
          <t>CDC VOUCHER</t>
        </is>
      </c>
      <c r="N13" s="174" t="n"/>
      <c r="O13" s="33" t="n"/>
      <c r="P13" s="46" t="n"/>
      <c r="Q13" s="31" t="inlineStr">
        <is>
          <t>CASA VOUCHER</t>
        </is>
      </c>
      <c r="R13" s="39" t="n"/>
      <c r="S13" s="40" t="n"/>
      <c r="T13" s="46" t="n"/>
      <c r="U13" s="35" t="inlineStr">
        <is>
          <t>CDC VOUCHER</t>
        </is>
      </c>
      <c r="V13" s="174" t="n"/>
      <c r="W13" s="33" t="n"/>
      <c r="X13" s="49" t="n"/>
      <c r="Y13" s="52" t="inlineStr">
        <is>
          <t>CDC VOUCHER</t>
        </is>
      </c>
      <c r="Z13" s="174" t="n"/>
      <c r="AA13" s="56" t="n"/>
      <c r="AB13" s="46" t="n"/>
      <c r="AC13" s="46" t="n"/>
      <c r="AD13" s="35" t="inlineStr">
        <is>
          <t>CDC VOUCHER</t>
        </is>
      </c>
      <c r="AE13" s="196" t="n"/>
      <c r="AF13" s="59" t="n"/>
      <c r="AG13" s="48" t="n"/>
      <c r="AH13" s="46" t="n"/>
      <c r="AI13" s="35" t="inlineStr">
        <is>
          <t>CDC VOUCHER</t>
        </is>
      </c>
      <c r="AJ13" s="196" t="n"/>
      <c r="AK13" s="33" t="n"/>
      <c r="AL13" s="46" t="n"/>
    </row>
    <row r="14" ht="27.75" customHeight="1" s="220">
      <c r="A14" s="31" t="inlineStr">
        <is>
          <t>CHAS</t>
        </is>
      </c>
      <c r="B14" s="174" t="n"/>
      <c r="C14" s="33" t="n"/>
      <c r="D14" s="34" t="n"/>
      <c r="E14" s="35" t="inlineStr">
        <is>
          <t>CHAS</t>
        </is>
      </c>
      <c r="F14" s="36" t="n"/>
      <c r="G14" s="33" t="n"/>
      <c r="H14" s="34" t="n"/>
      <c r="I14" s="35" t="inlineStr">
        <is>
          <t>CHAS</t>
        </is>
      </c>
      <c r="J14" s="174" t="n"/>
      <c r="K14" s="33" t="n"/>
      <c r="L14" s="34" t="n"/>
      <c r="M14" s="35" t="inlineStr">
        <is>
          <t>CHAS</t>
        </is>
      </c>
      <c r="N14" s="174" t="n"/>
      <c r="O14" s="33" t="n"/>
      <c r="P14" s="46" t="n"/>
      <c r="Q14" s="31" t="n"/>
      <c r="R14" s="39" t="n"/>
      <c r="S14" s="40" t="n"/>
      <c r="T14" s="46" t="n"/>
      <c r="U14" s="35" t="inlineStr">
        <is>
          <t>CHAS</t>
        </is>
      </c>
      <c r="V14" s="174" t="n"/>
      <c r="W14" s="33" t="n"/>
      <c r="X14" s="49" t="n"/>
      <c r="Y14" s="31" t="inlineStr">
        <is>
          <t>CHAS</t>
        </is>
      </c>
      <c r="Z14" s="174" t="n"/>
      <c r="AA14" s="45" t="n"/>
      <c r="AB14" s="46" t="n"/>
      <c r="AC14" s="46" t="n"/>
      <c r="AD14" s="35" t="inlineStr">
        <is>
          <t>CHAS</t>
        </is>
      </c>
      <c r="AE14" s="207" t="n"/>
      <c r="AF14" s="43" t="n"/>
      <c r="AG14" s="48" t="n"/>
      <c r="AH14" s="46" t="n"/>
      <c r="AI14" s="35" t="inlineStr">
        <is>
          <t>CHAS</t>
        </is>
      </c>
      <c r="AJ14" s="174" t="n"/>
      <c r="AK14" s="33" t="n"/>
      <c r="AL14" s="46" t="n"/>
    </row>
    <row r="15" ht="27.75" customHeight="1" s="220">
      <c r="A15" s="31" t="inlineStr">
        <is>
          <t>CYNERGY</t>
        </is>
      </c>
      <c r="B15" s="174" t="n"/>
      <c r="C15" s="33" t="n"/>
      <c r="D15" s="34" t="n"/>
      <c r="E15" s="35" t="inlineStr">
        <is>
          <t>CYNERGY</t>
        </is>
      </c>
      <c r="F15" s="36" t="n"/>
      <c r="G15" s="33" t="n"/>
      <c r="H15" s="34" t="n"/>
      <c r="I15" s="35" t="inlineStr">
        <is>
          <t>CYNERGY</t>
        </is>
      </c>
      <c r="J15" s="174" t="n"/>
      <c r="K15" s="33" t="n"/>
      <c r="L15" s="34" t="n"/>
      <c r="M15" s="35" t="inlineStr">
        <is>
          <t>CYNERGY</t>
        </is>
      </c>
      <c r="N15" s="174" t="n"/>
      <c r="O15" s="33" t="n"/>
      <c r="P15" s="46" t="n"/>
      <c r="Q15" s="31" t="n"/>
      <c r="R15" s="39" t="n"/>
      <c r="S15" s="40" t="n"/>
      <c r="T15" s="46" t="n"/>
      <c r="U15" s="35" t="inlineStr">
        <is>
          <t>CYNERGY</t>
        </is>
      </c>
      <c r="V15" s="174" t="n"/>
      <c r="W15" s="33" t="n"/>
      <c r="X15" s="49" t="n"/>
      <c r="Y15" s="31" t="inlineStr">
        <is>
          <t>CYNERGY</t>
        </is>
      </c>
      <c r="Z15" s="174" t="n"/>
      <c r="AA15" s="45" t="n"/>
      <c r="AB15" s="46" t="n"/>
      <c r="AC15" s="46" t="n"/>
      <c r="AD15" s="35" t="inlineStr">
        <is>
          <t>CYNERGY</t>
        </is>
      </c>
      <c r="AE15" s="174" t="n"/>
      <c r="AF15" s="43" t="n"/>
      <c r="AG15" s="48" t="n"/>
      <c r="AH15" s="46" t="n"/>
      <c r="AI15" s="35" t="inlineStr">
        <is>
          <t>CYNERGY</t>
        </is>
      </c>
      <c r="AJ15" s="174" t="n"/>
      <c r="AK15" s="33" t="n"/>
      <c r="AL15" s="46" t="n"/>
    </row>
    <row r="16" ht="27.75" customHeight="1" s="220">
      <c r="A16" s="35" t="inlineStr">
        <is>
          <t>DA ADEPT HEALTH</t>
        </is>
      </c>
      <c r="B16" s="174" t="n"/>
      <c r="C16" s="33">
        <f>B16*8%</f>
        <v/>
      </c>
      <c r="D16" s="34" t="n"/>
      <c r="E16" s="35" t="inlineStr">
        <is>
          <t>DA ADEPT HEALTH</t>
        </is>
      </c>
      <c r="F16" s="36" t="n"/>
      <c r="G16" s="33">
        <f>F16*8%</f>
        <v/>
      </c>
      <c r="H16" s="34" t="n"/>
      <c r="I16" s="35" t="inlineStr">
        <is>
          <t>DA ADEPT HEALTH</t>
        </is>
      </c>
      <c r="J16" s="36" t="n"/>
      <c r="K16" s="33">
        <f>J16*8%</f>
        <v/>
      </c>
      <c r="L16" s="34" t="n"/>
      <c r="M16" s="35" t="inlineStr">
        <is>
          <t>DA ADEPT HEALTH</t>
        </is>
      </c>
      <c r="N16" s="174" t="n"/>
      <c r="O16" s="33">
        <f>N16*8%</f>
        <v/>
      </c>
      <c r="P16" s="46" t="n"/>
      <c r="Q16" s="31" t="n"/>
      <c r="R16" s="39" t="n"/>
      <c r="S16" s="40" t="n"/>
      <c r="T16" s="46" t="n"/>
      <c r="U16" s="35" t="inlineStr">
        <is>
          <t>DA ADEPT HEALTH</t>
        </is>
      </c>
      <c r="V16" s="174" t="n"/>
      <c r="W16" s="33">
        <f>V16*8%</f>
        <v/>
      </c>
      <c r="X16" s="49" t="n"/>
      <c r="Y16" s="52" t="inlineStr">
        <is>
          <t>DA ADEPT HEALTH</t>
        </is>
      </c>
      <c r="Z16" s="174" t="n"/>
      <c r="AA16" s="56">
        <f>Z16*8%</f>
        <v/>
      </c>
      <c r="AB16" s="46" t="n"/>
      <c r="AC16" s="46" t="n"/>
      <c r="AD16" s="57" t="inlineStr">
        <is>
          <t>DA ADEPT HEALTH</t>
        </is>
      </c>
      <c r="AE16" s="58" t="n"/>
      <c r="AF16" s="59">
        <f>AE16*8%</f>
        <v/>
      </c>
      <c r="AG16" s="48" t="n"/>
      <c r="AH16" s="46" t="n"/>
      <c r="AI16" s="57" t="inlineStr">
        <is>
          <t>DA ADEPT HEALTH</t>
        </is>
      </c>
      <c r="AJ16" s="58" t="n"/>
      <c r="AK16" s="33">
        <f>AJ16*8%</f>
        <v/>
      </c>
      <c r="AL16" s="46" t="n"/>
    </row>
    <row r="17" ht="27.75" customHeight="1" s="220">
      <c r="A17" s="60" t="inlineStr">
        <is>
          <t>DEPOSIT</t>
        </is>
      </c>
      <c r="B17" s="174" t="n"/>
      <c r="C17" s="33">
        <f>G17+K17+O17+O17+S17+W17+AA17+AF17</f>
        <v/>
      </c>
      <c r="D17" s="34" t="n"/>
      <c r="E17" s="61" t="inlineStr">
        <is>
          <t>DEPOSIT</t>
        </is>
      </c>
      <c r="F17" s="36" t="n"/>
      <c r="G17" s="33" t="n"/>
      <c r="H17" s="34" t="n"/>
      <c r="I17" s="61" t="inlineStr">
        <is>
          <t>DEPOSIT</t>
        </is>
      </c>
      <c r="J17" s="174" t="n"/>
      <c r="K17" s="33" t="n"/>
      <c r="L17" s="34" t="n"/>
      <c r="M17" s="61" t="inlineStr">
        <is>
          <t>DEPOSIT</t>
        </is>
      </c>
      <c r="N17" s="174" t="n"/>
      <c r="O17" s="33" t="n"/>
      <c r="P17" s="46" t="n"/>
      <c r="Q17" s="31" t="inlineStr">
        <is>
          <t>DEPOSIT</t>
        </is>
      </c>
      <c r="R17" s="39" t="n"/>
      <c r="S17" s="40" t="n">
        <v>0</v>
      </c>
      <c r="T17" s="46" t="n"/>
      <c r="U17" s="61" t="inlineStr">
        <is>
          <t>DEPOSIT</t>
        </is>
      </c>
      <c r="V17" s="51" t="n"/>
      <c r="W17" s="33" t="n"/>
      <c r="X17" s="49" t="n"/>
      <c r="Y17" s="60" t="inlineStr">
        <is>
          <t>DEPOSIT</t>
        </is>
      </c>
      <c r="Z17" s="174" t="n"/>
      <c r="AA17" s="45" t="n"/>
      <c r="AB17" s="46" t="n"/>
      <c r="AC17" s="46" t="n"/>
      <c r="AD17" s="61" t="inlineStr">
        <is>
          <t>DEPOSIT</t>
        </is>
      </c>
      <c r="AE17" s="174" t="n"/>
      <c r="AF17" s="43" t="n"/>
      <c r="AG17" s="48" t="n"/>
      <c r="AH17" s="46" t="n"/>
      <c r="AI17" s="61" t="inlineStr">
        <is>
          <t>DEPOSIT</t>
        </is>
      </c>
      <c r="AJ17" s="174" t="n"/>
      <c r="AK17" s="33" t="n"/>
      <c r="AL17" s="46" t="n"/>
    </row>
    <row r="18" ht="27.75" customHeight="1" s="220">
      <c r="A18" s="31" t="inlineStr">
        <is>
          <t>IHP</t>
        </is>
      </c>
      <c r="B18" s="174" t="n"/>
      <c r="C18" s="33">
        <f>B18*0.051*1.09</f>
        <v/>
      </c>
      <c r="D18" s="34" t="n"/>
      <c r="E18" s="35" t="inlineStr">
        <is>
          <t>IHP</t>
        </is>
      </c>
      <c r="F18" s="36" t="n"/>
      <c r="G18" s="33">
        <f>F18*0.051*1.09</f>
        <v/>
      </c>
      <c r="H18" s="34" t="n"/>
      <c r="I18" s="35" t="inlineStr">
        <is>
          <t>IHP</t>
        </is>
      </c>
      <c r="J18" s="174" t="n"/>
      <c r="K18" s="33">
        <f>J18*0.051*1.09</f>
        <v/>
      </c>
      <c r="L18" s="34" t="n"/>
      <c r="M18" s="35" t="inlineStr">
        <is>
          <t>IHP</t>
        </is>
      </c>
      <c r="N18" s="174" t="n"/>
      <c r="O18" s="33">
        <f>N18*0.051*1.09</f>
        <v/>
      </c>
      <c r="P18" s="46" t="n"/>
      <c r="Q18" s="31" t="n"/>
      <c r="R18" s="39" t="n"/>
      <c r="S18" s="40" t="n"/>
      <c r="T18" s="46" t="n"/>
      <c r="U18" s="35" t="inlineStr">
        <is>
          <t>IHP</t>
        </is>
      </c>
      <c r="V18" s="174" t="n"/>
      <c r="W18" s="33">
        <f>V18*0.051*1.09</f>
        <v/>
      </c>
      <c r="X18" s="49" t="n"/>
      <c r="Y18" s="31" t="inlineStr">
        <is>
          <t>IHP</t>
        </is>
      </c>
      <c r="Z18" s="174" t="n"/>
      <c r="AA18" s="45">
        <f>Z18*0.051*1.09</f>
        <v/>
      </c>
      <c r="AB18" s="46" t="n"/>
      <c r="AC18" s="46" t="n"/>
      <c r="AD18" s="35" t="inlineStr">
        <is>
          <t>IHP</t>
        </is>
      </c>
      <c r="AE18" s="174" t="n"/>
      <c r="AF18" s="43">
        <f>AE18*0.051*1.09</f>
        <v/>
      </c>
      <c r="AG18" s="48" t="n"/>
      <c r="AH18" s="46" t="n"/>
      <c r="AI18" s="35" t="inlineStr">
        <is>
          <t>IHP</t>
        </is>
      </c>
      <c r="AJ18" s="174" t="n"/>
      <c r="AK18" s="33">
        <f>AJ18*0.051*1.09</f>
        <v/>
      </c>
      <c r="AL18" s="46" t="n"/>
    </row>
    <row r="19" ht="27.75" customHeight="1" s="220">
      <c r="A19" s="31" t="inlineStr">
        <is>
          <t>JCB</t>
        </is>
      </c>
      <c r="B19" s="32" t="n"/>
      <c r="C19" s="33">
        <f>B19*0.15*1.09</f>
        <v/>
      </c>
      <c r="D19" s="34" t="n"/>
      <c r="E19" s="35" t="inlineStr">
        <is>
          <t>JCB</t>
        </is>
      </c>
      <c r="F19" s="50" t="n"/>
      <c r="G19" s="33">
        <f>F19*0.15*1.09</f>
        <v/>
      </c>
      <c r="H19" s="34" t="n"/>
      <c r="I19" s="35" t="inlineStr">
        <is>
          <t>JCB</t>
        </is>
      </c>
      <c r="J19" s="50" t="n"/>
      <c r="K19" s="33">
        <f>J19*0.15*1.09</f>
        <v/>
      </c>
      <c r="L19" s="34" t="n"/>
      <c r="M19" s="35" t="inlineStr">
        <is>
          <t>JCB</t>
        </is>
      </c>
      <c r="N19" s="50" t="n"/>
      <c r="O19" s="33">
        <f>N19*0.15*1.09</f>
        <v/>
      </c>
      <c r="P19" s="46" t="n"/>
      <c r="Q19" s="31" t="n"/>
      <c r="R19" s="39" t="n"/>
      <c r="S19" s="40" t="n"/>
      <c r="T19" s="46" t="n"/>
      <c r="U19" s="35" t="inlineStr">
        <is>
          <t>JCB</t>
        </is>
      </c>
      <c r="V19" s="50" t="n"/>
      <c r="W19" s="33">
        <f>V19*0.15*1.09</f>
        <v/>
      </c>
      <c r="X19" s="49" t="n"/>
      <c r="Y19" s="31" t="inlineStr">
        <is>
          <t>JCB</t>
        </is>
      </c>
      <c r="Z19" s="50" t="n"/>
      <c r="AA19" s="45">
        <f>Z19*0.15*1.09</f>
        <v/>
      </c>
      <c r="AB19" s="46" t="n"/>
      <c r="AC19" s="46" t="n"/>
      <c r="AD19" s="35" t="inlineStr">
        <is>
          <t>JCB</t>
        </is>
      </c>
      <c r="AE19" s="62" t="n"/>
      <c r="AF19" s="43">
        <f>AE19*0.15*1.09</f>
        <v/>
      </c>
      <c r="AG19" s="48" t="n"/>
      <c r="AH19" s="46" t="n"/>
      <c r="AI19" s="35" t="inlineStr">
        <is>
          <t>JCB</t>
        </is>
      </c>
      <c r="AJ19" s="62" t="n"/>
      <c r="AK19" s="33">
        <f>AJ19*0.15*1.09</f>
        <v/>
      </c>
      <c r="AL19" s="46" t="n"/>
    </row>
    <row r="20" ht="27.75" customHeight="1" s="220">
      <c r="A20" s="31" t="inlineStr">
        <is>
          <t>MASTER</t>
        </is>
      </c>
      <c r="B20" s="174" t="n"/>
      <c r="C20" s="33">
        <f>B20*0.0225</f>
        <v/>
      </c>
      <c r="D20" s="34" t="n"/>
      <c r="E20" s="35" t="inlineStr">
        <is>
          <t>MASTER</t>
        </is>
      </c>
      <c r="F20" s="36" t="n"/>
      <c r="G20" s="33">
        <f>F20*0.0225</f>
        <v/>
      </c>
      <c r="H20" s="34" t="n"/>
      <c r="I20" s="35" t="inlineStr">
        <is>
          <t>MASTER</t>
        </is>
      </c>
      <c r="J20" s="174" t="n"/>
      <c r="K20" s="33">
        <f>J20*0.0225</f>
        <v/>
      </c>
      <c r="L20" s="34" t="n"/>
      <c r="M20" s="35" t="inlineStr">
        <is>
          <t>MASTER</t>
        </is>
      </c>
      <c r="N20" s="174" t="n"/>
      <c r="O20" s="33">
        <f>N20*0.0225</f>
        <v/>
      </c>
      <c r="P20" s="46" t="n"/>
      <c r="Q20" s="31" t="n"/>
      <c r="R20" s="39" t="n"/>
      <c r="S20" s="40" t="n"/>
      <c r="T20" s="46" t="n"/>
      <c r="U20" s="35" t="inlineStr">
        <is>
          <t>MASTER</t>
        </is>
      </c>
      <c r="V20" s="174" t="n"/>
      <c r="W20" s="33">
        <f>V20*0.0225</f>
        <v/>
      </c>
      <c r="X20" s="49" t="n"/>
      <c r="Y20" s="31" t="inlineStr">
        <is>
          <t>MASTER</t>
        </is>
      </c>
      <c r="Z20" s="174" t="n"/>
      <c r="AA20" s="45">
        <f>Z20*0.0225</f>
        <v/>
      </c>
      <c r="AB20" s="46" t="n"/>
      <c r="AC20" s="46" t="n"/>
      <c r="AD20" s="35" t="inlineStr">
        <is>
          <t>MASTER</t>
        </is>
      </c>
      <c r="AE20" s="174" t="n"/>
      <c r="AF20" s="43">
        <f>AE20*0.0225</f>
        <v/>
      </c>
      <c r="AG20" s="48" t="n"/>
      <c r="AH20" s="46" t="n"/>
      <c r="AI20" s="35" t="inlineStr">
        <is>
          <t>MASTER</t>
        </is>
      </c>
      <c r="AJ20" s="174" t="n"/>
      <c r="AK20" s="33">
        <f>AJ20*0.0225</f>
        <v/>
      </c>
      <c r="AL20" s="46" t="n"/>
    </row>
    <row r="21" ht="27.75" customHeight="1" s="220">
      <c r="A21" s="31" t="inlineStr">
        <is>
          <t>MEDISAVE</t>
        </is>
      </c>
      <c r="B21" s="174" t="n"/>
      <c r="C21" s="33" t="n"/>
      <c r="D21" s="34" t="n"/>
      <c r="E21" s="35" t="inlineStr">
        <is>
          <t>MEDISAVE</t>
        </is>
      </c>
      <c r="F21" s="36" t="n"/>
      <c r="G21" s="33" t="n"/>
      <c r="H21" s="34" t="n"/>
      <c r="I21" s="35" t="inlineStr">
        <is>
          <t>MEDISAVE</t>
        </is>
      </c>
      <c r="J21" s="174" t="n"/>
      <c r="K21" s="33" t="n"/>
      <c r="L21" s="34" t="n"/>
      <c r="M21" s="35" t="inlineStr">
        <is>
          <t>MEDISAVE</t>
        </is>
      </c>
      <c r="N21" s="174" t="n"/>
      <c r="O21" s="33" t="n"/>
      <c r="P21" s="46" t="n"/>
      <c r="Q21" s="31" t="n"/>
      <c r="R21" s="39" t="n"/>
      <c r="S21" s="40" t="n"/>
      <c r="T21" s="46" t="n"/>
      <c r="U21" s="35" t="inlineStr">
        <is>
          <t>MEDISAVE</t>
        </is>
      </c>
      <c r="V21" s="174" t="n"/>
      <c r="W21" s="33" t="n"/>
      <c r="X21" s="49" t="n"/>
      <c r="Y21" s="31" t="inlineStr">
        <is>
          <t>MEDISAVE</t>
        </is>
      </c>
      <c r="Z21" s="174" t="n"/>
      <c r="AA21" s="45" t="n"/>
      <c r="AB21" s="46" t="n"/>
      <c r="AC21" s="46" t="n"/>
      <c r="AD21" s="35" t="inlineStr">
        <is>
          <t>MEDISAVE</t>
        </is>
      </c>
      <c r="AE21" s="174" t="n"/>
      <c r="AF21" s="43" t="n"/>
      <c r="AG21" s="48" t="n"/>
      <c r="AH21" s="46" t="n"/>
      <c r="AI21" s="35" t="inlineStr">
        <is>
          <t>MEDISAVE</t>
        </is>
      </c>
      <c r="AJ21" s="174" t="n"/>
      <c r="AK21" s="33" t="n"/>
      <c r="AL21" s="46" t="n"/>
    </row>
    <row r="22" ht="27.75" customHeight="1" s="220">
      <c r="A22" s="52" t="inlineStr">
        <is>
          <t>mednefits</t>
        </is>
      </c>
      <c r="B22" s="53" t="n"/>
      <c r="C22" s="54">
        <f>B22*20%</f>
        <v/>
      </c>
      <c r="D22" s="34" t="n"/>
      <c r="E22" s="35" t="inlineStr">
        <is>
          <t>mednefits</t>
        </is>
      </c>
      <c r="F22" s="50" t="n"/>
      <c r="G22" s="33">
        <f>F22*20%</f>
        <v/>
      </c>
      <c r="H22" s="34" t="n"/>
      <c r="I22" s="35" t="inlineStr">
        <is>
          <t>mednefits</t>
        </is>
      </c>
      <c r="J22" s="50" t="n"/>
      <c r="K22" s="33">
        <f>J22*20%</f>
        <v/>
      </c>
      <c r="L22" s="34" t="n"/>
      <c r="M22" s="35" t="inlineStr">
        <is>
          <t>mednefits</t>
        </is>
      </c>
      <c r="N22" s="36" t="n"/>
      <c r="O22" s="33">
        <f>N22*20%</f>
        <v/>
      </c>
      <c r="P22" s="46" t="n"/>
      <c r="Q22" s="31" t="n"/>
      <c r="R22" s="39" t="n"/>
      <c r="S22" s="40" t="n"/>
      <c r="T22" s="46" t="n"/>
      <c r="U22" s="35" t="inlineStr">
        <is>
          <t>mednefits</t>
        </is>
      </c>
      <c r="V22" s="36" t="n"/>
      <c r="W22" s="33">
        <f>V22*20%</f>
        <v/>
      </c>
      <c r="X22" s="49" t="n"/>
      <c r="Y22" s="52" t="inlineStr">
        <is>
          <t>mednefits</t>
        </is>
      </c>
      <c r="Z22" s="55" t="n"/>
      <c r="AA22" s="56">
        <f>Z22*20%</f>
        <v/>
      </c>
      <c r="AB22" s="46" t="n"/>
      <c r="AC22" s="46" t="n"/>
      <c r="AD22" s="57" t="inlineStr">
        <is>
          <t>mednefits</t>
        </is>
      </c>
      <c r="AE22" s="58" t="n"/>
      <c r="AF22" s="59">
        <f>AE22*20%</f>
        <v/>
      </c>
      <c r="AG22" s="48" t="n"/>
      <c r="AH22" s="46" t="n"/>
      <c r="AI22" s="57" t="inlineStr">
        <is>
          <t>mednefits</t>
        </is>
      </c>
      <c r="AJ22" s="58" t="n"/>
      <c r="AK22" s="33">
        <f>AJ22*20%</f>
        <v/>
      </c>
      <c r="AL22" s="46" t="n"/>
    </row>
    <row r="23" ht="27.75" customHeight="1" s="220">
      <c r="A23" s="35" t="inlineStr">
        <is>
          <t>MHC</t>
        </is>
      </c>
      <c r="B23" s="174" t="n"/>
      <c r="C23" s="33">
        <f>B23*0.15*1.09</f>
        <v/>
      </c>
      <c r="D23" s="34" t="n"/>
      <c r="E23" s="35" t="inlineStr">
        <is>
          <t>MHC</t>
        </is>
      </c>
      <c r="F23" s="36" t="n"/>
      <c r="G23" s="33">
        <f>F23*0.15*1.09</f>
        <v/>
      </c>
      <c r="H23" s="34" t="n"/>
      <c r="I23" s="35" t="inlineStr">
        <is>
          <t>MHC</t>
        </is>
      </c>
      <c r="J23" s="174" t="n"/>
      <c r="K23" s="33">
        <f>J23*0.15*1.09</f>
        <v/>
      </c>
      <c r="L23" s="34" t="n"/>
      <c r="M23" s="35" t="inlineStr">
        <is>
          <t>MHC</t>
        </is>
      </c>
      <c r="N23" s="174" t="n"/>
      <c r="O23" s="33">
        <f>N23*0.15*1.09</f>
        <v/>
      </c>
      <c r="P23" s="46" t="n"/>
      <c r="Q23" s="31" t="n"/>
      <c r="R23" s="39" t="n"/>
      <c r="S23" s="40" t="n"/>
      <c r="T23" s="46" t="n"/>
      <c r="U23" s="35" t="inlineStr">
        <is>
          <t>MHC</t>
        </is>
      </c>
      <c r="V23" s="197" t="n"/>
      <c r="W23" s="33">
        <f>V23*0.15*1.09</f>
        <v/>
      </c>
      <c r="X23" s="48" t="n"/>
      <c r="Y23" s="35" t="inlineStr">
        <is>
          <t>MHC</t>
        </is>
      </c>
      <c r="Z23" s="36" t="n"/>
      <c r="AA23" s="33">
        <f>Z23*0.15*1.09</f>
        <v/>
      </c>
      <c r="AB23" s="46" t="n"/>
      <c r="AC23" s="46" t="n"/>
      <c r="AD23" s="35" t="inlineStr">
        <is>
          <t>MHC</t>
        </is>
      </c>
      <c r="AE23" s="174" t="n"/>
      <c r="AF23" s="33">
        <f>AE23*0.15*1.09</f>
        <v/>
      </c>
      <c r="AG23" s="48" t="n"/>
      <c r="AH23" s="46" t="n"/>
      <c r="AI23" s="35" t="inlineStr">
        <is>
          <t>MHC</t>
        </is>
      </c>
      <c r="AJ23" s="174" t="n"/>
      <c r="AK23" s="33">
        <f>AJ23*0.15*1.09</f>
        <v/>
      </c>
      <c r="AL23" s="46" t="n"/>
    </row>
    <row r="24" ht="27.75" customHeight="1" s="220">
      <c r="A24" s="31" t="inlineStr">
        <is>
          <t>NETS</t>
        </is>
      </c>
      <c r="B24" s="32" t="n"/>
      <c r="C24" s="33">
        <f>B24*0.008</f>
        <v/>
      </c>
      <c r="D24" s="34" t="n"/>
      <c r="E24" s="35" t="inlineStr">
        <is>
          <t>NETS</t>
        </is>
      </c>
      <c r="F24" s="36" t="n"/>
      <c r="G24" s="33">
        <f>F24*0.008</f>
        <v/>
      </c>
      <c r="H24" s="34" t="n"/>
      <c r="I24" s="35" t="inlineStr">
        <is>
          <t>NETS</t>
        </is>
      </c>
      <c r="J24" s="36" t="n"/>
      <c r="K24" s="33">
        <f>J24*0.008</f>
        <v/>
      </c>
      <c r="L24" s="34" t="n"/>
      <c r="M24" s="35" t="inlineStr">
        <is>
          <t>NETS</t>
        </is>
      </c>
      <c r="N24" s="174" t="n"/>
      <c r="O24" s="33">
        <f>N24*0.008</f>
        <v/>
      </c>
      <c r="P24" s="46" t="n"/>
      <c r="Q24" s="31" t="n"/>
      <c r="R24" s="39" t="n"/>
      <c r="S24" s="40" t="n"/>
      <c r="T24" s="46" t="n"/>
      <c r="U24" s="35" t="inlineStr">
        <is>
          <t>NETS</t>
        </is>
      </c>
      <c r="V24" s="194" t="n"/>
      <c r="W24" s="33">
        <f>V24*0.008</f>
        <v/>
      </c>
      <c r="X24" s="48" t="n"/>
      <c r="Y24" s="35" t="inlineStr">
        <is>
          <t>NETS</t>
        </is>
      </c>
      <c r="Z24" s="36" t="n"/>
      <c r="AA24" s="33">
        <f>Z24*0.008</f>
        <v/>
      </c>
      <c r="AB24" s="46" t="n"/>
      <c r="AC24" s="46" t="n"/>
      <c r="AD24" s="35" t="inlineStr">
        <is>
          <t>NETS</t>
        </is>
      </c>
      <c r="AE24" s="36" t="n"/>
      <c r="AF24" s="33">
        <f>AE24*0.008</f>
        <v/>
      </c>
      <c r="AG24" s="48" t="n"/>
      <c r="AH24" s="46" t="n"/>
      <c r="AI24" s="35" t="inlineStr">
        <is>
          <t>NETS</t>
        </is>
      </c>
      <c r="AJ24" s="36" t="n"/>
      <c r="AK24" s="33">
        <f>AJ24*0.008</f>
        <v/>
      </c>
      <c r="AL24" s="46" t="n"/>
    </row>
    <row r="25" ht="27.75" customHeight="1" s="220">
      <c r="A25" s="35" t="inlineStr">
        <is>
          <t>PARKWAY</t>
        </is>
      </c>
      <c r="B25" s="174" t="n"/>
      <c r="C25" s="61">
        <f>B25*10%</f>
        <v/>
      </c>
      <c r="D25" s="34" t="n"/>
      <c r="E25" s="35" t="inlineStr">
        <is>
          <t>PARKWAY</t>
        </is>
      </c>
      <c r="F25" s="36" t="n"/>
      <c r="G25" s="61">
        <f>F25*10%</f>
        <v/>
      </c>
      <c r="H25" s="34" t="n"/>
      <c r="I25" s="35" t="inlineStr">
        <is>
          <t>PARKWAY</t>
        </is>
      </c>
      <c r="J25" s="174" t="n"/>
      <c r="K25" s="61">
        <f>J25*10%</f>
        <v/>
      </c>
      <c r="L25" s="34" t="n"/>
      <c r="M25" s="35" t="inlineStr">
        <is>
          <t>PARKWAY</t>
        </is>
      </c>
      <c r="N25" s="36" t="n"/>
      <c r="O25" s="61">
        <f>N25*10%</f>
        <v/>
      </c>
      <c r="P25" s="46" t="n"/>
      <c r="Q25" s="31" t="n"/>
      <c r="R25" s="39" t="n"/>
      <c r="S25" s="40" t="n"/>
      <c r="T25" s="46" t="n"/>
      <c r="U25" s="35" t="inlineStr">
        <is>
          <t>PARKWAY</t>
        </is>
      </c>
      <c r="V25" s="36" t="n"/>
      <c r="W25" s="61">
        <f>V25*10%</f>
        <v/>
      </c>
      <c r="X25" s="48" t="n"/>
      <c r="Y25" s="35" t="inlineStr">
        <is>
          <t>PARKWAY</t>
        </is>
      </c>
      <c r="Z25" s="36" t="n"/>
      <c r="AA25" s="33">
        <f>Z25*10%</f>
        <v/>
      </c>
      <c r="AB25" s="46" t="n"/>
      <c r="AC25" s="46" t="n"/>
      <c r="AD25" s="35" t="inlineStr">
        <is>
          <t>PARKWAY</t>
        </is>
      </c>
      <c r="AE25" s="36" t="n"/>
      <c r="AF25" s="33">
        <f>AE25*10%</f>
        <v/>
      </c>
      <c r="AG25" s="48" t="n"/>
      <c r="AH25" s="46" t="n"/>
      <c r="AI25" s="35" t="inlineStr">
        <is>
          <t>PARKWAY</t>
        </is>
      </c>
      <c r="AJ25" s="36" t="n"/>
      <c r="AK25" s="33">
        <f>AJ25*10%</f>
        <v/>
      </c>
      <c r="AL25" s="46" t="n"/>
    </row>
    <row r="26" ht="27.75" customHeight="1" s="220">
      <c r="A26" s="31" t="inlineStr">
        <is>
          <t>PAYNOW</t>
        </is>
      </c>
      <c r="B26" s="174" t="n"/>
      <c r="C26" s="33" t="n"/>
      <c r="D26" s="34" t="n"/>
      <c r="E26" s="35" t="inlineStr">
        <is>
          <t>PAYNOW</t>
        </is>
      </c>
      <c r="F26" s="36" t="n"/>
      <c r="G26" s="33" t="n"/>
      <c r="H26" s="34" t="n"/>
      <c r="I26" s="35" t="inlineStr">
        <is>
          <t>PAYNOW</t>
        </is>
      </c>
      <c r="J26" s="174" t="n"/>
      <c r="K26" s="33" t="n"/>
      <c r="L26" s="34" t="n"/>
      <c r="M26" s="35" t="inlineStr">
        <is>
          <t>PAYNOW</t>
        </is>
      </c>
      <c r="N26" s="174" t="n"/>
      <c r="O26" s="33" t="n"/>
      <c r="P26" s="46" t="n"/>
      <c r="Q26" s="31" t="n"/>
      <c r="R26" s="39" t="n"/>
      <c r="S26" s="40" t="n"/>
      <c r="T26" s="46" t="n"/>
      <c r="U26" s="35" t="inlineStr">
        <is>
          <t>PAYNOW</t>
        </is>
      </c>
      <c r="V26" s="174" t="n"/>
      <c r="W26" s="33" t="n"/>
      <c r="X26" s="48" t="n"/>
      <c r="Y26" s="35" t="inlineStr">
        <is>
          <t>PAYNOW</t>
        </is>
      </c>
      <c r="Z26" s="174" t="n"/>
      <c r="AA26" s="33" t="n"/>
      <c r="AB26" s="46" t="n"/>
      <c r="AC26" s="46" t="n"/>
      <c r="AD26" s="35" t="inlineStr">
        <is>
          <t>PAYNOW</t>
        </is>
      </c>
      <c r="AE26" s="174" t="n"/>
      <c r="AF26" s="33" t="n"/>
      <c r="AG26" s="48" t="n"/>
      <c r="AH26" s="46" t="n"/>
      <c r="AI26" s="35" t="inlineStr">
        <is>
          <t>PAYNOW</t>
        </is>
      </c>
      <c r="AJ26" s="174" t="n"/>
      <c r="AK26" s="33" t="n"/>
      <c r="AL26" s="46" t="n"/>
    </row>
    <row r="27" ht="27.75" customHeight="1" s="220">
      <c r="A27" s="63" t="inlineStr">
        <is>
          <t>RHI</t>
        </is>
      </c>
      <c r="B27" s="64" t="n"/>
      <c r="C27" s="65" t="n"/>
      <c r="D27" s="34" t="n"/>
      <c r="E27" s="35" t="inlineStr">
        <is>
          <t>RHI</t>
        </is>
      </c>
      <c r="F27" s="36" t="n"/>
      <c r="G27" s="33" t="n"/>
      <c r="H27" s="34" t="n"/>
      <c r="I27" s="35" t="inlineStr">
        <is>
          <t>RHI</t>
        </is>
      </c>
      <c r="J27" s="36" t="n"/>
      <c r="K27" s="33" t="n"/>
      <c r="L27" s="34" t="n"/>
      <c r="M27" s="35" t="inlineStr">
        <is>
          <t>RHI</t>
        </is>
      </c>
      <c r="N27" s="36" t="n"/>
      <c r="O27" s="33" t="n"/>
      <c r="P27" s="46" t="n"/>
      <c r="Q27" s="31" t="n"/>
      <c r="R27" s="39" t="n"/>
      <c r="S27" s="40" t="n"/>
      <c r="T27" s="46" t="n"/>
      <c r="U27" s="35" t="inlineStr">
        <is>
          <t>RHI</t>
        </is>
      </c>
      <c r="V27" s="51" t="n"/>
      <c r="W27" s="33" t="n"/>
      <c r="X27" s="48" t="n"/>
      <c r="Y27" s="35" t="inlineStr">
        <is>
          <t>RHI</t>
        </is>
      </c>
      <c r="Z27" s="36" t="n"/>
      <c r="AA27" s="33" t="n"/>
      <c r="AB27" s="46" t="n"/>
      <c r="AC27" s="46" t="n"/>
      <c r="AD27" s="35" t="inlineStr">
        <is>
          <t>RHI</t>
        </is>
      </c>
      <c r="AE27" s="36" t="n"/>
      <c r="AF27" s="33" t="n"/>
      <c r="AG27" s="48" t="n"/>
      <c r="AH27" s="46" t="n"/>
      <c r="AI27" s="35" t="inlineStr">
        <is>
          <t>RHI</t>
        </is>
      </c>
      <c r="AJ27" s="36" t="n"/>
      <c r="AK27" s="33" t="n"/>
      <c r="AL27" s="46" t="n"/>
    </row>
    <row r="28" ht="27.75" customHeight="1" s="220">
      <c r="A28" s="35" t="inlineStr">
        <is>
          <t>SAH</t>
        </is>
      </c>
      <c r="B28" s="36" t="n"/>
      <c r="C28" s="61">
        <f>B28*8%</f>
        <v/>
      </c>
      <c r="D28" s="34" t="n"/>
      <c r="E28" s="35" t="inlineStr">
        <is>
          <t>SAH</t>
        </is>
      </c>
      <c r="F28" s="36" t="n"/>
      <c r="G28" s="61">
        <f>F28*8%</f>
        <v/>
      </c>
      <c r="H28" s="34" t="n"/>
      <c r="I28" s="35" t="inlineStr">
        <is>
          <t>SAH</t>
        </is>
      </c>
      <c r="J28" s="36" t="n"/>
      <c r="K28" s="61">
        <f>J28*8%</f>
        <v/>
      </c>
      <c r="L28" s="34" t="n"/>
      <c r="M28" s="35" t="inlineStr">
        <is>
          <t>SAH</t>
        </is>
      </c>
      <c r="N28" s="36" t="n"/>
      <c r="O28" s="61">
        <f>N28*8%</f>
        <v/>
      </c>
      <c r="P28" s="46" t="n"/>
      <c r="Q28" s="31" t="n"/>
      <c r="R28" s="39" t="n"/>
      <c r="S28" s="40" t="n"/>
      <c r="T28" s="46" t="n"/>
      <c r="U28" s="35" t="inlineStr">
        <is>
          <t>SAH</t>
        </is>
      </c>
      <c r="V28" s="36" t="n"/>
      <c r="W28" s="61">
        <f>V28*8%</f>
        <v/>
      </c>
      <c r="X28" s="48" t="n"/>
      <c r="Y28" s="35" t="inlineStr">
        <is>
          <t>SAH</t>
        </is>
      </c>
      <c r="Z28" s="36" t="n"/>
      <c r="AA28" s="61">
        <f>Z28*8%</f>
        <v/>
      </c>
      <c r="AB28" s="46" t="n"/>
      <c r="AC28" s="46" t="n"/>
      <c r="AD28" s="35" t="inlineStr">
        <is>
          <t>SAH</t>
        </is>
      </c>
      <c r="AE28" s="36" t="n"/>
      <c r="AF28" s="61">
        <f>AE28*8%</f>
        <v/>
      </c>
      <c r="AG28" s="48" t="n"/>
      <c r="AH28" s="46" t="n"/>
      <c r="AI28" s="35" t="inlineStr">
        <is>
          <t>SAH</t>
        </is>
      </c>
      <c r="AJ28" s="36" t="n"/>
      <c r="AK28" s="61">
        <f>AJ28*8%</f>
        <v/>
      </c>
      <c r="AL28" s="46" t="n"/>
    </row>
    <row r="29" ht="27.75" customHeight="1" s="220">
      <c r="A29" s="52" t="inlineStr">
        <is>
          <t>UNION PAY</t>
        </is>
      </c>
      <c r="B29" s="174" t="n"/>
      <c r="C29" s="54">
        <f>B29*2.5%</f>
        <v/>
      </c>
      <c r="D29" s="34" t="n"/>
      <c r="E29" s="35" t="inlineStr">
        <is>
          <t>UNION PAY</t>
        </is>
      </c>
      <c r="F29" s="36" t="n"/>
      <c r="G29" s="33">
        <f>F29*2.5%</f>
        <v/>
      </c>
      <c r="H29" s="34" t="n"/>
      <c r="I29" s="35" t="inlineStr">
        <is>
          <t>UNION PAY</t>
        </is>
      </c>
      <c r="J29" s="174" t="n"/>
      <c r="K29" s="33">
        <f>J29*2.5%</f>
        <v/>
      </c>
      <c r="L29" s="34" t="n"/>
      <c r="M29" s="35" t="inlineStr">
        <is>
          <t>UNION PAY</t>
        </is>
      </c>
      <c r="N29" s="36" t="n"/>
      <c r="O29" s="33">
        <f>N29*2.5%</f>
        <v/>
      </c>
      <c r="P29" s="46" t="n"/>
      <c r="Q29" s="31" t="n"/>
      <c r="R29" s="39" t="n"/>
      <c r="S29" s="40" t="n"/>
      <c r="T29" s="46" t="n"/>
      <c r="U29" s="35" t="inlineStr">
        <is>
          <t>UNION PAY</t>
        </is>
      </c>
      <c r="V29" s="36" t="n"/>
      <c r="W29" s="33">
        <f>V29*2.5%</f>
        <v/>
      </c>
      <c r="X29" s="48" t="n"/>
      <c r="Y29" s="35" t="inlineStr">
        <is>
          <t>UNION PAY</t>
        </is>
      </c>
      <c r="Z29" s="36" t="n"/>
      <c r="AA29" s="33">
        <f>Z29*2.5%</f>
        <v/>
      </c>
      <c r="AB29" s="46" t="n"/>
      <c r="AC29" s="46" t="n"/>
      <c r="AD29" s="35" t="inlineStr">
        <is>
          <t>UNION PAY</t>
        </is>
      </c>
      <c r="AE29" s="36" t="n"/>
      <c r="AF29" s="33">
        <f>AE29*2.5%</f>
        <v/>
      </c>
      <c r="AG29" s="48" t="n"/>
      <c r="AH29" s="46" t="n"/>
      <c r="AI29" s="35" t="inlineStr">
        <is>
          <t>UNION PAY</t>
        </is>
      </c>
      <c r="AJ29" s="36" t="n"/>
      <c r="AK29" s="33">
        <f>AJ29*2.5%</f>
        <v/>
      </c>
      <c r="AL29" s="46" t="n"/>
    </row>
    <row r="30" ht="28.5" customHeight="1" s="220">
      <c r="A30" s="66" t="inlineStr">
        <is>
          <t>VISA</t>
        </is>
      </c>
      <c r="B30" s="67" t="n"/>
      <c r="C30" s="68">
        <f>B30*0.0225</f>
        <v/>
      </c>
      <c r="D30" s="34" t="n"/>
      <c r="E30" s="69" t="inlineStr">
        <is>
          <t>VISA</t>
        </is>
      </c>
      <c r="F30" s="70" t="n"/>
      <c r="G30" s="68">
        <f>F30*0.0225</f>
        <v/>
      </c>
      <c r="H30" s="34" t="n"/>
      <c r="I30" s="69" t="inlineStr">
        <is>
          <t>VISA</t>
        </is>
      </c>
      <c r="J30" s="70" t="n"/>
      <c r="K30" s="68">
        <f>J30*0.0225</f>
        <v/>
      </c>
      <c r="L30" s="34" t="n"/>
      <c r="M30" s="69" t="inlineStr">
        <is>
          <t>VISA</t>
        </is>
      </c>
      <c r="N30" s="70" t="n"/>
      <c r="O30" s="68">
        <f>N30*0.0225</f>
        <v/>
      </c>
      <c r="P30" s="46" t="n"/>
      <c r="Q30" s="31" t="n"/>
      <c r="R30" s="39" t="n"/>
      <c r="S30" s="40" t="n"/>
      <c r="T30" s="46" t="n"/>
      <c r="U30" s="69" t="inlineStr">
        <is>
          <t>VISA</t>
        </is>
      </c>
      <c r="V30" s="71" t="n"/>
      <c r="W30" s="68">
        <f>V30*0.0225</f>
        <v/>
      </c>
      <c r="X30" s="48" t="n"/>
      <c r="Y30" s="69" t="inlineStr">
        <is>
          <t>VISA</t>
        </is>
      </c>
      <c r="Z30" s="70" t="n"/>
      <c r="AA30" s="68">
        <f>Z30*0.0225</f>
        <v/>
      </c>
      <c r="AB30" s="46" t="n"/>
      <c r="AC30" s="46" t="n"/>
      <c r="AD30" s="69" t="inlineStr">
        <is>
          <t>VISA</t>
        </is>
      </c>
      <c r="AE30" s="70" t="n"/>
      <c r="AF30" s="68">
        <f>AE30*0.0225</f>
        <v/>
      </c>
      <c r="AG30" s="48" t="n"/>
      <c r="AH30" s="46" t="n"/>
      <c r="AI30" s="69" t="inlineStr">
        <is>
          <t>VISA</t>
        </is>
      </c>
      <c r="AJ30" s="70" t="n"/>
      <c r="AK30" s="68">
        <f>AJ30*0.0225</f>
        <v/>
      </c>
      <c r="AL30" s="46" t="n"/>
    </row>
    <row r="31" ht="32.25" customHeight="1" s="220">
      <c r="A31" s="72" t="inlineStr">
        <is>
          <t>TOTAL INCOME</t>
        </is>
      </c>
      <c r="B31" s="188">
        <f>SUM(B7:B30)</f>
        <v/>
      </c>
      <c r="C31" s="74">
        <f>SUM(C7:C30)</f>
        <v/>
      </c>
      <c r="D31" s="34" t="n"/>
      <c r="E31" s="75" t="inlineStr">
        <is>
          <t>DR TOTAL INCOME</t>
        </is>
      </c>
      <c r="F31" s="75">
        <f>SUM(F7:F30)</f>
        <v/>
      </c>
      <c r="G31" s="76">
        <f>SUM(G7:G30)</f>
        <v/>
      </c>
      <c r="H31" s="34" t="n"/>
      <c r="I31" s="77" t="inlineStr">
        <is>
          <t>DR TOTAL INCOME</t>
        </is>
      </c>
      <c r="J31" s="189">
        <f>SUM(J7:J30)</f>
        <v/>
      </c>
      <c r="K31" s="79">
        <f>SUM(K7:K30)</f>
        <v/>
      </c>
      <c r="L31" s="34" t="n"/>
      <c r="M31" s="77" t="inlineStr">
        <is>
          <t>DR TOTAL INCOME</t>
        </is>
      </c>
      <c r="N31" s="189">
        <f>SUM(N7:N30)</f>
        <v/>
      </c>
      <c r="O31" s="80">
        <f>SUM(O7:O30)</f>
        <v/>
      </c>
      <c r="P31" s="46" t="n"/>
      <c r="Q31" s="31" t="n"/>
      <c r="R31" s="39" t="n"/>
      <c r="S31" s="40" t="n"/>
      <c r="T31" s="46" t="n"/>
      <c r="U31" s="75" t="inlineStr">
        <is>
          <t>DR TOTAL INCOME</t>
        </is>
      </c>
      <c r="V31" s="190">
        <f>SUM(V7:V30)</f>
        <v/>
      </c>
      <c r="W31" s="82">
        <f>SUM(W7:W30)</f>
        <v/>
      </c>
      <c r="X31" s="49" t="n"/>
      <c r="Y31" s="77" t="inlineStr">
        <is>
          <t>DR TOTAL INCOME</t>
        </is>
      </c>
      <c r="Z31" s="191">
        <f>SUM(Z7:Z30)</f>
        <v/>
      </c>
      <c r="AA31" s="79">
        <f>SUM(AA7:AA30)</f>
        <v/>
      </c>
      <c r="AB31" s="46" t="n"/>
      <c r="AC31" s="46" t="n"/>
      <c r="AD31" s="84" t="inlineStr">
        <is>
          <t>DR TOTAL INCOME</t>
        </is>
      </c>
      <c r="AE31" s="192">
        <f>SUM(AE7:AE30)</f>
        <v/>
      </c>
      <c r="AF31" s="82">
        <f>SUM(AF7:AF30)</f>
        <v/>
      </c>
      <c r="AG31" s="48" t="n"/>
      <c r="AH31" s="46" t="n"/>
      <c r="AI31" s="84" t="inlineStr">
        <is>
          <t>DR TOTAL INCOME</t>
        </is>
      </c>
      <c r="AJ31" s="191">
        <f>SUM(AJ7:AJ30)</f>
        <v/>
      </c>
      <c r="AK31" s="80">
        <f>SUM(AK7:AK30)</f>
        <v/>
      </c>
      <c r="AL31" s="46" t="n"/>
    </row>
    <row r="32" ht="29.25" customHeight="1" s="220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31" t="n"/>
      <c r="R32" s="39" t="n"/>
      <c r="S32" s="40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8" t="n"/>
      <c r="AH32" s="46" t="n"/>
      <c r="AI32" s="208" t="n"/>
      <c r="AJ32" s="108" t="n"/>
      <c r="AK32" s="209" t="n"/>
      <c r="AL32" s="46" t="n"/>
    </row>
    <row r="33" ht="23.25" customHeight="1" s="220">
      <c r="A33" s="86" t="n"/>
      <c r="B33" s="230" t="inlineStr">
        <is>
          <t>EXPENSES</t>
        </is>
      </c>
      <c r="C33" s="231" t="n"/>
      <c r="D33" s="86" t="n"/>
      <c r="E33" s="86" t="n"/>
      <c r="F33" s="232" t="inlineStr">
        <is>
          <t>DEDUCTIONS</t>
        </is>
      </c>
      <c r="G33" s="222" t="n"/>
      <c r="H33" s="90" t="inlineStr">
        <is>
          <t>REMARKS</t>
        </is>
      </c>
      <c r="I33" s="86" t="n"/>
      <c r="J33" s="230" t="inlineStr">
        <is>
          <t>DEDUCTIONS</t>
        </is>
      </c>
      <c r="K33" s="231" t="n"/>
      <c r="L33" s="90" t="inlineStr">
        <is>
          <t>REMARKS</t>
        </is>
      </c>
      <c r="M33" s="86" t="n"/>
      <c r="N33" s="230" t="inlineStr">
        <is>
          <t>DEDUCTIONS</t>
        </is>
      </c>
      <c r="O33" s="231" t="n"/>
      <c r="P33" s="90" t="inlineStr">
        <is>
          <t>REMARKS</t>
        </is>
      </c>
      <c r="Q33" s="86" t="n"/>
      <c r="R33" s="232" t="inlineStr">
        <is>
          <t>DEDUCTIONS</t>
        </is>
      </c>
      <c r="S33" s="222" t="n"/>
      <c r="T33" s="90" t="inlineStr">
        <is>
          <t>REMARKS</t>
        </is>
      </c>
      <c r="U33" s="86" t="n"/>
      <c r="V33" s="230" t="inlineStr">
        <is>
          <t>DEDUCTIONS</t>
        </is>
      </c>
      <c r="W33" s="231" t="n"/>
      <c r="X33" s="90" t="inlineStr">
        <is>
          <t>REMARKS</t>
        </is>
      </c>
      <c r="Y33" s="86" t="n"/>
      <c r="Z33" s="230" t="inlineStr">
        <is>
          <t>DEDUCTIONS</t>
        </is>
      </c>
      <c r="AA33" s="231" t="n"/>
      <c r="AB33" s="90" t="inlineStr">
        <is>
          <t>REMARKS</t>
        </is>
      </c>
      <c r="AC33" s="86" t="n"/>
      <c r="AD33" s="86" t="n"/>
      <c r="AE33" s="230" t="inlineStr">
        <is>
          <t>DEDUCTIONS</t>
        </is>
      </c>
      <c r="AF33" s="231" t="n"/>
      <c r="AG33" s="90" t="inlineStr">
        <is>
          <t>REMARKS</t>
        </is>
      </c>
      <c r="AH33" s="86" t="n"/>
      <c r="AI33" s="86" t="n"/>
      <c r="AJ33" s="230" t="inlineStr">
        <is>
          <t>DEDUCTIONS</t>
        </is>
      </c>
      <c r="AK33" s="231" t="n"/>
      <c r="AL33" s="90" t="inlineStr">
        <is>
          <t>REMARKS</t>
        </is>
      </c>
    </row>
    <row r="34" ht="30.75" customHeight="1" s="220">
      <c r="A34" s="1" t="n"/>
      <c r="B34" s="96" t="inlineStr">
        <is>
          <t>ADMIN FEE</t>
        </is>
      </c>
      <c r="C34" s="97">
        <f>SUM(C7:C30)</f>
        <v/>
      </c>
      <c r="D34" s="1" t="n"/>
      <c r="E34" s="1" t="n"/>
      <c r="F34" s="31" t="inlineStr">
        <is>
          <t>ADMIN CHARGES</t>
        </is>
      </c>
      <c r="G34" s="93">
        <f>G31</f>
        <v/>
      </c>
      <c r="H34" s="90" t="n"/>
      <c r="I34" s="1" t="n"/>
      <c r="J34" s="35" t="inlineStr">
        <is>
          <t>ADMIN CHARGES</t>
        </is>
      </c>
      <c r="K34" s="94">
        <f>K31</f>
        <v/>
      </c>
      <c r="L34" s="90" t="n"/>
      <c r="M34" s="1" t="n"/>
      <c r="N34" s="35" t="inlineStr">
        <is>
          <t>ADMIN CHARGES</t>
        </is>
      </c>
      <c r="O34" s="94">
        <f>O31</f>
        <v/>
      </c>
      <c r="P34" s="90" t="n"/>
      <c r="Q34" s="1" t="n"/>
      <c r="R34" s="31" t="inlineStr">
        <is>
          <t>ADMIN CHARGES</t>
        </is>
      </c>
      <c r="S34" s="93">
        <f>#REF!</f>
        <v/>
      </c>
      <c r="T34" s="90" t="n"/>
      <c r="U34" s="1" t="n"/>
      <c r="V34" s="35" t="inlineStr">
        <is>
          <t>ADMIN CHARGES</t>
        </is>
      </c>
      <c r="W34" s="94">
        <f>W31</f>
        <v/>
      </c>
      <c r="X34" s="90" t="n"/>
      <c r="Y34" s="1" t="n"/>
      <c r="Z34" s="35" t="inlineStr">
        <is>
          <t>ADMIN CHARGES</t>
        </is>
      </c>
      <c r="AA34" s="94">
        <f>AA31</f>
        <v/>
      </c>
      <c r="AB34" s="90" t="n"/>
      <c r="AC34" s="1" t="n"/>
      <c r="AD34" s="1" t="n"/>
      <c r="AE34" s="35" t="inlineStr">
        <is>
          <t>ADMIN CHARGES</t>
        </is>
      </c>
      <c r="AF34" s="111">
        <f>AF31</f>
        <v/>
      </c>
      <c r="AG34" s="90" t="n"/>
      <c r="AH34" s="1" t="n"/>
      <c r="AI34" s="1" t="n"/>
      <c r="AJ34" s="31" t="inlineStr">
        <is>
          <t>ADMIN CHARGES</t>
        </is>
      </c>
      <c r="AK34" s="93">
        <f>AK31</f>
        <v/>
      </c>
      <c r="AL34" s="90" t="n"/>
    </row>
    <row r="35" ht="30.75" customHeight="1" s="220">
      <c r="A35" s="1" t="n"/>
      <c r="B35" s="96" t="inlineStr">
        <is>
          <t>GST</t>
        </is>
      </c>
      <c r="C35" s="97">
        <f>G35+K35+O35+S35+W35+AA35+AF35+AK35</f>
        <v/>
      </c>
      <c r="D35" s="1" t="n"/>
      <c r="E35" s="1" t="n"/>
      <c r="F35" s="31" t="inlineStr">
        <is>
          <t>GST</t>
        </is>
      </c>
      <c r="G35" s="100" t="n">
        <v>0</v>
      </c>
      <c r="H35" s="90" t="n"/>
      <c r="I35" s="1" t="n"/>
      <c r="J35" s="35" t="inlineStr">
        <is>
          <t>GST</t>
        </is>
      </c>
      <c r="K35" s="51" t="n"/>
      <c r="L35" s="90" t="n"/>
      <c r="M35" s="1" t="n"/>
      <c r="N35" s="35" t="inlineStr">
        <is>
          <t>GST</t>
        </is>
      </c>
      <c r="O35" s="51" t="n"/>
      <c r="P35" s="90" t="n"/>
      <c r="Q35" s="1" t="n"/>
      <c r="R35" s="31" t="inlineStr">
        <is>
          <t>GST</t>
        </is>
      </c>
      <c r="S35" s="100" t="n"/>
      <c r="T35" s="90" t="n"/>
      <c r="U35" s="1" t="n"/>
      <c r="V35" s="35" t="inlineStr">
        <is>
          <t>GST</t>
        </is>
      </c>
      <c r="W35" s="51" t="n"/>
      <c r="X35" s="90" t="n"/>
      <c r="Y35" s="1" t="n"/>
      <c r="Z35" s="35" t="inlineStr">
        <is>
          <t>GST</t>
        </is>
      </c>
      <c r="AA35" s="51" t="n"/>
      <c r="AB35" s="90" t="n"/>
      <c r="AC35" s="1" t="n"/>
      <c r="AD35" s="1" t="n"/>
      <c r="AE35" s="35" t="inlineStr">
        <is>
          <t>GST</t>
        </is>
      </c>
      <c r="AF35" s="36" t="n"/>
      <c r="AG35" s="90" t="n"/>
      <c r="AH35" s="1" t="n"/>
      <c r="AI35" s="1" t="n"/>
      <c r="AJ35" s="31" t="inlineStr">
        <is>
          <t>GST</t>
        </is>
      </c>
      <c r="AK35" s="100" t="n"/>
      <c r="AL35" s="90" t="n"/>
    </row>
    <row r="36" ht="30.75" customHeight="1" s="220">
      <c r="A36" s="1" t="n"/>
      <c r="B36" s="96" t="inlineStr">
        <is>
          <t>RENTAL</t>
        </is>
      </c>
      <c r="C36" s="97" t="n"/>
      <c r="D36" s="1" t="n"/>
      <c r="E36" s="1" t="n"/>
      <c r="F36" s="31" t="inlineStr">
        <is>
          <t>ICC-5</t>
        </is>
      </c>
      <c r="G36" s="100" t="n">
        <v>0</v>
      </c>
      <c r="H36" s="90" t="n"/>
      <c r="I36" s="1" t="n"/>
      <c r="J36" s="35" t="inlineStr">
        <is>
          <t>ICC-5</t>
        </is>
      </c>
      <c r="K36" s="51" t="n"/>
      <c r="L36" s="90" t="n"/>
      <c r="M36" s="1" t="n"/>
      <c r="N36" s="35" t="inlineStr">
        <is>
          <t>ICC-5</t>
        </is>
      </c>
      <c r="O36" s="51" t="n"/>
      <c r="P36" s="90" t="n"/>
      <c r="Q36" s="1" t="n"/>
      <c r="R36" s="31" t="n"/>
      <c r="S36" s="100" t="n"/>
      <c r="T36" s="90" t="n"/>
      <c r="U36" s="1" t="n"/>
      <c r="V36" s="35" t="inlineStr">
        <is>
          <t>ICC-5</t>
        </is>
      </c>
      <c r="W36" s="51" t="n"/>
      <c r="X36" s="90" t="n"/>
      <c r="Y36" s="1" t="n"/>
      <c r="Z36" s="35" t="inlineStr">
        <is>
          <t>ICC-5</t>
        </is>
      </c>
      <c r="AA36" s="51" t="n"/>
      <c r="AB36" s="90" t="n"/>
      <c r="AC36" s="1" t="n"/>
      <c r="AD36" s="1" t="n"/>
      <c r="AE36" s="35" t="inlineStr">
        <is>
          <t>ICC-5</t>
        </is>
      </c>
      <c r="AF36" s="36" t="n"/>
      <c r="AG36" s="90" t="n"/>
      <c r="AH36" s="1" t="n"/>
      <c r="AI36" s="1" t="n"/>
      <c r="AJ36" s="31" t="inlineStr">
        <is>
          <t>ICC-5</t>
        </is>
      </c>
      <c r="AK36" s="100" t="n"/>
      <c r="AL36" s="90" t="n"/>
    </row>
    <row r="37" ht="30.75" customHeight="1" s="220">
      <c r="A37" s="1" t="n"/>
      <c r="B37" s="96" t="inlineStr">
        <is>
          <t>LOAN INTEREST</t>
        </is>
      </c>
      <c r="C37" s="97" t="n"/>
      <c r="D37" s="1" t="n"/>
      <c r="E37" s="1" t="n"/>
      <c r="F37" s="31" t="inlineStr">
        <is>
          <t>PRODUCTS</t>
        </is>
      </c>
      <c r="G37" s="100" t="n"/>
      <c r="H37" s="90" t="n"/>
      <c r="I37" s="1" t="n"/>
      <c r="J37" s="35" t="inlineStr">
        <is>
          <t>PRODUCTS</t>
        </is>
      </c>
      <c r="K37" s="51" t="n"/>
      <c r="L37" s="90" t="n"/>
      <c r="M37" s="1" t="n"/>
      <c r="N37" s="35" t="inlineStr">
        <is>
          <t>PRODUCTS</t>
        </is>
      </c>
      <c r="O37" s="51" t="n"/>
      <c r="P37" s="90" t="n"/>
      <c r="Q37" s="1" t="n"/>
      <c r="R37" s="31" t="n"/>
      <c r="S37" s="100" t="n"/>
      <c r="T37" s="90" t="n"/>
      <c r="U37" s="1" t="n"/>
      <c r="V37" s="35" t="inlineStr">
        <is>
          <t>PRODUCTS</t>
        </is>
      </c>
      <c r="W37" s="51" t="n"/>
      <c r="X37" s="90" t="n"/>
      <c r="Y37" s="1" t="n"/>
      <c r="Z37" s="35" t="inlineStr">
        <is>
          <t>PRODUCTS</t>
        </is>
      </c>
      <c r="AA37" s="51" t="n"/>
      <c r="AB37" s="90" t="n"/>
      <c r="AC37" s="1" t="n"/>
      <c r="AD37" s="1" t="n"/>
      <c r="AE37" s="35" t="inlineStr">
        <is>
          <t>PRODUCTS</t>
        </is>
      </c>
      <c r="AF37" s="36" t="n"/>
      <c r="AG37" s="90" t="n"/>
      <c r="AH37" s="1" t="n"/>
      <c r="AI37" s="1" t="n"/>
      <c r="AJ37" s="31" t="inlineStr">
        <is>
          <t>PRODUCTS</t>
        </is>
      </c>
      <c r="AK37" s="100" t="n"/>
      <c r="AL37" s="90" t="n"/>
    </row>
    <row r="38" ht="30.75" customHeight="1" s="220">
      <c r="A38" s="1" t="n"/>
      <c r="B38" s="96" t="inlineStr">
        <is>
          <t xml:space="preserve">IRAS TAX </t>
        </is>
      </c>
      <c r="C38" s="97" t="n"/>
      <c r="D38" s="136" t="n"/>
      <c r="E38" s="1" t="n"/>
      <c r="F38" s="31" t="inlineStr">
        <is>
          <t>ORTHO (B+B)</t>
        </is>
      </c>
      <c r="G38" s="100" t="n"/>
      <c r="H38" s="90" t="n"/>
      <c r="I38" s="1" t="n"/>
      <c r="J38" s="35" t="inlineStr">
        <is>
          <t>ORTHO (B+B)</t>
        </is>
      </c>
      <c r="K38" s="51" t="n"/>
      <c r="L38" s="90" t="n"/>
      <c r="M38" s="1" t="n"/>
      <c r="N38" s="35" t="inlineStr">
        <is>
          <t>ORTHO (B+B)</t>
        </is>
      </c>
      <c r="O38" s="51" t="n"/>
      <c r="P38" s="90" t="n"/>
      <c r="Q38" s="1" t="n"/>
      <c r="R38" s="31" t="n"/>
      <c r="S38" s="100" t="n"/>
      <c r="T38" s="90" t="n"/>
      <c r="U38" s="1" t="n"/>
      <c r="V38" s="35" t="inlineStr">
        <is>
          <t>ORTHO (B+B)</t>
        </is>
      </c>
      <c r="W38" s="51" t="n"/>
      <c r="X38" s="90" t="n"/>
      <c r="Y38" s="1" t="n"/>
      <c r="Z38" s="35" t="inlineStr">
        <is>
          <t>ORTHO (B+B)</t>
        </is>
      </c>
      <c r="AA38" s="51" t="n"/>
      <c r="AB38" s="90" t="n"/>
      <c r="AC38" s="1" t="n"/>
      <c r="AD38" s="1" t="n"/>
      <c r="AE38" s="35" t="inlineStr">
        <is>
          <t>ORTHO (B+B)</t>
        </is>
      </c>
      <c r="AF38" s="36" t="n"/>
      <c r="AG38" s="90" t="n"/>
      <c r="AH38" s="1" t="n"/>
      <c r="AI38" s="1" t="n"/>
      <c r="AJ38" s="31" t="inlineStr">
        <is>
          <t>ORTHO (B+B)</t>
        </is>
      </c>
      <c r="AK38" s="100" t="n"/>
      <c r="AL38" s="90" t="n"/>
    </row>
    <row r="39" ht="30.75" customHeight="1" s="220">
      <c r="A39" s="1" t="n"/>
      <c r="B39" s="96" t="inlineStr">
        <is>
          <t>CK SECRETARIAL / ACCOUNTS SERVICES</t>
        </is>
      </c>
      <c r="C39" s="97" t="n"/>
      <c r="D39" s="1" t="n"/>
      <c r="E39" s="1" t="n"/>
      <c r="F39" s="31" t="inlineStr">
        <is>
          <t>ABUTMENTS</t>
        </is>
      </c>
      <c r="G39" s="100" t="n"/>
      <c r="H39" s="98" t="n"/>
      <c r="I39" s="1" t="n"/>
      <c r="J39" s="35" t="inlineStr">
        <is>
          <t>ABUTMENTS</t>
        </is>
      </c>
      <c r="K39" s="51" t="n"/>
      <c r="L39" s="90" t="n"/>
      <c r="M39" s="1" t="n"/>
      <c r="N39" s="35" t="inlineStr">
        <is>
          <t>ABUTMENTS</t>
        </is>
      </c>
      <c r="O39" s="51" t="n"/>
      <c r="P39" s="90" t="n"/>
      <c r="Q39" s="1" t="n"/>
      <c r="R39" s="31" t="n"/>
      <c r="S39" s="100" t="n"/>
      <c r="T39" s="90" t="n"/>
      <c r="U39" s="1" t="n"/>
      <c r="V39" s="35" t="inlineStr">
        <is>
          <t>ABUTMENTS</t>
        </is>
      </c>
      <c r="W39" s="51" t="n"/>
      <c r="X39" s="90" t="n"/>
      <c r="Y39" s="1" t="n"/>
      <c r="Z39" s="35" t="inlineStr">
        <is>
          <t>ABUTMENTS</t>
        </is>
      </c>
      <c r="AA39" s="51" t="n"/>
      <c r="AB39" s="90" t="n"/>
      <c r="AC39" s="1" t="n"/>
      <c r="AD39" s="1" t="n"/>
      <c r="AE39" s="35" t="inlineStr">
        <is>
          <t>ABUTMENTS</t>
        </is>
      </c>
      <c r="AF39" s="36" t="n"/>
      <c r="AG39" s="90" t="n"/>
      <c r="AH39" s="1" t="n"/>
      <c r="AI39" s="1" t="n"/>
      <c r="AJ39" s="31" t="inlineStr">
        <is>
          <t>ABUTMENTS</t>
        </is>
      </c>
      <c r="AK39" s="100" t="n"/>
      <c r="AL39" s="90" t="n"/>
    </row>
    <row r="40" ht="30.75" customHeight="1" s="220">
      <c r="A40" s="1" t="n"/>
      <c r="B40" s="96" t="inlineStr">
        <is>
          <t>TOWN COUNCIL</t>
        </is>
      </c>
      <c r="C40" s="97" t="n">
        <v>131.89</v>
      </c>
      <c r="D40" s="1" t="n"/>
      <c r="E40" s="1" t="n"/>
      <c r="F40" s="31" t="inlineStr">
        <is>
          <t>IMPLANT</t>
        </is>
      </c>
      <c r="G40" s="99" t="n"/>
      <c r="H40" s="90" t="n"/>
      <c r="I40" s="1" t="n"/>
      <c r="J40" s="35" t="inlineStr">
        <is>
          <t>IMPLANT</t>
        </is>
      </c>
      <c r="K40" s="51" t="n"/>
      <c r="L40" s="90" t="n"/>
      <c r="M40" s="1" t="n"/>
      <c r="N40" s="35" t="inlineStr">
        <is>
          <t>IMPLANT</t>
        </is>
      </c>
      <c r="O40" s="51" t="n"/>
      <c r="P40" s="90" t="n"/>
      <c r="Q40" s="1" t="n"/>
      <c r="R40" s="31" t="n"/>
      <c r="S40" s="100" t="n"/>
      <c r="T40" s="90" t="n"/>
      <c r="U40" s="1" t="n"/>
      <c r="V40" s="35" t="inlineStr">
        <is>
          <t>IMPLANT</t>
        </is>
      </c>
      <c r="W40" s="51" t="n"/>
      <c r="X40" s="90" t="n"/>
      <c r="Y40" s="1" t="n"/>
      <c r="Z40" s="35" t="inlineStr">
        <is>
          <t>IMPLANT</t>
        </is>
      </c>
      <c r="AA40" s="51" t="n"/>
      <c r="AB40" s="90" t="n"/>
      <c r="AC40" s="1" t="n"/>
      <c r="AD40" s="1" t="n"/>
      <c r="AE40" s="35" t="inlineStr">
        <is>
          <t>IMPLANT</t>
        </is>
      </c>
      <c r="AF40" s="36" t="n"/>
      <c r="AG40" s="90" t="n"/>
      <c r="AH40" s="1" t="n"/>
      <c r="AI40" s="1" t="n"/>
      <c r="AJ40" s="31" t="inlineStr">
        <is>
          <t>IMPLANT</t>
        </is>
      </c>
      <c r="AK40" s="100" t="n"/>
      <c r="AL40" s="90" t="n"/>
    </row>
    <row r="41" ht="30.75" customHeight="1" s="220">
      <c r="A41" s="1" t="n"/>
      <c r="B41" s="96" t="inlineStr">
        <is>
          <t>SERVICE &amp; CONSERVANCY CHARGES</t>
        </is>
      </c>
      <c r="C41" s="97" t="n"/>
      <c r="D41" s="1" t="n"/>
      <c r="E41" s="1" t="n"/>
      <c r="F41" s="31" t="inlineStr">
        <is>
          <t>SKY LAB</t>
        </is>
      </c>
      <c r="G41" s="100" t="n"/>
      <c r="H41" s="90" t="n"/>
      <c r="I41" s="1" t="n"/>
      <c r="J41" s="35" t="inlineStr">
        <is>
          <t>SKY LAB</t>
        </is>
      </c>
      <c r="K41" s="51" t="n"/>
      <c r="L41" s="90" t="n"/>
      <c r="M41" s="1" t="n"/>
      <c r="N41" s="35" t="inlineStr">
        <is>
          <t>SKY LAB</t>
        </is>
      </c>
      <c r="O41" s="51" t="n"/>
      <c r="P41" s="90" t="n"/>
      <c r="Q41" s="1" t="n"/>
      <c r="R41" s="31" t="n"/>
      <c r="S41" s="100" t="n"/>
      <c r="T41" s="90" t="n"/>
      <c r="U41" s="1" t="n"/>
      <c r="V41" s="35" t="inlineStr">
        <is>
          <t>SKY LAB</t>
        </is>
      </c>
      <c r="W41" s="51" t="n"/>
      <c r="X41" s="90" t="n"/>
      <c r="Y41" s="1" t="n"/>
      <c r="Z41" s="35" t="inlineStr">
        <is>
          <t>SKY LAB</t>
        </is>
      </c>
      <c r="AA41" s="51" t="n"/>
      <c r="AB41" s="90" t="n"/>
      <c r="AC41" s="1" t="n"/>
      <c r="AD41" s="1" t="n"/>
      <c r="AE41" s="35" t="inlineStr">
        <is>
          <t>SKY LAB</t>
        </is>
      </c>
      <c r="AF41" s="36" t="n"/>
      <c r="AG41" s="90" t="n"/>
      <c r="AH41" s="1" t="n"/>
      <c r="AI41" s="1" t="n"/>
      <c r="AJ41" s="31" t="inlineStr">
        <is>
          <t>SKY LAB</t>
        </is>
      </c>
      <c r="AK41" s="100" t="n"/>
      <c r="AL41" s="90" t="n"/>
    </row>
    <row r="42" ht="30.75" customHeight="1" s="220">
      <c r="A42" s="1" t="n"/>
      <c r="B42" s="96" t="inlineStr">
        <is>
          <t>SP</t>
        </is>
      </c>
      <c r="C42" s="97" t="n"/>
      <c r="D42" s="1" t="n"/>
      <c r="E42" s="1" t="n"/>
      <c r="F42" s="31" t="inlineStr">
        <is>
          <t>DIGICADCAM</t>
        </is>
      </c>
      <c r="G42" s="100" t="n"/>
      <c r="H42" s="90" t="n"/>
      <c r="I42" s="1" t="n"/>
      <c r="J42" s="35" t="inlineStr">
        <is>
          <t>DIGICADCAM</t>
        </is>
      </c>
      <c r="K42" s="51" t="n"/>
      <c r="L42" s="90" t="n"/>
      <c r="M42" s="1" t="n"/>
      <c r="N42" s="35" t="inlineStr">
        <is>
          <t>DIGICADCAM</t>
        </is>
      </c>
      <c r="O42" s="51" t="n"/>
      <c r="P42" s="90" t="n"/>
      <c r="Q42" s="1" t="n"/>
      <c r="R42" s="31" t="n"/>
      <c r="S42" s="100" t="n"/>
      <c r="T42" s="90" t="n"/>
      <c r="U42" s="1" t="n"/>
      <c r="V42" s="35" t="inlineStr">
        <is>
          <t>DIGICADCAM</t>
        </is>
      </c>
      <c r="W42" s="51" t="n"/>
      <c r="X42" s="90" t="n"/>
      <c r="Y42" s="1" t="n"/>
      <c r="Z42" s="35" t="inlineStr">
        <is>
          <t>DIGICADCAM</t>
        </is>
      </c>
      <c r="AA42" s="51" t="n"/>
      <c r="AB42" s="90" t="n"/>
      <c r="AC42" s="1" t="n"/>
      <c r="AD42" s="1" t="n"/>
      <c r="AE42" s="35" t="inlineStr">
        <is>
          <t>DIGICADCAM</t>
        </is>
      </c>
      <c r="AF42" s="36" t="n"/>
      <c r="AG42" s="90" t="n"/>
      <c r="AH42" s="1" t="n"/>
      <c r="AI42" s="1" t="n"/>
      <c r="AJ42" s="31" t="inlineStr">
        <is>
          <t>DIGICADCAM</t>
        </is>
      </c>
      <c r="AK42" s="100" t="n"/>
      <c r="AL42" s="90" t="n"/>
    </row>
    <row r="43" ht="30.75" customHeight="1" s="220">
      <c r="A43" s="1" t="n"/>
      <c r="B43" s="96" t="inlineStr">
        <is>
          <t>SINGTEL</t>
        </is>
      </c>
      <c r="C43" s="97" t="n"/>
      <c r="D43" s="1" t="n"/>
      <c r="E43" s="1" t="n"/>
      <c r="F43" s="31" t="inlineStr">
        <is>
          <t>OTHER LAB</t>
        </is>
      </c>
      <c r="G43" s="100" t="n"/>
      <c r="H43" s="101" t="n"/>
      <c r="I43" s="1" t="n"/>
      <c r="J43" s="35" t="inlineStr">
        <is>
          <t>OTHER LAB</t>
        </is>
      </c>
      <c r="K43" s="51" t="n"/>
      <c r="L43" s="101" t="n"/>
      <c r="M43" s="1" t="n"/>
      <c r="N43" s="35" t="inlineStr">
        <is>
          <t>OTHER LAB</t>
        </is>
      </c>
      <c r="O43" s="51" t="n"/>
      <c r="P43" s="101" t="n"/>
      <c r="Q43" s="1" t="n"/>
      <c r="R43" s="31" t="n"/>
      <c r="S43" s="100" t="n"/>
      <c r="T43" s="90" t="n"/>
      <c r="U43" s="1" t="n"/>
      <c r="V43" s="35" t="inlineStr">
        <is>
          <t>OTHER LAB</t>
        </is>
      </c>
      <c r="W43" s="51" t="n"/>
      <c r="X43" s="90" t="n"/>
      <c r="Y43" s="1" t="n"/>
      <c r="Z43" s="35" t="inlineStr">
        <is>
          <t>OTHER LAB</t>
        </is>
      </c>
      <c r="AA43" s="51" t="n"/>
      <c r="AB43" s="90" t="n"/>
      <c r="AC43" s="1" t="n"/>
      <c r="AD43" s="1" t="n"/>
      <c r="AE43" s="35" t="inlineStr">
        <is>
          <t>OTHER LAB</t>
        </is>
      </c>
      <c r="AF43" s="36" t="n"/>
      <c r="AG43" s="90" t="n"/>
      <c r="AH43" s="1" t="n"/>
      <c r="AI43" s="1" t="n"/>
      <c r="AJ43" s="31" t="inlineStr">
        <is>
          <t>OTHER LAB</t>
        </is>
      </c>
      <c r="AK43" s="100" t="n"/>
      <c r="AL43" s="90" t="n"/>
    </row>
    <row r="44" ht="30.75" customHeight="1" s="220">
      <c r="A44" s="1" t="n"/>
      <c r="B44" s="96" t="inlineStr">
        <is>
          <t>PRODUCTS</t>
        </is>
      </c>
      <c r="C44" s="97">
        <f>G37+K37+O37+S59+W37+AA37+AF37+AK37</f>
        <v/>
      </c>
      <c r="D44" s="1" t="n"/>
      <c r="E44" s="1" t="n"/>
      <c r="F44" s="31" t="inlineStr">
        <is>
          <t>INVISALIGN</t>
        </is>
      </c>
      <c r="G44" s="100" t="n"/>
      <c r="H44" s="101" t="n"/>
      <c r="I44" s="1" t="n"/>
      <c r="J44" s="35" t="inlineStr">
        <is>
          <t>INVISALIGN</t>
        </is>
      </c>
      <c r="K44" s="51" t="n"/>
      <c r="L44" s="101" t="n"/>
      <c r="M44" s="1" t="n"/>
      <c r="N44" s="35" t="inlineStr">
        <is>
          <t>INVISALIGN</t>
        </is>
      </c>
      <c r="O44" s="51" t="n"/>
      <c r="P44" s="90" t="n"/>
      <c r="Q44" s="1" t="n"/>
      <c r="R44" s="31" t="n"/>
      <c r="S44" s="100" t="n"/>
      <c r="T44" s="90" t="n"/>
      <c r="U44" s="1" t="n"/>
      <c r="V44" s="35" t="inlineStr">
        <is>
          <t>INVISALIGN</t>
        </is>
      </c>
      <c r="W44" s="51" t="n"/>
      <c r="X44" s="101" t="n"/>
      <c r="Y44" s="1" t="n"/>
      <c r="Z44" s="35" t="inlineStr">
        <is>
          <t>INVISALIGN</t>
        </is>
      </c>
      <c r="AA44" s="51" t="n"/>
      <c r="AB44" s="90" t="n"/>
      <c r="AC44" s="1" t="n"/>
      <c r="AD44" s="1" t="n"/>
      <c r="AE44" s="35" t="inlineStr">
        <is>
          <t>INVISALIGN</t>
        </is>
      </c>
      <c r="AF44" s="36" t="n"/>
      <c r="AG44" s="90" t="n"/>
      <c r="AH44" s="1" t="n"/>
      <c r="AI44" s="1" t="n"/>
      <c r="AJ44" s="31" t="inlineStr">
        <is>
          <t>INVISALIGN</t>
        </is>
      </c>
      <c r="AK44" s="100" t="n"/>
      <c r="AL44" s="90" t="n"/>
    </row>
    <row r="45" ht="30.75" customHeight="1" s="220">
      <c r="A45" s="1" t="n"/>
      <c r="B45" s="96" t="inlineStr">
        <is>
          <t>ADMIN STAFF &amp; OFFICE RENTAL</t>
        </is>
      </c>
      <c r="C45" s="97" t="n"/>
      <c r="D45" s="1" t="n"/>
      <c r="E45" s="1" t="n"/>
      <c r="F45" s="31" t="inlineStr">
        <is>
          <t>TRANSFER (+)</t>
        </is>
      </c>
      <c r="G45" s="100" t="n"/>
      <c r="H45" s="98" t="n"/>
      <c r="I45" s="1" t="n"/>
      <c r="J45" s="35" t="inlineStr">
        <is>
          <t>TRANSFER (+)</t>
        </is>
      </c>
      <c r="K45" s="51" t="n"/>
      <c r="L45" s="98" t="n"/>
      <c r="M45" s="1" t="n"/>
      <c r="N45" s="35" t="inlineStr">
        <is>
          <t>TRANSFER (+)</t>
        </is>
      </c>
      <c r="O45" s="51" t="n"/>
      <c r="P45" s="90" t="n"/>
      <c r="Q45" s="1" t="n"/>
      <c r="R45" s="31" t="n"/>
      <c r="S45" s="100" t="n"/>
      <c r="T45" s="90" t="n"/>
      <c r="U45" s="1" t="n"/>
      <c r="V45" s="35" t="inlineStr">
        <is>
          <t>TRANSFER (+)</t>
        </is>
      </c>
      <c r="W45" s="51" t="n"/>
      <c r="X45" s="102" t="n"/>
      <c r="Y45" s="1" t="n"/>
      <c r="Z45" s="35" t="inlineStr">
        <is>
          <t>TRANSFER (+)</t>
        </is>
      </c>
      <c r="AA45" s="51" t="n"/>
      <c r="AB45" s="98" t="n"/>
      <c r="AC45" s="1" t="n"/>
      <c r="AD45" s="1" t="n"/>
      <c r="AE45" s="35" t="inlineStr">
        <is>
          <t>TRANSFER (+)</t>
        </is>
      </c>
      <c r="AF45" s="36" t="n"/>
      <c r="AG45" s="98" t="n"/>
      <c r="AH45" s="1" t="n"/>
      <c r="AI45" s="1" t="n"/>
      <c r="AJ45" s="31" t="inlineStr">
        <is>
          <t>TRANSFER (+)</t>
        </is>
      </c>
      <c r="AK45" s="100" t="n"/>
      <c r="AL45" s="98" t="n"/>
    </row>
    <row r="46" ht="30.75" customHeight="1" s="220">
      <c r="A46" s="1" t="n"/>
      <c r="B46" s="96" t="inlineStr">
        <is>
          <t>SUPPLIERS</t>
        </is>
      </c>
      <c r="C46" s="97" t="n"/>
      <c r="D46" s="1" t="n"/>
      <c r="E46" s="1" t="n"/>
      <c r="F46" s="31" t="inlineStr">
        <is>
          <t>TRANSFER (-)</t>
        </is>
      </c>
      <c r="G46" s="100" t="n"/>
      <c r="H46" s="98" t="n"/>
      <c r="I46" s="1" t="n"/>
      <c r="J46" s="35" t="inlineStr">
        <is>
          <t>TRANSFER (-)</t>
        </is>
      </c>
      <c r="K46" s="51" t="n"/>
      <c r="L46" s="90" t="n"/>
      <c r="M46" s="1" t="n"/>
      <c r="N46" s="35" t="inlineStr">
        <is>
          <t>TRANSFER (-)</t>
        </is>
      </c>
      <c r="O46" s="51" t="n"/>
      <c r="P46" s="90" t="n"/>
      <c r="Q46" s="1" t="n"/>
      <c r="R46" s="31" t="n"/>
      <c r="S46" s="100" t="n"/>
      <c r="T46" s="90" t="n"/>
      <c r="U46" s="1" t="n"/>
      <c r="V46" s="35" t="inlineStr">
        <is>
          <t>TRANSFER (-)</t>
        </is>
      </c>
      <c r="W46" s="51" t="n"/>
      <c r="X46" s="103" t="n"/>
      <c r="Y46" s="1" t="n"/>
      <c r="Z46" s="35" t="inlineStr">
        <is>
          <t>TRANSFER (-)</t>
        </is>
      </c>
      <c r="AA46" s="51" t="n"/>
      <c r="AB46" s="102" t="n"/>
      <c r="AC46" s="1" t="n"/>
      <c r="AD46" s="1" t="n"/>
      <c r="AE46" s="35" t="inlineStr">
        <is>
          <t>TRANSFER (-)</t>
        </is>
      </c>
      <c r="AF46" s="36" t="n"/>
      <c r="AG46" s="102" t="n"/>
      <c r="AH46" s="1" t="n"/>
      <c r="AI46" s="1" t="n"/>
      <c r="AJ46" s="31" t="inlineStr">
        <is>
          <t>TRANSFER (-)</t>
        </is>
      </c>
      <c r="AK46" s="100" t="n"/>
      <c r="AL46" s="102" t="n"/>
    </row>
    <row r="47" ht="30.75" customHeight="1" s="220">
      <c r="A47" s="1" t="n"/>
      <c r="B47" s="104" t="inlineStr">
        <is>
          <t>VOUCHER</t>
        </is>
      </c>
      <c r="C47" s="97">
        <f>B12</f>
        <v/>
      </c>
      <c r="D47" s="1" t="n"/>
      <c r="E47" s="1" t="n"/>
      <c r="F47" s="52" t="inlineStr">
        <is>
          <t>REFUND/REFERRAL</t>
        </is>
      </c>
      <c r="G47" s="105" t="n"/>
      <c r="H47" s="90" t="n"/>
      <c r="I47" s="1" t="n"/>
      <c r="J47" s="35" t="inlineStr">
        <is>
          <t>REFUND/REFERRAL</t>
        </is>
      </c>
      <c r="K47" s="51" t="n"/>
      <c r="L47" s="90" t="n"/>
      <c r="M47" s="1" t="n"/>
      <c r="N47" s="35" t="inlineStr">
        <is>
          <t>REFUND/REFERRAL</t>
        </is>
      </c>
      <c r="O47" s="51" t="n"/>
      <c r="P47" s="98" t="n"/>
      <c r="Q47" s="1" t="n"/>
      <c r="R47" s="31" t="n"/>
      <c r="S47" s="100" t="n"/>
      <c r="T47" s="90" t="n"/>
      <c r="U47" s="1" t="n"/>
      <c r="V47" s="35" t="inlineStr">
        <is>
          <t>REFUND</t>
        </is>
      </c>
      <c r="W47" s="51" t="n"/>
      <c r="X47" s="90" t="n"/>
      <c r="Y47" s="1" t="n"/>
      <c r="Z47" s="35" t="inlineStr">
        <is>
          <t>REFUND</t>
        </is>
      </c>
      <c r="AA47" s="51" t="n"/>
      <c r="AB47" s="90" t="n"/>
      <c r="AC47" s="1" t="n"/>
      <c r="AD47" s="1" t="n"/>
      <c r="AE47" s="35" t="inlineStr">
        <is>
          <t>REFUND</t>
        </is>
      </c>
      <c r="AF47" s="36" t="n"/>
      <c r="AG47" s="90" t="n"/>
      <c r="AH47" s="1" t="n"/>
      <c r="AI47" s="1" t="n"/>
      <c r="AJ47" s="52" t="inlineStr">
        <is>
          <t>REFUND</t>
        </is>
      </c>
      <c r="AK47" s="105" t="n"/>
      <c r="AL47" s="90" t="n"/>
    </row>
    <row r="48" ht="30.75" customHeight="1" s="220">
      <c r="A48" s="1" t="n"/>
      <c r="B48" s="96" t="inlineStr">
        <is>
          <t>PETTY CASH</t>
        </is>
      </c>
      <c r="C48" s="97" t="n"/>
      <c r="D48" s="1" t="n"/>
      <c r="E48" s="1" t="n"/>
      <c r="F48" s="52" t="inlineStr">
        <is>
          <t>VOUCHER</t>
        </is>
      </c>
      <c r="G48" s="105">
        <f>F12</f>
        <v/>
      </c>
      <c r="H48" s="90" t="n"/>
      <c r="I48" s="1" t="n"/>
      <c r="J48" s="35" t="inlineStr">
        <is>
          <t>VOUCHER</t>
        </is>
      </c>
      <c r="K48" s="51" t="n"/>
      <c r="L48" s="90" t="n"/>
      <c r="M48" s="1" t="n"/>
      <c r="N48" s="35" t="inlineStr">
        <is>
          <t>VOUCHER</t>
        </is>
      </c>
      <c r="O48" s="51" t="n"/>
      <c r="P48" s="90" t="n"/>
      <c r="Q48" s="1" t="n"/>
      <c r="R48" s="31" t="n"/>
      <c r="S48" s="100" t="n"/>
      <c r="T48" s="90" t="n"/>
      <c r="U48" s="1" t="n"/>
      <c r="V48" s="35" t="inlineStr">
        <is>
          <t>VOUCHER</t>
        </is>
      </c>
      <c r="W48" s="51" t="n"/>
      <c r="X48" s="90" t="n"/>
      <c r="Y48" s="1" t="n"/>
      <c r="Z48" s="35" t="inlineStr">
        <is>
          <t>VOUCHER</t>
        </is>
      </c>
      <c r="AA48" s="51" t="n"/>
      <c r="AB48" s="90" t="n"/>
      <c r="AC48" s="1" t="n"/>
      <c r="AD48" s="1" t="n"/>
      <c r="AE48" s="35" t="inlineStr">
        <is>
          <t>SEDATION</t>
        </is>
      </c>
      <c r="AF48" s="36" t="n"/>
      <c r="AG48" s="90" t="n"/>
      <c r="AH48" s="1" t="n"/>
      <c r="AI48" s="1" t="n"/>
      <c r="AJ48" s="52" t="inlineStr">
        <is>
          <t>SEDATION</t>
        </is>
      </c>
      <c r="AK48" s="105" t="n"/>
      <c r="AL48" s="90" t="n"/>
    </row>
    <row r="49" ht="30.75" customHeight="1" s="220">
      <c r="A49" s="1" t="n"/>
      <c r="B49" s="96" t="inlineStr">
        <is>
          <t>STOCKS / CONSUMABLES FEES</t>
        </is>
      </c>
      <c r="C49" s="97" t="n"/>
      <c r="D49" s="1" t="n"/>
      <c r="E49" s="1" t="n"/>
      <c r="F49" s="31" t="inlineStr">
        <is>
          <t>RETAINERS/BT/SPLINT</t>
        </is>
      </c>
      <c r="G49" s="105" t="n"/>
      <c r="H49" s="90" t="n"/>
      <c r="I49" s="1" t="n"/>
      <c r="J49" s="35" t="inlineStr">
        <is>
          <t>RETAINERS/BT/SPLINT</t>
        </is>
      </c>
      <c r="K49" s="51" t="n"/>
      <c r="L49" s="90" t="n"/>
      <c r="M49" s="1" t="n"/>
      <c r="N49" s="35" t="inlineStr">
        <is>
          <t>RETAINERS/BT/SPLINT</t>
        </is>
      </c>
      <c r="O49" s="51" t="n"/>
      <c r="P49" s="90" t="n"/>
      <c r="Q49" s="1" t="n"/>
      <c r="R49" s="31" t="n"/>
      <c r="S49" s="100" t="n"/>
      <c r="T49" s="90" t="n"/>
      <c r="U49" s="1" t="n"/>
      <c r="V49" s="35" t="inlineStr">
        <is>
          <t>RETAINERS/BT/SPLINT</t>
        </is>
      </c>
      <c r="W49" s="51" t="n"/>
      <c r="X49" s="90" t="n"/>
      <c r="Y49" s="1" t="n"/>
      <c r="Z49" s="35" t="inlineStr">
        <is>
          <t>RETAINERS/BT/SPLINT</t>
        </is>
      </c>
      <c r="AA49" s="51" t="n"/>
      <c r="AB49" s="90" t="n"/>
      <c r="AC49" s="1" t="n"/>
      <c r="AD49" s="1" t="n"/>
      <c r="AE49" s="35" t="inlineStr">
        <is>
          <t>RETAINERS/BT/SPLINT</t>
        </is>
      </c>
      <c r="AF49" s="36" t="n"/>
      <c r="AG49" s="90" t="n"/>
      <c r="AH49" s="1" t="n"/>
      <c r="AI49" s="1" t="n"/>
      <c r="AJ49" s="31" t="inlineStr">
        <is>
          <t>RETAINERS/BT/SPLINT</t>
        </is>
      </c>
      <c r="AK49" s="105" t="n"/>
      <c r="AL49" s="90" t="n"/>
    </row>
    <row r="50" ht="30.75" customHeight="1" s="220">
      <c r="A50" s="1" t="n"/>
      <c r="B50" s="96" t="inlineStr">
        <is>
          <t xml:space="preserve">MARKETING FEE </t>
        </is>
      </c>
      <c r="C50" s="97" t="n"/>
      <c r="D50" s="1" t="n"/>
      <c r="E50" s="1" t="n"/>
      <c r="F50" s="31" t="inlineStr">
        <is>
          <t>INSTALLMENT</t>
        </is>
      </c>
      <c r="G50" s="105" t="n"/>
      <c r="H50" s="106" t="n"/>
      <c r="I50" s="1" t="n"/>
      <c r="J50" s="35" t="inlineStr">
        <is>
          <t>INSTALLMENT</t>
        </is>
      </c>
      <c r="K50" s="51" t="n"/>
      <c r="L50" s="106" t="n"/>
      <c r="M50" s="1" t="n"/>
      <c r="N50" s="35" t="inlineStr">
        <is>
          <t>INSTALLMENT</t>
        </is>
      </c>
      <c r="O50" s="51" t="n"/>
      <c r="P50" s="90" t="n"/>
      <c r="Q50" s="1" t="n"/>
      <c r="R50" s="31" t="n"/>
      <c r="S50" s="100" t="n"/>
      <c r="T50" s="90" t="n"/>
      <c r="U50" s="1" t="n"/>
      <c r="V50" s="35" t="inlineStr">
        <is>
          <t>INSTALLMENT</t>
        </is>
      </c>
      <c r="W50" s="51" t="n"/>
      <c r="X50" s="90" t="n"/>
      <c r="Y50" s="1" t="n"/>
      <c r="Z50" s="35" t="inlineStr">
        <is>
          <t>INSTALLMENT</t>
        </is>
      </c>
      <c r="AA50" s="51" t="n"/>
      <c r="AB50" s="90" t="n"/>
      <c r="AC50" s="1" t="n"/>
      <c r="AD50" s="1" t="n"/>
      <c r="AE50" s="35" t="inlineStr">
        <is>
          <t>INSTALLMENT</t>
        </is>
      </c>
      <c r="AF50" s="36" t="n"/>
      <c r="AG50" s="90" t="n"/>
      <c r="AH50" s="1" t="n"/>
      <c r="AI50" s="1" t="n"/>
      <c r="AJ50" s="31" t="inlineStr">
        <is>
          <t>INSTALLMENT</t>
        </is>
      </c>
      <c r="AK50" s="105" t="n"/>
      <c r="AL50" s="90" t="n"/>
    </row>
    <row r="51" ht="31.5" customHeight="1" s="220">
      <c r="A51" s="1" t="n"/>
      <c r="B51" s="96" t="inlineStr">
        <is>
          <t>INVISALIGN</t>
        </is>
      </c>
      <c r="C51" s="97">
        <f>G44+K44+O44+S66+W44+AA44+AF44+AK44</f>
        <v/>
      </c>
      <c r="D51" s="1" t="n"/>
      <c r="E51" s="1" t="n"/>
      <c r="F51" s="35" t="inlineStr">
        <is>
          <t>DEDUCTIONS</t>
        </is>
      </c>
      <c r="G51" s="51" t="n"/>
      <c r="H51" s="101" t="n"/>
      <c r="I51" s="1" t="n"/>
      <c r="J51" s="35" t="inlineStr">
        <is>
          <t>DEDUCTIONS</t>
        </is>
      </c>
      <c r="K51" s="51" t="n"/>
      <c r="L51" s="90" t="n"/>
      <c r="M51" s="1" t="n"/>
      <c r="N51" s="35" t="inlineStr">
        <is>
          <t>DEDUCTIONS</t>
        </is>
      </c>
      <c r="O51" s="51" t="n"/>
      <c r="P51" s="90" t="n"/>
      <c r="Q51" s="1" t="n"/>
      <c r="R51" s="31" t="n"/>
      <c r="S51" s="100" t="n"/>
      <c r="T51" s="90" t="n"/>
      <c r="U51" s="1" t="n"/>
      <c r="V51" s="35" t="inlineStr">
        <is>
          <t>DEDUCTIONS</t>
        </is>
      </c>
      <c r="W51" s="51" t="n"/>
      <c r="X51" s="106" t="n"/>
      <c r="Y51" s="1" t="n"/>
      <c r="Z51" s="35" t="inlineStr">
        <is>
          <t>DEDUCTIONS</t>
        </is>
      </c>
      <c r="AA51" s="51" t="n"/>
      <c r="AB51" s="102" t="n"/>
      <c r="AC51" s="1" t="n"/>
      <c r="AD51" s="1" t="n"/>
      <c r="AE51" s="35" t="inlineStr">
        <is>
          <t>DEDUCTIONS</t>
        </is>
      </c>
      <c r="AF51" s="198" t="n"/>
      <c r="AG51" s="101" t="n"/>
      <c r="AH51" s="1" t="n"/>
      <c r="AI51" s="1" t="n"/>
      <c r="AJ51" s="35" t="inlineStr">
        <is>
          <t>DEDUCTIONS</t>
        </is>
      </c>
      <c r="AK51" s="51" t="n"/>
      <c r="AL51" s="102" t="n"/>
    </row>
    <row r="52" ht="30.75" customHeight="1" s="220">
      <c r="A52" s="1" t="n"/>
      <c r="B52" s="96" t="inlineStr">
        <is>
          <t>IMPLANT</t>
        </is>
      </c>
      <c r="C52" s="97">
        <f>G40+O40+S62+W40+AA40+AF40+K40+AK40</f>
        <v/>
      </c>
      <c r="D52" s="1" t="n"/>
      <c r="E52" s="1" t="n"/>
      <c r="F52" s="107" t="n"/>
      <c r="G52" s="108" t="n"/>
      <c r="H52" s="1" t="n"/>
      <c r="I52" s="1" t="n"/>
      <c r="J52" s="107" t="n"/>
      <c r="K52" s="108" t="n"/>
      <c r="L52" s="1" t="n"/>
      <c r="M52" s="1" t="n"/>
      <c r="N52" s="107" t="n"/>
      <c r="O52" s="108" t="n"/>
      <c r="P52" s="1" t="n"/>
      <c r="Q52" s="1" t="n"/>
      <c r="R52" s="31" t="n"/>
      <c r="S52" s="100" t="n"/>
      <c r="T52" s="90" t="n"/>
      <c r="U52" s="1" t="n"/>
      <c r="V52" s="107" t="n"/>
      <c r="W52" s="108" t="n"/>
      <c r="X52" s="1" t="n"/>
      <c r="Y52" s="1" t="n"/>
      <c r="Z52" s="107" t="n"/>
      <c r="AA52" s="108" t="n"/>
      <c r="AB52" s="1" t="n"/>
      <c r="AC52" s="1" t="n"/>
      <c r="AD52" s="1" t="n"/>
      <c r="AE52" s="107" t="n"/>
      <c r="AF52" s="108" t="n"/>
      <c r="AG52" s="1" t="n"/>
      <c r="AH52" s="1" t="n"/>
      <c r="AI52" s="1" t="n"/>
      <c r="AJ52" s="107" t="n"/>
      <c r="AK52" s="108" t="n"/>
      <c r="AL52" s="1" t="n"/>
    </row>
    <row r="53" ht="30.75" customHeight="1" s="220">
      <c r="A53" s="1" t="n"/>
      <c r="B53" s="96" t="inlineStr">
        <is>
          <t>SKYLAB</t>
        </is>
      </c>
      <c r="C53" s="97">
        <f>G41+O41+W41+S63+K41+AA41+AF41+AK41</f>
        <v/>
      </c>
      <c r="D53" s="1" t="n"/>
      <c r="E53" s="1" t="n"/>
      <c r="F53" s="61" t="inlineStr">
        <is>
          <t>TOTAL</t>
        </is>
      </c>
      <c r="G53" s="109">
        <f>F31-G34-G35-G37-G36-G38-G39-G40-G41-G42-G43-G44+G45-G46-G47-G48-G49-G50-G51</f>
        <v/>
      </c>
      <c r="H53" s="90" t="n"/>
      <c r="I53" s="1" t="n"/>
      <c r="J53" s="61" t="inlineStr">
        <is>
          <t>TOTAL</t>
        </is>
      </c>
      <c r="K53" s="109">
        <f>J31-K34-K35-K36-K37-K38-K39-K40-K41-K42-K43-K44+K45-K46-K47-K48-K49-K50-K51</f>
        <v/>
      </c>
      <c r="L53" s="90" t="n"/>
      <c r="M53" s="1" t="n"/>
      <c r="N53" s="61" t="inlineStr">
        <is>
          <t>TOTAL</t>
        </is>
      </c>
      <c r="O53" s="109">
        <f>N31-O34-O35-O36-O37-O38-O39-O40-O41-O42-O43-O44+O45-O46-O47-O48-O49-O50-O51</f>
        <v/>
      </c>
      <c r="P53" s="90" t="n"/>
      <c r="Q53" s="1" t="n"/>
      <c r="R53" s="31" t="n"/>
      <c r="S53" s="100" t="n"/>
      <c r="T53" s="90" t="n"/>
      <c r="U53" s="1" t="n"/>
      <c r="V53" s="61" t="inlineStr">
        <is>
          <t>TOTAL</t>
        </is>
      </c>
      <c r="W53" s="109">
        <f>V31-W34-W35-W36-W37-W38-W39-W40-W41-W42-W43-W44+W45-W46-W47-W48-W49-W50-W51</f>
        <v/>
      </c>
      <c r="X53" s="90" t="n"/>
      <c r="Y53" s="1" t="n"/>
      <c r="Z53" s="180" t="inlineStr">
        <is>
          <t>TOTAL</t>
        </is>
      </c>
      <c r="AA53" s="181">
        <f>Z31-AA34-AA35-AA36-AA37-AA38-AA39-AA40-AA41-AA42-AA43-AA44+AA45-AA46-AA47-AA48-AA49-AA50-AA51</f>
        <v/>
      </c>
      <c r="AB53" s="182" t="n"/>
      <c r="AC53" s="1" t="n"/>
      <c r="AD53" s="1" t="n"/>
      <c r="AE53" s="61" t="inlineStr">
        <is>
          <t>TOTAL</t>
        </is>
      </c>
      <c r="AF53" s="109">
        <f>AE31-AF34-AF35-AF36-AF37-AF38-AF39-AF40-AF41-AF42-AF43-AF44+AF45-AF46-AF47-AF48-AF49-AF50-AF51</f>
        <v/>
      </c>
      <c r="AG53" s="90" t="n"/>
      <c r="AH53" s="1" t="n"/>
      <c r="AI53" s="1" t="n"/>
      <c r="AJ53" s="61" t="inlineStr">
        <is>
          <t>TOTAL</t>
        </is>
      </c>
      <c r="AK53" s="109">
        <f>AJ31-AK34-AK35-AK36-AK37-AK38-AK39-AK40-AK41-AK42-AK43-AK44+AK45-AK46-AK47-AK48-AK49-AK50-AK51</f>
        <v/>
      </c>
      <c r="AL53" s="90" t="n"/>
    </row>
    <row r="54" ht="30.75" customHeight="1" s="220">
      <c r="A54" s="1" t="n"/>
      <c r="B54" s="96" t="inlineStr">
        <is>
          <t>DIGICADCAM</t>
        </is>
      </c>
      <c r="C54" s="97">
        <f>G42+O42+W42+AA42+AF42+S64+K42+AK42</f>
        <v/>
      </c>
      <c r="D54" s="1" t="n"/>
      <c r="E54" s="1" t="n"/>
      <c r="F54" s="110" t="inlineStr">
        <is>
          <t>DOCTORS FEE BEFORE DEDUCTION</t>
        </is>
      </c>
      <c r="G54" s="111">
        <f>G53/2+G55</f>
        <v/>
      </c>
      <c r="H54" s="90" t="n"/>
      <c r="I54" s="1" t="n"/>
      <c r="J54" s="110" t="inlineStr">
        <is>
          <t>DOCTORS FEE BEFORE DEDUCTION</t>
        </is>
      </c>
      <c r="K54" s="111">
        <f>K53/2+K55</f>
        <v/>
      </c>
      <c r="L54" s="90" t="n"/>
      <c r="M54" s="1" t="n"/>
      <c r="N54" s="112" t="inlineStr">
        <is>
          <t>DOCTORS PAY</t>
        </is>
      </c>
      <c r="O54" s="111">
        <f>(O53*50%)+O55</f>
        <v/>
      </c>
      <c r="P54" s="90" t="n"/>
      <c r="Q54" s="1" t="n"/>
      <c r="R54" s="31" t="n"/>
      <c r="S54" s="100" t="n"/>
      <c r="T54" s="90" t="n"/>
      <c r="U54" s="1" t="n"/>
      <c r="V54" s="112" t="inlineStr">
        <is>
          <t>DOCTORS PAY</t>
        </is>
      </c>
      <c r="W54" s="111">
        <f>(W53*50%)+W55</f>
        <v/>
      </c>
      <c r="X54" s="90" t="n"/>
      <c r="Y54" s="1" t="n"/>
      <c r="Z54" s="112" t="inlineStr">
        <is>
          <t>DOCTORS PAY</t>
        </is>
      </c>
      <c r="AA54" s="111">
        <f>(AA53*50%)+AA55</f>
        <v/>
      </c>
      <c r="AB54" s="90" t="n"/>
      <c r="AC54" s="1" t="n"/>
      <c r="AD54" s="1" t="n"/>
      <c r="AE54" s="112" t="inlineStr">
        <is>
          <t>DOCTORS PAY</t>
        </is>
      </c>
      <c r="AF54" s="111">
        <f>(AF53*50%)+AF55</f>
        <v/>
      </c>
      <c r="AG54" s="90" t="n"/>
      <c r="AH54" s="1" t="n"/>
      <c r="AI54" s="1" t="n"/>
      <c r="AJ54" s="112" t="inlineStr">
        <is>
          <t>DOCTORS PAY</t>
        </is>
      </c>
      <c r="AK54" s="111">
        <f>(AK53*45%)+AK55</f>
        <v/>
      </c>
      <c r="AL54" s="90" t="n"/>
    </row>
    <row r="55" ht="30.75" customHeight="1" s="220">
      <c r="A55" s="1" t="n"/>
      <c r="B55" s="113" t="inlineStr">
        <is>
          <t xml:space="preserve">OTHER LAB </t>
        </is>
      </c>
      <c r="C55" s="97">
        <f>G43+O43+K43+S65+W43+AA43+AF43+AK43</f>
        <v/>
      </c>
      <c r="D55" s="1" t="n"/>
      <c r="E55" s="1" t="n"/>
      <c r="F55" s="50" t="inlineStr">
        <is>
          <t>ADJUSTMENTS (+)</t>
        </is>
      </c>
      <c r="G55" s="36" t="n"/>
      <c r="H55" s="98" t="n"/>
      <c r="I55" s="1" t="n"/>
      <c r="J55" s="50" t="inlineStr">
        <is>
          <t>ADJUSTMENTS (+)</t>
        </is>
      </c>
      <c r="K55" s="36" t="n"/>
      <c r="L55" s="90" t="n"/>
      <c r="M55" s="1" t="n"/>
      <c r="N55" s="50" t="inlineStr">
        <is>
          <t>ADJUSTMENTS (+)</t>
        </is>
      </c>
      <c r="O55" s="36" t="n"/>
      <c r="P55" s="90" t="n"/>
      <c r="Q55" s="1" t="n"/>
      <c r="R55" s="31" t="n"/>
      <c r="S55" s="100" t="n"/>
      <c r="T55" s="90" t="n"/>
      <c r="U55" s="1" t="n"/>
      <c r="V55" s="50" t="inlineStr">
        <is>
          <t>ADJUSTMENTS (+)</t>
        </is>
      </c>
      <c r="W55" s="36" t="n"/>
      <c r="X55" s="114" t="n"/>
      <c r="Y55" s="1" t="n"/>
      <c r="Z55" s="50" t="inlineStr">
        <is>
          <t>ADJUSTMENTS (+)</t>
        </is>
      </c>
      <c r="AA55" s="36" t="n"/>
      <c r="AB55" s="90" t="n"/>
      <c r="AC55" s="1" t="n"/>
      <c r="AD55" s="1" t="n"/>
      <c r="AE55" s="50" t="inlineStr">
        <is>
          <t>ADJUSTMENTS (+)</t>
        </is>
      </c>
      <c r="AF55" s="36" t="n"/>
      <c r="AG55" s="98" t="n"/>
      <c r="AH55" s="1" t="n"/>
      <c r="AI55" s="1" t="n"/>
      <c r="AJ55" s="50" t="inlineStr">
        <is>
          <t>ADJUSTMENTS (+)</t>
        </is>
      </c>
      <c r="AK55" s="36" t="n"/>
      <c r="AL55" s="98" t="n"/>
    </row>
    <row r="56" ht="43.5" customHeight="1" s="220">
      <c r="A56" s="1" t="n"/>
      <c r="B56" s="96" t="inlineStr">
        <is>
          <t>ORTHO (B+B)</t>
        </is>
      </c>
      <c r="C56" s="97">
        <f>G38+K38+O38+S60+W38+AA38+AF38+AK38</f>
        <v/>
      </c>
      <c r="D56" s="1" t="n"/>
      <c r="E56" s="1" t="n"/>
      <c r="F56" s="50" t="inlineStr">
        <is>
          <t>ADJUSTMENTS (-)</t>
        </is>
      </c>
      <c r="G56" s="115">
        <f>G61+G65</f>
        <v/>
      </c>
      <c r="H56" s="114" t="inlineStr">
        <is>
          <t>ADDN MARKETING&amp; MEDISAVE ADMIN</t>
        </is>
      </c>
      <c r="I56" s="1" t="n"/>
      <c r="J56" s="50" t="inlineStr">
        <is>
          <t>ADJUSTMENTS (-)</t>
        </is>
      </c>
      <c r="K56" s="115">
        <f>K61+K65</f>
        <v/>
      </c>
      <c r="L56" s="114" t="inlineStr">
        <is>
          <t>ADDN MARKETING</t>
        </is>
      </c>
      <c r="M56" s="1" t="n"/>
      <c r="N56" s="50" t="inlineStr">
        <is>
          <t>ADJUSTMENTS (-)</t>
        </is>
      </c>
      <c r="O56" s="115">
        <f>O61+O65</f>
        <v/>
      </c>
      <c r="P56" s="114" t="inlineStr">
        <is>
          <t>ADDN MARKETING &amp; MEDISAVE ADMIN</t>
        </is>
      </c>
      <c r="Q56" s="1" t="n"/>
      <c r="R56" s="31" t="n"/>
      <c r="S56" s="100" t="n"/>
      <c r="T56" s="90" t="n"/>
      <c r="U56" s="1" t="n"/>
      <c r="V56" s="50" t="inlineStr">
        <is>
          <t>ADJUSTMENTS (-)</t>
        </is>
      </c>
      <c r="W56" s="116">
        <f>W61+W65</f>
        <v/>
      </c>
      <c r="X56" s="114" t="inlineStr">
        <is>
          <t>ADDN MKTRG &amp; MEDISAVE ADMIN</t>
        </is>
      </c>
      <c r="Y56" s="1" t="n"/>
      <c r="Z56" s="50" t="inlineStr">
        <is>
          <t>ADJUSTMENTS (-)</t>
        </is>
      </c>
      <c r="AA56" s="115">
        <f>AA61+AA65</f>
        <v/>
      </c>
      <c r="AB56" s="102" t="inlineStr">
        <is>
          <t xml:space="preserve">MEDISAVE ADMIN </t>
        </is>
      </c>
      <c r="AC56" s="1" t="n"/>
      <c r="AD56" s="1" t="n"/>
      <c r="AE56" s="50" t="inlineStr">
        <is>
          <t>ADJUSTMENTS (-)</t>
        </is>
      </c>
      <c r="AF56" s="116">
        <f>AF61+AF65</f>
        <v/>
      </c>
      <c r="AG56" s="102" t="inlineStr">
        <is>
          <t>MARKETING FEE &amp; MEDISAVE ADMIN</t>
        </is>
      </c>
      <c r="AH56" s="1" t="n"/>
      <c r="AI56" s="1" t="n"/>
      <c r="AJ56" s="50" t="inlineStr">
        <is>
          <t>ADJUSTMENTS (-)</t>
        </is>
      </c>
      <c r="AK56" s="116">
        <f>AK61+AK65</f>
        <v/>
      </c>
      <c r="AL56" s="102" t="inlineStr">
        <is>
          <t>MARKETING FEE &amp; MEDISAVE ADMIN</t>
        </is>
      </c>
    </row>
    <row r="57" ht="30.75" customHeight="1" s="220">
      <c r="A57" s="1" t="n"/>
      <c r="B57" s="96" t="inlineStr">
        <is>
          <t>ABUTMENT</t>
        </is>
      </c>
      <c r="C57" s="97">
        <f>O39+G39+K39+S61+AA39+W39+AF39+AK39</f>
        <v/>
      </c>
      <c r="D57" s="1" t="n"/>
      <c r="E57" s="1" t="n"/>
      <c r="F57" s="50" t="inlineStr">
        <is>
          <t>NET PAY</t>
        </is>
      </c>
      <c r="G57" s="111">
        <f>G54-G56</f>
        <v/>
      </c>
      <c r="H57" s="90" t="n"/>
      <c r="I57" s="1" t="n"/>
      <c r="J57" s="50" t="inlineStr">
        <is>
          <t>NET PAY</t>
        </is>
      </c>
      <c r="K57" s="111">
        <f>K54-K56</f>
        <v/>
      </c>
      <c r="L57" s="90" t="n"/>
      <c r="M57" s="1" t="n"/>
      <c r="N57" s="50" t="inlineStr">
        <is>
          <t>NET PAY</t>
        </is>
      </c>
      <c r="O57" s="111">
        <f>O54-O56</f>
        <v/>
      </c>
      <c r="P57" s="90" t="n"/>
      <c r="Q57" s="1" t="n"/>
      <c r="R57" s="31" t="n"/>
      <c r="S57" s="100" t="n"/>
      <c r="T57" s="90" t="n"/>
      <c r="U57" s="1" t="n"/>
      <c r="V57" s="50" t="inlineStr">
        <is>
          <t>NET PAY</t>
        </is>
      </c>
      <c r="W57" s="111">
        <f>W54-W56</f>
        <v/>
      </c>
      <c r="X57" s="90" t="n"/>
      <c r="Y57" s="1" t="n"/>
      <c r="Z57" s="50" t="inlineStr">
        <is>
          <t>NET PAY</t>
        </is>
      </c>
      <c r="AA57" s="111">
        <f>AA54-AA56</f>
        <v/>
      </c>
      <c r="AB57" s="90" t="n"/>
      <c r="AC57" s="1" t="n"/>
      <c r="AD57" s="1" t="n"/>
      <c r="AE57" s="50" t="inlineStr">
        <is>
          <t>NET PAY</t>
        </is>
      </c>
      <c r="AF57" s="111">
        <f>AF54-AF56</f>
        <v/>
      </c>
      <c r="AG57" s="90" t="n"/>
      <c r="AH57" s="1" t="n"/>
      <c r="AI57" s="1" t="n"/>
      <c r="AJ57" s="50" t="inlineStr">
        <is>
          <t>NET PAY</t>
        </is>
      </c>
      <c r="AK57" s="111">
        <f>AK54-AK56</f>
        <v/>
      </c>
      <c r="AL57" s="90" t="n"/>
    </row>
    <row r="58" ht="30.75" customHeight="1" s="220">
      <c r="A58" s="1" t="inlineStr">
        <is>
          <t> </t>
        </is>
      </c>
      <c r="B58" s="96" t="inlineStr">
        <is>
          <t>REFUND / REFERRAL</t>
        </is>
      </c>
      <c r="C58" s="97">
        <f>G47+K47+O47+S69+W47+AA47+AF47+AK47</f>
        <v/>
      </c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31" t="inlineStr">
        <is>
          <t>ICC-5</t>
        </is>
      </c>
      <c r="S58" s="100" t="n"/>
      <c r="T58" s="90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</row>
    <row r="59" ht="30.75" customHeight="1" s="220">
      <c r="A59" s="1" t="n"/>
      <c r="B59" s="96" t="inlineStr">
        <is>
          <t>DOCTORS PAY</t>
        </is>
      </c>
      <c r="C59" s="97">
        <f>G54+K54+O54+W54+AA54+AF54+AK54</f>
        <v/>
      </c>
      <c r="D59" s="1" t="n"/>
      <c r="E59" s="1" t="n"/>
      <c r="F59" s="117" t="inlineStr">
        <is>
          <t>MEDISAVE ADMIN FEE CALCULATION:</t>
        </is>
      </c>
      <c r="G59" s="1" t="n"/>
      <c r="H59" s="1" t="n"/>
      <c r="I59" s="1" t="n"/>
      <c r="J59" s="117" t="inlineStr">
        <is>
          <t>MEDISAVE ADMIN FEE CALCULATION:</t>
        </is>
      </c>
      <c r="K59" s="1" t="n"/>
      <c r="L59" s="1" t="n"/>
      <c r="M59" s="1" t="n"/>
      <c r="N59" s="117" t="inlineStr">
        <is>
          <t>MEDISAVE ADMIN FEE CALCULATION:</t>
        </is>
      </c>
      <c r="O59" s="1" t="n"/>
      <c r="P59" s="1" t="n"/>
      <c r="Q59" s="1" t="n"/>
      <c r="R59" s="31" t="inlineStr">
        <is>
          <t>PRODUCTS</t>
        </is>
      </c>
      <c r="S59" s="100" t="n"/>
      <c r="T59" s="90" t="n"/>
      <c r="U59" s="1" t="n"/>
      <c r="V59" s="117" t="inlineStr">
        <is>
          <t>MEDISAVE ADMIN FEE CALCULATION:</t>
        </is>
      </c>
      <c r="W59" s="1" t="n"/>
      <c r="X59" s="1" t="n"/>
      <c r="Y59" s="1" t="n"/>
      <c r="Z59" s="117" t="inlineStr">
        <is>
          <t>MEDISAVE ADMIN FEE CALCULATION:</t>
        </is>
      </c>
      <c r="AA59" s="1" t="n"/>
      <c r="AB59" s="1" t="n"/>
      <c r="AC59" s="1" t="n"/>
      <c r="AD59" s="1" t="n"/>
      <c r="AE59" s="117" t="inlineStr">
        <is>
          <t>MEDISAVE ADMIN FEE CALCULATION:</t>
        </is>
      </c>
      <c r="AF59" s="1" t="n"/>
      <c r="AG59" s="1" t="n"/>
      <c r="AH59" s="1" t="n"/>
      <c r="AI59" s="1" t="n"/>
      <c r="AJ59" s="117" t="inlineStr">
        <is>
          <t>MEDISAVE ADMIN FEE CALCULATION:</t>
        </is>
      </c>
      <c r="AK59" s="1" t="n"/>
      <c r="AL59" s="1" t="n"/>
    </row>
    <row r="60" ht="30.75" customHeight="1" s="220">
      <c r="A60" s="1" t="n"/>
      <c r="B60" s="96" t="inlineStr">
        <is>
          <t>NURSE PAY (BASIC PAY)</t>
        </is>
      </c>
      <c r="C60" s="97" t="n"/>
      <c r="D60" s="1" t="n"/>
      <c r="E60" s="1" t="n"/>
      <c r="F60" s="118" t="inlineStr">
        <is>
          <t>Medisave Claim</t>
        </is>
      </c>
      <c r="G60" s="119" t="inlineStr">
        <is>
          <t>Admin Fee</t>
        </is>
      </c>
      <c r="H60" s="119" t="inlineStr">
        <is>
          <t>REMARKS</t>
        </is>
      </c>
      <c r="I60" s="1" t="n"/>
      <c r="J60" s="118" t="inlineStr">
        <is>
          <t>Medisave Claim</t>
        </is>
      </c>
      <c r="K60" s="119" t="inlineStr">
        <is>
          <t>Admin Fee</t>
        </is>
      </c>
      <c r="L60" s="119" t="inlineStr">
        <is>
          <t>REMARKS</t>
        </is>
      </c>
      <c r="M60" s="1" t="n"/>
      <c r="N60" s="118" t="inlineStr">
        <is>
          <t>Medisave Claim</t>
        </is>
      </c>
      <c r="O60" s="119" t="inlineStr">
        <is>
          <t>Admin Fee</t>
        </is>
      </c>
      <c r="P60" s="119" t="inlineStr">
        <is>
          <t>REMARKS</t>
        </is>
      </c>
      <c r="Q60" s="1" t="n"/>
      <c r="R60" s="31" t="inlineStr">
        <is>
          <t>ORTHO (B+B)</t>
        </is>
      </c>
      <c r="S60" s="100" t="n"/>
      <c r="T60" s="90" t="n"/>
      <c r="U60" s="1" t="n"/>
      <c r="V60" s="118" t="inlineStr">
        <is>
          <t>Medisave Claim</t>
        </is>
      </c>
      <c r="W60" s="119" t="inlineStr">
        <is>
          <t>Admin Fee</t>
        </is>
      </c>
      <c r="X60" s="119" t="inlineStr">
        <is>
          <t>REMARKS</t>
        </is>
      </c>
      <c r="Y60" s="1" t="n"/>
      <c r="Z60" s="118" t="inlineStr">
        <is>
          <t>Medisave Claim</t>
        </is>
      </c>
      <c r="AA60" s="119" t="inlineStr">
        <is>
          <t>Admin Fee</t>
        </is>
      </c>
      <c r="AB60" s="119" t="inlineStr">
        <is>
          <t>REMARKS</t>
        </is>
      </c>
      <c r="AC60" s="1" t="n"/>
      <c r="AD60" s="1" t="n"/>
      <c r="AE60" s="118" t="inlineStr">
        <is>
          <t>Medisave Claim</t>
        </is>
      </c>
      <c r="AF60" s="119" t="inlineStr">
        <is>
          <t>Admin Fee</t>
        </is>
      </c>
      <c r="AG60" s="119" t="inlineStr">
        <is>
          <t>REMARKS</t>
        </is>
      </c>
      <c r="AH60" s="1" t="n"/>
      <c r="AI60" s="1" t="n"/>
      <c r="AJ60" s="118" t="inlineStr">
        <is>
          <t>Medisave Claim</t>
        </is>
      </c>
      <c r="AK60" s="119" t="inlineStr">
        <is>
          <t>Admin Fee</t>
        </is>
      </c>
      <c r="AL60" s="119" t="inlineStr">
        <is>
          <t>REMARKS</t>
        </is>
      </c>
    </row>
    <row r="61" ht="30.75" customHeight="1" s="220">
      <c r="A61" s="1" t="n"/>
      <c r="B61" s="96" t="inlineStr">
        <is>
          <t>NURSE PAY (INCENTIVE)</t>
        </is>
      </c>
      <c r="C61" s="97" t="n"/>
      <c r="D61" s="1" t="n"/>
      <c r="E61" s="1" t="n"/>
      <c r="F61" s="120" t="n"/>
      <c r="G61" s="121">
        <f>F61*20</f>
        <v/>
      </c>
      <c r="H61" s="121" t="n"/>
      <c r="I61" s="1" t="n"/>
      <c r="J61" s="120" t="n"/>
      <c r="K61" s="121">
        <f>J61*20</f>
        <v/>
      </c>
      <c r="L61" s="121" t="n"/>
      <c r="M61" s="1" t="n"/>
      <c r="N61" s="120" t="n"/>
      <c r="O61" s="121">
        <f>N61*20</f>
        <v/>
      </c>
      <c r="P61" s="121" t="n"/>
      <c r="Q61" s="1" t="n"/>
      <c r="R61" s="31" t="inlineStr">
        <is>
          <t>ABUTMENTS</t>
        </is>
      </c>
      <c r="S61" s="100" t="n"/>
      <c r="T61" s="90" t="n"/>
      <c r="U61" s="1" t="n"/>
      <c r="V61" s="120" t="n"/>
      <c r="W61" s="121">
        <f>V61*20</f>
        <v/>
      </c>
      <c r="X61" s="121" t="n"/>
      <c r="Y61" s="1" t="n"/>
      <c r="Z61" s="120" t="n"/>
      <c r="AA61" s="121">
        <f>Z61*20</f>
        <v/>
      </c>
      <c r="AB61" s="121" t="n"/>
      <c r="AC61" s="1" t="n"/>
      <c r="AD61" s="1" t="n"/>
      <c r="AE61" s="120" t="n"/>
      <c r="AF61" s="121">
        <f>AE61*20</f>
        <v/>
      </c>
      <c r="AG61" s="121" t="n"/>
      <c r="AH61" s="1" t="n"/>
      <c r="AI61" s="1" t="n"/>
      <c r="AJ61" s="120" t="n"/>
      <c r="AK61" s="121">
        <f>AJ61*20</f>
        <v/>
      </c>
      <c r="AL61" s="121" t="n"/>
    </row>
    <row r="62" ht="30.75" customHeight="1" s="220">
      <c r="A62" s="1" t="n"/>
      <c r="B62" s="96" t="inlineStr">
        <is>
          <t>NURSE TRANSFER FEE</t>
        </is>
      </c>
      <c r="C62" s="97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31" t="inlineStr">
        <is>
          <t>IMPLANT</t>
        </is>
      </c>
      <c r="S62" s="100" t="n"/>
      <c r="T62" s="90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</row>
    <row r="63" ht="30.75" customHeight="1" s="220">
      <c r="A63" s="1" t="inlineStr">
        <is>
          <t> </t>
        </is>
      </c>
      <c r="B63" s="96" t="inlineStr">
        <is>
          <t>TANK CULTURE</t>
        </is>
      </c>
      <c r="C63" s="97" t="n"/>
      <c r="D63" s="1" t="n"/>
      <c r="E63" s="1" t="n"/>
      <c r="F63" s="122" t="inlineStr">
        <is>
          <t>ADDITIONAL MARKETING:</t>
        </is>
      </c>
      <c r="G63" s="1" t="n"/>
      <c r="H63" s="1" t="n"/>
      <c r="I63" s="1" t="n"/>
      <c r="J63" s="122" t="inlineStr">
        <is>
          <t>ADDITIONAL MARKETING:</t>
        </is>
      </c>
      <c r="K63" s="1" t="n"/>
      <c r="L63" s="1" t="n"/>
      <c r="M63" s="1" t="n"/>
      <c r="N63" s="122" t="inlineStr">
        <is>
          <t>ADDITIONAL MARKETING:</t>
        </is>
      </c>
      <c r="O63" s="1" t="n"/>
      <c r="P63" s="1" t="n"/>
      <c r="Q63" s="1" t="n"/>
      <c r="R63" s="31" t="inlineStr">
        <is>
          <t>SKY LAB</t>
        </is>
      </c>
      <c r="S63" s="100" t="n"/>
      <c r="T63" s="90" t="n"/>
      <c r="U63" s="1" t="n"/>
      <c r="V63" s="122" t="inlineStr">
        <is>
          <t>ADDITIONAL MARKETING:</t>
        </is>
      </c>
      <c r="W63" s="1" t="n"/>
      <c r="X63" s="1" t="n"/>
      <c r="Y63" s="1" t="n"/>
      <c r="Z63" s="122" t="inlineStr">
        <is>
          <t>ADDITIONAL MARKETING:</t>
        </is>
      </c>
      <c r="AA63" s="1" t="n"/>
      <c r="AB63" s="1" t="n"/>
      <c r="AC63" s="1" t="n"/>
      <c r="AD63" s="1" t="n"/>
      <c r="AE63" s="122" t="inlineStr">
        <is>
          <t>ADDITIONAL MARKETING:</t>
        </is>
      </c>
      <c r="AF63" s="1" t="n"/>
      <c r="AG63" s="1" t="n"/>
      <c r="AH63" s="1" t="n"/>
      <c r="AI63" s="1" t="n"/>
      <c r="AJ63" s="122" t="inlineStr">
        <is>
          <t>ADDITIONAL MARKETING:</t>
        </is>
      </c>
      <c r="AK63" s="1" t="n"/>
      <c r="AL63" s="1" t="n"/>
    </row>
    <row r="64" ht="30.75" customHeight="1" s="220">
      <c r="A64" s="1" t="inlineStr">
        <is>
          <t> </t>
        </is>
      </c>
      <c r="B64" s="96" t="inlineStr">
        <is>
          <t>SHARP BIN</t>
        </is>
      </c>
      <c r="C64" s="97" t="n"/>
      <c r="D64" s="1" t="n"/>
      <c r="E64" s="1" t="n"/>
      <c r="F64" s="123" t="inlineStr">
        <is>
          <t xml:space="preserve">MONTH </t>
        </is>
      </c>
      <c r="G64" s="124" t="inlineStr">
        <is>
          <t>AMOUNT</t>
        </is>
      </c>
      <c r="H64" s="124" t="inlineStr">
        <is>
          <t>REMARKS</t>
        </is>
      </c>
      <c r="I64" s="1" t="n"/>
      <c r="J64" s="123" t="inlineStr">
        <is>
          <t xml:space="preserve">MONTH </t>
        </is>
      </c>
      <c r="K64" s="124" t="inlineStr">
        <is>
          <t>AMOUNT</t>
        </is>
      </c>
      <c r="L64" s="124" t="inlineStr">
        <is>
          <t>REMARKS</t>
        </is>
      </c>
      <c r="M64" s="1" t="n"/>
      <c r="N64" s="123" t="inlineStr">
        <is>
          <t xml:space="preserve">MONTH </t>
        </is>
      </c>
      <c r="O64" s="124" t="inlineStr">
        <is>
          <t>AMOUNT</t>
        </is>
      </c>
      <c r="P64" s="124" t="inlineStr">
        <is>
          <t>REMARKS</t>
        </is>
      </c>
      <c r="Q64" s="1" t="n"/>
      <c r="R64" s="31" t="inlineStr">
        <is>
          <t>DIGICADCAM</t>
        </is>
      </c>
      <c r="S64" s="100" t="n"/>
      <c r="T64" s="90" t="n"/>
      <c r="U64" s="1" t="n"/>
      <c r="V64" s="123" t="inlineStr">
        <is>
          <t xml:space="preserve">MONTH </t>
        </is>
      </c>
      <c r="W64" s="124" t="inlineStr">
        <is>
          <t>AMOUNT</t>
        </is>
      </c>
      <c r="X64" s="124" t="inlineStr">
        <is>
          <t>REMARKS</t>
        </is>
      </c>
      <c r="Y64" s="1" t="n"/>
      <c r="Z64" s="123" t="inlineStr">
        <is>
          <t xml:space="preserve">MONTH </t>
        </is>
      </c>
      <c r="AA64" s="124" t="inlineStr">
        <is>
          <t>AMOUNT</t>
        </is>
      </c>
      <c r="AB64" s="124" t="inlineStr">
        <is>
          <t>REMARKS</t>
        </is>
      </c>
      <c r="AC64" s="1" t="n"/>
      <c r="AD64" s="1" t="n"/>
      <c r="AE64" s="123" t="inlineStr">
        <is>
          <t xml:space="preserve">MONTH </t>
        </is>
      </c>
      <c r="AF64" s="124" t="inlineStr">
        <is>
          <t>AMOUNT</t>
        </is>
      </c>
      <c r="AG64" s="124" t="inlineStr">
        <is>
          <t>REMARKS</t>
        </is>
      </c>
      <c r="AH64" s="1" t="n"/>
      <c r="AI64" s="1" t="n"/>
      <c r="AJ64" s="123" t="inlineStr">
        <is>
          <t xml:space="preserve">MONTH </t>
        </is>
      </c>
      <c r="AK64" s="124" t="inlineStr">
        <is>
          <t>AMOUNT</t>
        </is>
      </c>
      <c r="AL64" s="124" t="inlineStr">
        <is>
          <t>REMARKS</t>
        </is>
      </c>
    </row>
    <row r="65" ht="41.25" customHeight="1" s="220">
      <c r="A65" s="1" t="n"/>
      <c r="B65" s="96" t="inlineStr">
        <is>
          <t>COURIER</t>
        </is>
      </c>
      <c r="C65" s="97" t="n">
        <v>0</v>
      </c>
      <c r="D65" s="1" t="n"/>
      <c r="E65" s="1" t="n"/>
      <c r="F65" s="125">
        <f>B3</f>
        <v/>
      </c>
      <c r="G65" s="128" t="n">
        <v>240</v>
      </c>
      <c r="H65" s="127" t="n"/>
      <c r="I65" s="1" t="n"/>
      <c r="J65" s="125">
        <f>F65</f>
        <v/>
      </c>
      <c r="K65" s="128" t="n">
        <v>180</v>
      </c>
      <c r="L65" s="127" t="n"/>
      <c r="M65" s="1" t="n"/>
      <c r="N65" s="125">
        <f>F65</f>
        <v/>
      </c>
      <c r="O65" s="128" t="n">
        <v>60</v>
      </c>
      <c r="P65" s="127" t="n"/>
      <c r="Q65" s="1" t="n"/>
      <c r="R65" s="31" t="inlineStr">
        <is>
          <t>OTHER LAB</t>
        </is>
      </c>
      <c r="S65" s="100" t="n"/>
      <c r="T65" s="90" t="n"/>
      <c r="U65" s="1" t="n"/>
      <c r="V65" s="125">
        <f>V3</f>
        <v/>
      </c>
      <c r="W65" s="128" t="n"/>
      <c r="X65" s="127" t="n"/>
      <c r="Y65" s="1" t="n"/>
      <c r="Z65" s="125">
        <f>V65</f>
        <v/>
      </c>
      <c r="AA65" s="128" t="n"/>
      <c r="AB65" s="127" t="n"/>
      <c r="AC65" s="1" t="n"/>
      <c r="AD65" s="1" t="n"/>
      <c r="AE65" s="125">
        <f>AE3</f>
        <v/>
      </c>
      <c r="AF65" s="128" t="n"/>
      <c r="AG65" s="127" t="n"/>
      <c r="AH65" s="1" t="n"/>
      <c r="AI65" s="1" t="n"/>
      <c r="AJ65" s="125">
        <f>AJ3</f>
        <v/>
      </c>
      <c r="AK65" s="128" t="n"/>
      <c r="AL65" s="127" t="n"/>
    </row>
    <row r="66" ht="36" customHeight="1" s="220">
      <c r="A66" s="1" t="n"/>
      <c r="B66" s="96" t="inlineStr">
        <is>
          <t>REPAIR &amp; MAINTENANCE</t>
        </is>
      </c>
      <c r="C66" s="97" t="n"/>
      <c r="D66" s="2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31" t="inlineStr">
        <is>
          <t>INVISALIGN</t>
        </is>
      </c>
      <c r="S66" s="100" t="n"/>
      <c r="T66" s="90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</row>
    <row r="67" ht="33" customHeight="1" s="220">
      <c r="A67" s="1" t="n"/>
      <c r="B67" s="131" t="inlineStr">
        <is>
          <t>MOM LEVY</t>
        </is>
      </c>
      <c r="C67" s="130" t="n">
        <v>400</v>
      </c>
      <c r="D67" s="1" t="n"/>
      <c r="E67" s="1" t="n"/>
      <c r="F67" s="122" t="inlineStr">
        <is>
          <t>OTHERS: (CPF,PERSONAL REFUND, COURSEFEE)</t>
        </is>
      </c>
      <c r="G67" s="1" t="n"/>
      <c r="H67" s="1" t="n"/>
      <c r="I67" s="1" t="n"/>
      <c r="J67" s="122" t="inlineStr">
        <is>
          <t>OTHERS: (CPF,PERSONAL REFUND, COURSEFEE)</t>
        </is>
      </c>
      <c r="K67" s="1" t="n"/>
      <c r="L67" s="1" t="n"/>
      <c r="M67" s="1" t="n"/>
      <c r="N67" s="122" t="inlineStr">
        <is>
          <t>OTHERS: (CPF,PERSONAL REFUND, COURSEFEE)</t>
        </is>
      </c>
      <c r="O67" s="1" t="n"/>
      <c r="P67" s="1" t="n"/>
      <c r="Q67" s="1" t="n"/>
      <c r="R67" s="31" t="inlineStr">
        <is>
          <t>TRANSFER (+)</t>
        </is>
      </c>
      <c r="S67" s="100" t="n"/>
      <c r="T67" s="90" t="n"/>
      <c r="U67" s="1" t="n"/>
      <c r="V67" s="122" t="inlineStr">
        <is>
          <t>OTHERS: (CPF,PERSONAL REFUND, COURSEFEE)</t>
        </is>
      </c>
      <c r="W67" s="1" t="n"/>
      <c r="X67" s="1" t="n"/>
      <c r="Y67" s="1" t="n"/>
      <c r="Z67" s="122" t="inlineStr">
        <is>
          <t>OTHERS: (CPF,PERSONAL REFUND, COURSEFEE)</t>
        </is>
      </c>
      <c r="AA67" s="1" t="n"/>
      <c r="AB67" s="1" t="n"/>
      <c r="AC67" s="1" t="n"/>
      <c r="AD67" s="1" t="n"/>
      <c r="AE67" s="122" t="inlineStr">
        <is>
          <t>OTHERS: (CPF,PERSONAL REFUND, COURSEFEE)</t>
        </is>
      </c>
      <c r="AF67" s="1" t="n"/>
      <c r="AG67" s="1" t="n"/>
      <c r="AH67" s="1" t="n"/>
      <c r="AI67" s="1" t="n"/>
      <c r="AJ67" s="122" t="inlineStr">
        <is>
          <t>OTHERS: (CPF,PERSONAL REFUND, COURSEFEE)</t>
        </is>
      </c>
      <c r="AK67" s="1" t="n"/>
      <c r="AL67" s="1" t="n"/>
    </row>
    <row r="68" ht="33.75" customHeight="1" s="220">
      <c r="A68" s="1" t="n"/>
      <c r="B68" s="90" t="n"/>
      <c r="C68" s="90" t="n"/>
      <c r="D68" s="1" t="n"/>
      <c r="E68" s="1" t="n"/>
      <c r="F68" s="122" t="n"/>
      <c r="G68" s="1" t="n"/>
      <c r="H68" s="1" t="n"/>
      <c r="I68" s="1" t="n"/>
      <c r="J68" s="122" t="n"/>
      <c r="K68" s="1" t="n"/>
      <c r="L68" s="1" t="n"/>
      <c r="M68" s="1" t="n"/>
      <c r="N68" s="122" t="n"/>
      <c r="O68" s="1" t="n"/>
      <c r="P68" s="1" t="n"/>
      <c r="Q68" s="1" t="n"/>
      <c r="R68" s="31" t="inlineStr">
        <is>
          <t>TRANSFER (-)</t>
        </is>
      </c>
      <c r="S68" s="100" t="n"/>
      <c r="T68" s="90" t="n"/>
      <c r="U68" s="1" t="n"/>
      <c r="V68" s="122" t="n"/>
      <c r="W68" s="1" t="n"/>
      <c r="X68" s="1" t="n"/>
      <c r="Y68" s="1" t="n"/>
      <c r="Z68" s="122" t="n"/>
      <c r="AA68" s="1" t="n"/>
      <c r="AB68" s="1" t="n"/>
      <c r="AC68" s="1" t="n"/>
      <c r="AD68" s="1" t="n"/>
      <c r="AE68" s="122" t="n"/>
      <c r="AF68" s="1" t="n"/>
      <c r="AG68" s="1" t="n"/>
      <c r="AH68" s="1" t="n"/>
      <c r="AI68" s="1" t="n"/>
      <c r="AJ68" s="122" t="n"/>
      <c r="AK68" s="1" t="n"/>
      <c r="AL68" s="1" t="n"/>
    </row>
    <row r="69" ht="45" customHeight="1" s="220">
      <c r="A69" s="1" t="n"/>
      <c r="B69" s="90" t="n"/>
      <c r="C69" s="90" t="n"/>
      <c r="D69" s="1" t="n"/>
      <c r="E69" s="1" t="n"/>
      <c r="F69" s="134" t="inlineStr">
        <is>
          <t>DETAILS</t>
        </is>
      </c>
      <c r="G69" s="134" t="inlineStr">
        <is>
          <t>AMOUNT</t>
        </is>
      </c>
      <c r="H69" s="127" t="n"/>
      <c r="I69" s="1" t="n"/>
      <c r="J69" s="134" t="inlineStr">
        <is>
          <t>DETAILS</t>
        </is>
      </c>
      <c r="K69" s="134" t="inlineStr">
        <is>
          <t>AMOUNT</t>
        </is>
      </c>
      <c r="L69" s="127" t="n"/>
      <c r="M69" s="1" t="n"/>
      <c r="N69" s="134" t="inlineStr">
        <is>
          <t>DETAILS</t>
        </is>
      </c>
      <c r="O69" s="134" t="inlineStr">
        <is>
          <t>AMOUNT</t>
        </is>
      </c>
      <c r="P69" s="127" t="n"/>
      <c r="Q69" s="1" t="n"/>
      <c r="R69" s="52" t="inlineStr">
        <is>
          <t>REFUND</t>
        </is>
      </c>
      <c r="S69" s="105" t="n"/>
      <c r="T69" s="90" t="n"/>
      <c r="U69" s="1" t="n"/>
      <c r="V69" s="134" t="inlineStr">
        <is>
          <t>DETAILS</t>
        </is>
      </c>
      <c r="W69" s="134" t="inlineStr">
        <is>
          <t>AMOUNT</t>
        </is>
      </c>
      <c r="X69" s="127" t="n"/>
      <c r="Y69" s="1" t="n"/>
      <c r="Z69" s="134" t="inlineStr">
        <is>
          <t>DETAILS</t>
        </is>
      </c>
      <c r="AA69" s="134" t="inlineStr">
        <is>
          <t>AMOUNT</t>
        </is>
      </c>
      <c r="AB69" s="127" t="n"/>
      <c r="AC69" s="1" t="n"/>
      <c r="AD69" s="1" t="n"/>
      <c r="AE69" s="134" t="inlineStr">
        <is>
          <t>DETAILS</t>
        </is>
      </c>
      <c r="AF69" s="134" t="inlineStr">
        <is>
          <t>AMOUNT</t>
        </is>
      </c>
      <c r="AG69" s="127" t="n"/>
      <c r="AH69" s="1" t="n"/>
      <c r="AI69" s="1" t="n"/>
      <c r="AJ69" s="134" t="inlineStr">
        <is>
          <t>DETAILS</t>
        </is>
      </c>
      <c r="AK69" s="134" t="inlineStr">
        <is>
          <t>AMOUNT</t>
        </is>
      </c>
      <c r="AL69" s="127" t="n"/>
    </row>
    <row r="70" ht="27.75" customHeight="1" s="220">
      <c r="A70" s="1" t="n"/>
      <c r="B70" s="90" t="n"/>
      <c r="C70" s="90" t="n"/>
      <c r="D70" s="1" t="n"/>
      <c r="E70" s="1" t="n"/>
      <c r="F70" s="134" t="n"/>
      <c r="G70" s="134" t="n"/>
      <c r="H70" s="127" t="n"/>
      <c r="I70" s="135" t="n"/>
      <c r="J70" s="134" t="n"/>
      <c r="K70" s="134" t="n"/>
      <c r="L70" s="127" t="n"/>
      <c r="M70" s="135" t="n"/>
      <c r="N70" s="134" t="n"/>
      <c r="O70" s="134" t="n"/>
      <c r="P70" s="127" t="n"/>
      <c r="Q70" s="135" t="n"/>
      <c r="R70" s="52" t="inlineStr">
        <is>
          <t>VOUCHER</t>
        </is>
      </c>
      <c r="S70" s="105" t="n"/>
      <c r="T70" s="90" t="n"/>
      <c r="U70" s="135" t="n"/>
      <c r="V70" s="134" t="n"/>
      <c r="W70" s="134" t="n"/>
      <c r="X70" s="127" t="n"/>
      <c r="Y70" s="136" t="n"/>
      <c r="Z70" s="134" t="n"/>
      <c r="AA70" s="134" t="n"/>
      <c r="AB70" s="127" t="n"/>
      <c r="AC70" s="136" t="n"/>
      <c r="AD70" s="135" t="n"/>
      <c r="AE70" s="134" t="n"/>
      <c r="AF70" s="134" t="n"/>
      <c r="AG70" s="127" t="n"/>
      <c r="AH70" s="1" t="n"/>
      <c r="AI70" s="135" t="n"/>
      <c r="AJ70" s="134" t="n"/>
      <c r="AK70" s="134" t="n"/>
      <c r="AL70" s="127" t="n"/>
    </row>
    <row r="71" ht="27.75" customHeight="1" s="220">
      <c r="A71" s="137" t="n"/>
      <c r="B71" s="137" t="n"/>
      <c r="C71" s="137" t="n"/>
      <c r="D71" s="137" t="n"/>
      <c r="E71" s="137" t="n"/>
      <c r="F71" s="134" t="n"/>
      <c r="G71" s="134" t="n"/>
      <c r="H71" s="127" t="n"/>
      <c r="I71" s="138" t="n"/>
      <c r="J71" s="134" t="n"/>
      <c r="K71" s="134" t="n"/>
      <c r="L71" s="127" t="n"/>
      <c r="M71" s="138" t="n"/>
      <c r="N71" s="134" t="n"/>
      <c r="O71" s="134" t="n"/>
      <c r="P71" s="127" t="n"/>
      <c r="Q71" s="138" t="n"/>
      <c r="R71" s="31" t="inlineStr">
        <is>
          <t>RETAINERS/BT/SPLINT</t>
        </is>
      </c>
      <c r="S71" s="105" t="n"/>
      <c r="T71" s="90" t="n"/>
      <c r="U71" s="138" t="n"/>
      <c r="V71" s="134" t="n"/>
      <c r="W71" s="134" t="n"/>
      <c r="X71" s="127" t="n"/>
      <c r="Y71" s="138" t="n"/>
      <c r="Z71" s="134" t="n"/>
      <c r="AA71" s="134" t="n"/>
      <c r="AB71" s="127" t="n"/>
      <c r="AC71" s="137" t="n"/>
      <c r="AD71" s="138" t="n"/>
      <c r="AE71" s="134" t="n"/>
      <c r="AF71" s="134" t="n"/>
      <c r="AG71" s="127" t="n"/>
      <c r="AH71" s="137" t="n"/>
      <c r="AI71" s="138" t="n"/>
      <c r="AJ71" s="134" t="n"/>
      <c r="AK71" s="134" t="n"/>
      <c r="AL71" s="127" t="n"/>
    </row>
    <row r="72" ht="46.5" customHeight="1" s="220">
      <c r="A72" s="1" t="n"/>
      <c r="B72" s="139" t="inlineStr">
        <is>
          <t>TOTAL</t>
        </is>
      </c>
      <c r="C72" s="140">
        <f>B31-C34-C35-C58-C36-C37-C42-C43-C38-C46-C39-C45-C48-C49-C51-C50-C55-C54-C53-C59-C60-C61-C62-C47-C63-C40-C64-C41-C67-C66-C65-C90-C91-C92-C93-C94-C95-C68-C69-C70</f>
        <v/>
      </c>
      <c r="D72" s="137" t="n"/>
      <c r="E72" s="1" t="n"/>
      <c r="F72" s="134" t="n"/>
      <c r="G72" s="134" t="n"/>
      <c r="H72" s="127" t="n"/>
      <c r="I72" s="1" t="n"/>
      <c r="J72" s="134" t="n"/>
      <c r="K72" s="134" t="n"/>
      <c r="L72" s="127" t="n"/>
      <c r="M72" s="1" t="n"/>
      <c r="N72" s="134" t="n"/>
      <c r="O72" s="134" t="n"/>
      <c r="P72" s="127" t="n"/>
      <c r="Q72" s="1" t="n"/>
      <c r="R72" s="31" t="inlineStr">
        <is>
          <t>INSTALLMENT</t>
        </is>
      </c>
      <c r="S72" s="105" t="n"/>
      <c r="T72" s="90" t="n"/>
      <c r="U72" s="1" t="n"/>
      <c r="V72" s="134" t="n"/>
      <c r="W72" s="127" t="n"/>
      <c r="X72" s="127" t="n"/>
      <c r="Y72" s="1" t="n"/>
      <c r="Z72" s="134" t="n"/>
      <c r="AA72" s="134" t="n"/>
      <c r="AB72" s="127" t="n"/>
      <c r="AC72" s="1" t="n"/>
      <c r="AD72" s="1" t="n"/>
      <c r="AE72" s="134" t="n"/>
      <c r="AF72" s="134" t="n"/>
      <c r="AG72" s="127" t="n"/>
      <c r="AH72" s="1" t="n"/>
      <c r="AI72" s="1" t="n"/>
      <c r="AJ72" s="134" t="n"/>
      <c r="AK72" s="134" t="n"/>
      <c r="AL72" s="127" t="n"/>
    </row>
    <row r="73" ht="31.5" customHeight="1" s="220">
      <c r="A73" s="1" t="n"/>
      <c r="B73" s="141" t="inlineStr">
        <is>
          <t>FOR INCENTIVE %</t>
        </is>
      </c>
      <c r="C73" s="142">
        <f>B31-C34-C35-C58-C42-C43-C46-C45-C48-C44-C49-C50-C47-C63-C40-C64-C41-C65-C93-C95-C94-C66-C92-C90-C68-C69-C70</f>
        <v/>
      </c>
      <c r="D73" s="143" t="n"/>
      <c r="E73" s="1" t="n"/>
      <c r="F73" s="134" t="n"/>
      <c r="G73" s="134" t="n"/>
      <c r="H73" s="127" t="n"/>
      <c r="I73" s="1" t="n"/>
      <c r="J73" s="134" t="n"/>
      <c r="K73" s="134" t="n"/>
      <c r="L73" s="127" t="n"/>
      <c r="M73" s="1" t="n"/>
      <c r="N73" s="134" t="n"/>
      <c r="O73" s="134" t="n"/>
      <c r="P73" s="127" t="n"/>
      <c r="Q73" s="1" t="n"/>
      <c r="R73" s="144" t="inlineStr">
        <is>
          <t>DEDUCTIONS</t>
        </is>
      </c>
      <c r="S73" s="145" t="n"/>
      <c r="T73" s="90" t="n"/>
      <c r="U73" s="1" t="n"/>
      <c r="V73" s="134" t="n"/>
      <c r="W73" s="134" t="n"/>
      <c r="X73" s="127" t="n"/>
      <c r="Y73" s="1" t="n"/>
      <c r="Z73" s="134" t="n"/>
      <c r="AA73" s="134" t="n"/>
      <c r="AB73" s="127" t="n"/>
      <c r="AC73" s="1" t="n"/>
      <c r="AD73" s="1" t="n"/>
      <c r="AE73" s="134" t="n"/>
      <c r="AF73" s="134" t="n"/>
      <c r="AG73" s="127" t="n"/>
      <c r="AH73" s="1" t="n"/>
      <c r="AI73" s="1" t="n"/>
      <c r="AJ73" s="134" t="n"/>
      <c r="AK73" s="134" t="n"/>
      <c r="AL73" s="127" t="n"/>
    </row>
    <row r="74" ht="31.5" customHeight="1" s="220">
      <c r="A74" s="1" t="n"/>
      <c r="B74" s="146" t="inlineStr">
        <is>
          <t>PERCENT</t>
        </is>
      </c>
      <c r="C74" s="147">
        <f>VLOOKUP(C73,'% RATES INCENTIVES TENGAH'!C:D,2,TRUE)</f>
        <v/>
      </c>
      <c r="D74" s="1" t="n"/>
      <c r="E74" s="1" t="n"/>
      <c r="F74" s="134" t="n"/>
      <c r="G74" s="134" t="n"/>
      <c r="H74" s="127" t="n"/>
      <c r="I74" s="1" t="n"/>
      <c r="J74" s="134" t="n"/>
      <c r="K74" s="134" t="n"/>
      <c r="L74" s="127" t="n"/>
      <c r="M74" s="1" t="n"/>
      <c r="N74" s="134" t="n"/>
      <c r="O74" s="134" t="n"/>
      <c r="P74" s="127" t="n"/>
      <c r="Q74" s="1" t="n"/>
      <c r="R74" s="148" t="n"/>
      <c r="S74" s="148" t="n"/>
      <c r="T74" s="1" t="n"/>
      <c r="U74" s="1" t="n"/>
      <c r="V74" s="134" t="n"/>
      <c r="W74" s="134" t="n"/>
      <c r="X74" s="127" t="n"/>
      <c r="Y74" s="1" t="n"/>
      <c r="Z74" s="134" t="n"/>
      <c r="AA74" s="134" t="n"/>
      <c r="AB74" s="127" t="n"/>
      <c r="AC74" s="1" t="n"/>
      <c r="AD74" s="1" t="n"/>
      <c r="AE74" s="134" t="n"/>
      <c r="AF74" s="134" t="n"/>
      <c r="AG74" s="127" t="n"/>
      <c r="AH74" s="1" t="n"/>
      <c r="AI74" s="1" t="n"/>
      <c r="AJ74" s="134" t="n"/>
      <c r="AK74" s="134" t="n"/>
      <c r="AL74" s="127" t="n"/>
    </row>
    <row r="75" ht="34.5" customHeight="1" s="220">
      <c r="A75" s="1" t="inlineStr">
        <is>
          <t>INCOME LESS GST</t>
        </is>
      </c>
      <c r="B75" s="149">
        <f>B31-C35</f>
        <v/>
      </c>
      <c r="C75" s="150">
        <f>C72/B75*100</f>
        <v/>
      </c>
      <c r="D75" s="151" t="inlineStr">
        <is>
          <t>%</t>
        </is>
      </c>
      <c r="E75" s="1" t="n"/>
      <c r="F75" s="134" t="n"/>
      <c r="G75" s="134" t="n"/>
      <c r="H75" s="127" t="n"/>
      <c r="I75" s="1" t="n"/>
      <c r="J75" s="134" t="n"/>
      <c r="K75" s="134" t="n"/>
      <c r="L75" s="127" t="n"/>
      <c r="M75" s="1" t="n"/>
      <c r="N75" s="134" t="n"/>
      <c r="O75" s="134" t="n"/>
      <c r="P75" s="127" t="n"/>
      <c r="Q75" s="1" t="n"/>
      <c r="R75" s="61" t="inlineStr">
        <is>
          <t>TOTAL</t>
        </is>
      </c>
      <c r="S75" s="109">
        <f>#REF!-S34-S35-S59-S58-S60-S61-S62-S63-S64-S65-S66+S67-S68-S69-S70-S71-S72-S73</f>
        <v/>
      </c>
      <c r="T75" s="90" t="n"/>
      <c r="U75" s="1" t="n"/>
      <c r="V75" s="134" t="n"/>
      <c r="W75" s="134" t="n"/>
      <c r="X75" s="127" t="n"/>
      <c r="Y75" s="1" t="n"/>
      <c r="Z75" s="134" t="n"/>
      <c r="AA75" s="134" t="n"/>
      <c r="AB75" s="127" t="n"/>
      <c r="AC75" s="1" t="n"/>
      <c r="AD75" s="1" t="n"/>
      <c r="AE75" s="134" t="n"/>
      <c r="AF75" s="134" t="n"/>
      <c r="AG75" s="127" t="n"/>
      <c r="AH75" s="1" t="n"/>
      <c r="AI75" s="1" t="n"/>
      <c r="AJ75" s="134" t="n"/>
      <c r="AK75" s="134" t="n"/>
      <c r="AL75" s="127" t="n"/>
    </row>
    <row r="76" ht="33.75" customHeight="1" s="220">
      <c r="A76" s="1" t="n"/>
      <c r="B76" s="152" t="inlineStr">
        <is>
          <t> </t>
        </is>
      </c>
      <c r="C76" s="153" t="n"/>
      <c r="D76" s="1" t="n"/>
      <c r="E76" s="1" t="n"/>
      <c r="F76" s="154" t="n"/>
      <c r="G76" s="154" t="n"/>
      <c r="H76" s="155" t="n"/>
      <c r="I76" s="1" t="n"/>
      <c r="J76" s="154" t="n"/>
      <c r="K76" s="154" t="n"/>
      <c r="L76" s="155" t="n"/>
      <c r="M76" s="1" t="n"/>
      <c r="N76" s="154" t="n"/>
      <c r="O76" s="154" t="n"/>
      <c r="P76" s="155" t="n"/>
      <c r="Q76" s="1" t="n"/>
      <c r="R76" s="112" t="inlineStr">
        <is>
          <t>DOCTORS PAY</t>
        </is>
      </c>
      <c r="S76" s="111">
        <f>(S75*50%)+S77</f>
        <v/>
      </c>
      <c r="T76" s="90" t="n"/>
      <c r="U76" s="1" t="n"/>
      <c r="V76" s="154" t="n"/>
      <c r="W76" s="154" t="n"/>
      <c r="X76" s="155" t="n"/>
      <c r="Y76" s="1" t="n"/>
      <c r="Z76" s="154" t="n"/>
      <c r="AA76" s="154" t="n"/>
      <c r="AB76" s="155" t="n"/>
      <c r="AC76" s="1" t="n"/>
      <c r="AD76" s="1" t="n"/>
      <c r="AE76" s="154" t="n"/>
      <c r="AF76" s="154" t="n"/>
      <c r="AG76" s="155" t="n"/>
      <c r="AH76" s="1" t="n"/>
      <c r="AI76" s="1" t="n"/>
      <c r="AJ76" s="154" t="n"/>
      <c r="AK76" s="154" t="n"/>
      <c r="AL76" s="155" t="n"/>
    </row>
    <row r="77" ht="36.75" customHeight="1" s="220">
      <c r="A77" s="1" t="n"/>
      <c r="B77" s="156" t="inlineStr">
        <is>
          <t>MEDISAVE ADMIN</t>
        </is>
      </c>
      <c r="C77" s="157">
        <f>G61+K61+O61+S83+W61+AA61+AF61+AK61</f>
        <v/>
      </c>
      <c r="D77" s="158">
        <f>C77/20</f>
        <v/>
      </c>
      <c r="E77" s="1" t="n"/>
      <c r="F77" s="159" t="inlineStr">
        <is>
          <t>TOTAL PAYMENT</t>
        </is>
      </c>
      <c r="G77" s="160">
        <f>G57-G70-G74-G75-G71-G72-G73</f>
        <v/>
      </c>
      <c r="H77" s="1" t="n"/>
      <c r="I77" s="1" t="n"/>
      <c r="J77" s="159" t="inlineStr">
        <is>
          <t>TOTAL PAYMENT</t>
        </is>
      </c>
      <c r="K77" s="160">
        <f>K57-K70-K74-K75-K71-K72-K73</f>
        <v/>
      </c>
      <c r="L77" s="1" t="n"/>
      <c r="M77" s="1" t="n"/>
      <c r="N77" s="159" t="inlineStr">
        <is>
          <t>TOTAL PAYMENT</t>
        </is>
      </c>
      <c r="O77" s="160">
        <f>O57-O70-O74-O75-O71-O72-O73</f>
        <v/>
      </c>
      <c r="P77" s="1" t="inlineStr">
        <is>
          <t>  </t>
        </is>
      </c>
      <c r="Q77" s="1" t="n"/>
      <c r="R77" s="50" t="inlineStr">
        <is>
          <t>ADJUSTMENTS (+)</t>
        </is>
      </c>
      <c r="S77" s="36" t="n"/>
      <c r="T77" s="90" t="n"/>
      <c r="U77" s="1" t="n"/>
      <c r="V77" s="159" t="inlineStr">
        <is>
          <t>TOTAL PAYMENT</t>
        </is>
      </c>
      <c r="W77" s="160">
        <f>W57-W70-W74-W75-W71-W72-W73</f>
        <v/>
      </c>
      <c r="X77" s="1" t="n"/>
      <c r="Y77" s="1" t="n"/>
      <c r="Z77" s="159" t="inlineStr">
        <is>
          <t>TOTAL PAYMENT</t>
        </is>
      </c>
      <c r="AA77" s="160">
        <f>AA57-AA70-AA74-AA75-AA71-AA72-AA73</f>
        <v/>
      </c>
      <c r="AB77" s="1" t="n"/>
      <c r="AC77" s="1" t="n"/>
      <c r="AD77" s="1" t="n"/>
      <c r="AE77" s="159" t="inlineStr">
        <is>
          <t>TOTAL PAYMENT</t>
        </is>
      </c>
      <c r="AF77" s="160">
        <f>AF57-AF70-AF74-AF75-AF71-AF72-AF73</f>
        <v/>
      </c>
      <c r="AG77" s="1" t="n"/>
      <c r="AH77" s="1" t="n"/>
      <c r="AI77" s="1" t="n"/>
      <c r="AJ77" s="159" t="inlineStr">
        <is>
          <t>TOTAL PAYMENT</t>
        </is>
      </c>
      <c r="AK77" s="160">
        <f>AK57-AK70-AK74-AK75-AK71-AK72-AK73</f>
        <v/>
      </c>
      <c r="AL77" s="1" t="n"/>
    </row>
    <row r="78" ht="39" customHeight="1" s="220">
      <c r="A78" s="1" t="n"/>
      <c r="B78" s="156" t="inlineStr">
        <is>
          <t>ADDITIONAL MARKETING</t>
        </is>
      </c>
      <c r="C78" s="157">
        <f>G65+K65+O65+S87+W65+AA65+AF65</f>
        <v/>
      </c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50" t="inlineStr">
        <is>
          <t>ADJUSTMENTS (-)</t>
        </is>
      </c>
      <c r="S78" s="115">
        <f>S83+S87</f>
        <v/>
      </c>
      <c r="T78" s="98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</row>
    <row r="79" ht="27.75" customHeight="1" s="220">
      <c r="A79" s="1" t="n"/>
      <c r="B79" s="161" t="inlineStr">
        <is>
          <t>DOCTORS PERSONAL DEDUCTION</t>
        </is>
      </c>
      <c r="C79" s="157">
        <f>G70+G74+G75+K70+K74+K75+O70+O74+O75+S92+S96+S97+W70+W74+W75+AA70+AA74+AA75+AF70+AF74+AF75+G71+G72+G73+K71+K72+K73+O71+O72+O73+S93+S94+S95+W71+W72+W73+AA71+AA72+AA73+AF71+AF72+AF73</f>
        <v/>
      </c>
      <c r="D79" s="137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50" t="inlineStr">
        <is>
          <t>NET PAY</t>
        </is>
      </c>
      <c r="S79" s="111">
        <f>S76-S78</f>
        <v/>
      </c>
      <c r="T79" s="90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</row>
    <row r="80" ht="28.5" customHeight="1" s="220">
      <c r="A80" s="1" t="n"/>
      <c r="B80" s="156" t="inlineStr">
        <is>
          <t>TOTAL</t>
        </is>
      </c>
      <c r="C80" s="162">
        <f>SUM(C77:C79)</f>
        <v/>
      </c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63" t="n"/>
      <c r="Z80" s="1" t="n"/>
      <c r="AA80" s="1" t="n"/>
      <c r="AB80" s="1" t="n"/>
      <c r="AC80" s="1" t="n"/>
      <c r="AD80" s="163" t="n"/>
      <c r="AE80" s="1" t="n"/>
      <c r="AF80" s="1" t="n"/>
      <c r="AG80" s="1" t="n"/>
      <c r="AH80" s="1" t="n"/>
      <c r="AI80" s="163" t="n"/>
      <c r="AJ80" s="1" t="n"/>
      <c r="AK80" s="1" t="n"/>
      <c r="AL80" s="1" t="n"/>
    </row>
    <row r="81" ht="28.5" customHeight="1" s="220">
      <c r="A81" s="1" t="n"/>
      <c r="B81" s="164" t="inlineStr">
        <is>
          <t>TOTAL ICC-5</t>
        </is>
      </c>
      <c r="C81" s="164">
        <f>G36+K36+O36+S58+AA36+W36+AF36+AK36</f>
        <v/>
      </c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17" t="inlineStr">
        <is>
          <t>MEDISAVE ADMIN FEE CALCULATION:</t>
        </is>
      </c>
      <c r="S81" s="1" t="n"/>
      <c r="T81" s="1" t="n"/>
      <c r="U81" s="1" t="n"/>
      <c r="V81" s="1" t="n"/>
      <c r="W81" s="1" t="n"/>
      <c r="X81" s="1" t="n"/>
      <c r="Y81" s="163" t="n"/>
      <c r="Z81" s="1" t="n"/>
      <c r="AA81" s="1" t="n"/>
      <c r="AB81" s="1" t="n"/>
      <c r="AC81" s="1" t="n"/>
      <c r="AD81" s="163" t="n"/>
      <c r="AE81" s="1" t="n"/>
      <c r="AF81" s="1" t="n"/>
      <c r="AG81" s="1" t="n"/>
      <c r="AH81" s="1" t="n"/>
      <c r="AI81" s="163" t="n"/>
      <c r="AJ81" s="1" t="n"/>
      <c r="AK81" s="1" t="n"/>
      <c r="AL81" s="1" t="n"/>
    </row>
    <row r="82" ht="49.5" customHeight="1" s="22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63" t="n"/>
      <c r="N82" s="1" t="n"/>
      <c r="O82" s="1" t="n"/>
      <c r="P82" s="1" t="n"/>
      <c r="Q82" s="1" t="n"/>
      <c r="R82" s="118" t="inlineStr">
        <is>
          <t>Medisave Claim</t>
        </is>
      </c>
      <c r="S82" s="119" t="inlineStr">
        <is>
          <t>Admin Fee</t>
        </is>
      </c>
      <c r="T82" s="119" t="inlineStr">
        <is>
          <t>REMARKS</t>
        </is>
      </c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</row>
    <row r="83" ht="26.25" customHeight="1" s="220">
      <c r="A83" s="1" t="n"/>
      <c r="B83" s="165" t="inlineStr">
        <is>
          <t>NURSES FEE-REVENUE</t>
        </is>
      </c>
      <c r="C83" s="166">
        <f>(C60+C61+C62)/B31</f>
        <v/>
      </c>
      <c r="D83" s="137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20" t="n"/>
      <c r="S83" s="121">
        <f>R83*20</f>
        <v/>
      </c>
      <c r="T83" s="12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</row>
    <row r="84" ht="21" customHeight="1" s="220">
      <c r="A84" s="1" t="n"/>
      <c r="B84" s="165" t="inlineStr">
        <is>
          <t>CONSUMABLE EXCL OFFICE RENT - REVENUE</t>
        </is>
      </c>
      <c r="C84" s="166">
        <f>(C49+C46+C48)/B31</f>
        <v/>
      </c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</row>
    <row r="85" ht="21" customHeight="1" s="220">
      <c r="A85" s="1" t="n"/>
      <c r="B85" s="165" t="inlineStr">
        <is>
          <t>OFFICE RENT &amp; ADMIN STAFF - REVENUE</t>
        </is>
      </c>
      <c r="C85" s="166">
        <f>(C45/B31)</f>
        <v/>
      </c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22" t="inlineStr">
        <is>
          <t>ADDITIONAL MARKETING:</t>
        </is>
      </c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</row>
    <row r="86" ht="21" customHeight="1" s="220">
      <c r="A86" s="1" t="n"/>
      <c r="B86" s="167" t="inlineStr">
        <is>
          <t>MARKETING - REVENUE</t>
        </is>
      </c>
      <c r="C86" s="166">
        <f>C50/B31</f>
        <v/>
      </c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23" t="inlineStr">
        <is>
          <t xml:space="preserve">MONTH </t>
        </is>
      </c>
      <c r="S86" s="124" t="inlineStr">
        <is>
          <t>AMOUNT</t>
        </is>
      </c>
      <c r="T86" s="124" t="inlineStr">
        <is>
          <t>REMARKS</t>
        </is>
      </c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</row>
    <row r="87" ht="18.75" customHeight="1" s="220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25">
        <f>R3</f>
        <v/>
      </c>
      <c r="S87" s="128" t="n"/>
      <c r="T87" s="127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</row>
    <row r="88" ht="16.5" customHeight="1" s="220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</row>
    <row r="89" ht="16.5" customHeight="1" s="220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22" t="inlineStr">
        <is>
          <t>OTHERS: (CPF,PERSONAL REFUND, COURSEFEE)</t>
        </is>
      </c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</row>
    <row r="90" ht="30.75" customHeight="1" s="220">
      <c r="A90" s="1" t="n"/>
      <c r="B90" s="168" t="n"/>
      <c r="C90" s="169" t="n"/>
      <c r="D90" s="1" t="inlineStr">
        <is>
          <t> </t>
        </is>
      </c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22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</row>
    <row r="91" ht="30.75" customHeight="1" s="220">
      <c r="A91" s="1" t="n"/>
      <c r="B91" s="168" t="n"/>
      <c r="C91" s="169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34" t="inlineStr">
        <is>
          <t>DETAILS</t>
        </is>
      </c>
      <c r="S91" s="134" t="inlineStr">
        <is>
          <t>AMOUNT</t>
        </is>
      </c>
      <c r="T91" s="127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</row>
    <row r="92" ht="30.75" customHeight="1" s="220">
      <c r="A92" s="1" t="n"/>
      <c r="B92" s="168" t="n"/>
      <c r="C92" s="169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34" t="n"/>
      <c r="S92" s="134" t="n"/>
      <c r="T92" s="127" t="n"/>
      <c r="U92" s="1" t="n"/>
      <c r="V92" s="1" t="n"/>
      <c r="W92" s="1" t="n"/>
      <c r="X92" s="1" t="n"/>
      <c r="Y92" s="136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inlineStr">
        <is>
          <t>feb 2191</t>
        </is>
      </c>
      <c r="AI92" s="1" t="n"/>
      <c r="AJ92" s="1" t="n"/>
      <c r="AK92" s="1" t="n"/>
      <c r="AL92" s="1" t="n"/>
    </row>
    <row r="93" ht="30.75" customHeight="1" s="220">
      <c r="A93" s="1" t="n"/>
      <c r="B93" s="168" t="n"/>
      <c r="C93" s="169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34" t="n"/>
      <c r="S93" s="134" t="n"/>
      <c r="T93" s="127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</row>
    <row r="94" ht="30.75" customHeight="1" s="220">
      <c r="A94" s="1" t="n"/>
      <c r="B94" s="117" t="n"/>
      <c r="C94" s="169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34" t="n"/>
      <c r="S94" s="134" t="n"/>
      <c r="T94" s="127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</row>
    <row r="95" ht="30.75" customHeight="1" s="220">
      <c r="A95" s="1" t="n"/>
      <c r="B95" s="117" t="n"/>
      <c r="C95" s="169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34" t="n"/>
      <c r="S95" s="134" t="n"/>
      <c r="T95" s="127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</row>
    <row r="96" ht="18.75" customHeight="1" s="220">
      <c r="A96" s="137" t="n"/>
      <c r="B96" s="137" t="n"/>
      <c r="C96" s="137" t="n"/>
      <c r="D96" s="137" t="n"/>
      <c r="E96" s="137" t="n"/>
      <c r="F96" s="137" t="n"/>
      <c r="G96" s="137" t="n"/>
      <c r="H96" s="137" t="n"/>
      <c r="I96" s="137" t="n"/>
      <c r="J96" s="137" t="n"/>
      <c r="K96" s="137" t="n"/>
      <c r="L96" s="137" t="n"/>
      <c r="M96" s="1" t="n"/>
      <c r="N96" s="137" t="n"/>
      <c r="O96" s="137" t="n"/>
      <c r="P96" s="137" t="n"/>
      <c r="Q96" s="137" t="n"/>
      <c r="R96" s="134" t="n"/>
      <c r="S96" s="134" t="n"/>
      <c r="T96" s="127" t="n"/>
      <c r="U96" s="137" t="n"/>
      <c r="V96" s="137" t="n"/>
      <c r="W96" s="137" t="n"/>
      <c r="X96" s="137" t="n"/>
      <c r="Y96" s="137" t="n"/>
      <c r="Z96" s="137" t="n"/>
      <c r="AA96" s="137" t="n"/>
      <c r="AB96" s="137" t="n"/>
      <c r="AC96" s="137" t="n"/>
      <c r="AD96" s="137" t="n"/>
      <c r="AE96" s="137" t="n"/>
      <c r="AF96" s="137" t="n"/>
      <c r="AG96" s="137" t="n"/>
      <c r="AH96" s="137" t="n"/>
      <c r="AI96" s="137" t="n"/>
      <c r="AJ96" s="137" t="n"/>
      <c r="AK96" s="137" t="n"/>
      <c r="AL96" s="137" t="n"/>
    </row>
    <row r="97" ht="41.25" customHeight="1" s="220">
      <c r="A97" s="1" t="n"/>
      <c r="B97" s="1" t="n"/>
      <c r="C97" s="2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37" t="n"/>
      <c r="N97" s="1" t="n"/>
      <c r="O97" s="1" t="n"/>
      <c r="P97" s="1" t="n"/>
      <c r="Q97" s="1" t="n"/>
      <c r="R97" s="134" t="n"/>
      <c r="S97" s="134" t="n"/>
      <c r="T97" s="127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</row>
    <row r="98" ht="18.75" customHeight="1" s="220">
      <c r="A98" s="1" t="n"/>
      <c r="B98" s="1" t="n"/>
      <c r="C98" s="2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54" t="n"/>
      <c r="S98" s="154" t="n"/>
      <c r="T98" s="155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</row>
    <row r="99" ht="30.75" customHeight="1" s="220">
      <c r="A99" s="1" t="n"/>
      <c r="B99" s="1" t="n"/>
      <c r="C99" s="2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59" t="inlineStr">
        <is>
          <t>TOTAL CHEQUE AMOUNT</t>
        </is>
      </c>
      <c r="S99" s="160">
        <f>S79-S92-S96-S97-S93-S94-S95</f>
        <v/>
      </c>
      <c r="T99" s="2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</row>
    <row r="100" ht="16.5" customHeight="1" s="220">
      <c r="A100" s="1" t="n"/>
      <c r="B100" s="1" t="n"/>
      <c r="C100" s="2" t="n"/>
      <c r="D100" s="1" t="n"/>
      <c r="E100" s="1" t="n"/>
      <c r="F100" s="137" t="n"/>
      <c r="G100" s="137" t="n"/>
      <c r="H100" s="137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</row>
    <row r="101" ht="16.5" customHeight="1" s="220">
      <c r="A101" s="1" t="n"/>
      <c r="B101" s="1" t="n"/>
      <c r="C101" s="2" t="n"/>
      <c r="D101" s="1" t="n"/>
      <c r="E101" s="2" t="n"/>
      <c r="F101" s="1" t="n"/>
      <c r="G101" s="1" t="n"/>
      <c r="H101" s="137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</row>
    <row r="102" ht="16.5" customHeight="1" s="220">
      <c r="A102" s="1" t="n"/>
      <c r="B102" s="1" t="n"/>
      <c r="C102" s="2" t="n"/>
      <c r="D102" s="1" t="n"/>
      <c r="E102" s="1" t="n"/>
      <c r="F102" s="1" t="n"/>
      <c r="G102" s="1" t="n"/>
      <c r="H102" s="137" t="n"/>
      <c r="I102" s="1" t="n"/>
      <c r="J102" s="1" t="n"/>
      <c r="K102" s="1" t="n"/>
      <c r="L102" s="137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</row>
    <row r="103" ht="16.5" customHeight="1" s="220">
      <c r="A103" s="137" t="n"/>
      <c r="B103" s="1" t="n"/>
      <c r="C103" s="2" t="n"/>
      <c r="D103" s="1" t="n"/>
      <c r="E103" s="137" t="n"/>
      <c r="F103" s="1" t="n"/>
      <c r="G103" s="1" t="n"/>
      <c r="H103" s="137" t="n"/>
      <c r="I103" s="1" t="n"/>
      <c r="J103" s="137" t="n"/>
      <c r="K103" s="137" t="n"/>
      <c r="L103" s="137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</row>
    <row r="104" ht="16.5" customHeight="1" s="220">
      <c r="A104" s="1" t="n"/>
      <c r="B104" s="1" t="n"/>
      <c r="C104" s="2" t="n"/>
      <c r="D104" s="1" t="n"/>
      <c r="E104" s="1" t="n"/>
      <c r="F104" s="1" t="n"/>
      <c r="G104" s="1" t="n"/>
      <c r="H104" s="137" t="n"/>
      <c r="I104" s="1" t="n"/>
      <c r="J104" s="1" t="n"/>
      <c r="K104" s="1" t="n"/>
      <c r="L104" s="137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</row>
    <row r="105" ht="16.5" customHeight="1" s="220">
      <c r="A105" s="1" t="n"/>
      <c r="B105" s="1" t="n"/>
      <c r="C105" s="2" t="n"/>
      <c r="D105" s="1" t="n"/>
      <c r="E105" s="1" t="n"/>
      <c r="F105" s="137" t="n"/>
      <c r="G105" s="137" t="n"/>
      <c r="H105" s="137" t="n"/>
      <c r="I105" s="1" t="n"/>
      <c r="J105" s="1" t="n"/>
      <c r="K105" s="1" t="n"/>
      <c r="L105" s="137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</row>
    <row r="106" ht="16.5" customHeight="1" s="220">
      <c r="A106" s="1" t="n"/>
      <c r="B106" s="1" t="n"/>
      <c r="C106" s="2" t="n"/>
      <c r="D106" s="1" t="n"/>
      <c r="E106" s="1" t="n"/>
      <c r="F106" s="1" t="n"/>
      <c r="G106" s="1" t="n"/>
      <c r="H106" s="137" t="n"/>
      <c r="I106" s="1" t="n"/>
      <c r="J106" s="1" t="n"/>
      <c r="K106" s="1" t="n"/>
      <c r="L106" s="137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</row>
    <row r="107" ht="16.5" customHeight="1" s="220">
      <c r="A107" s="137" t="n"/>
      <c r="B107" s="1" t="n"/>
      <c r="C107" s="2" t="n"/>
      <c r="D107" s="1" t="n"/>
      <c r="E107" s="137" t="n"/>
      <c r="F107" s="1" t="n"/>
      <c r="G107" s="1" t="n"/>
      <c r="H107" s="137" t="n"/>
      <c r="I107" s="1" t="n"/>
      <c r="J107" s="137" t="n"/>
      <c r="K107" s="137" t="n"/>
      <c r="L107" s="137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</row>
    <row r="108" ht="16.5" customHeight="1" s="220">
      <c r="A108" s="1" t="n"/>
      <c r="B108" s="1" t="n"/>
      <c r="C108" s="2" t="n"/>
      <c r="D108" s="1" t="n"/>
      <c r="E108" s="1" t="n"/>
      <c r="F108" s="137" t="n"/>
      <c r="G108" s="137" t="n"/>
      <c r="H108" s="137" t="n"/>
      <c r="I108" s="1" t="n"/>
      <c r="J108" s="1" t="n"/>
      <c r="K108" s="1" t="n"/>
      <c r="L108" s="137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</row>
    <row r="109" ht="16.5" customHeight="1" s="220">
      <c r="A109" s="1" t="n"/>
      <c r="B109" s="1" t="n"/>
      <c r="C109" s="2" t="n"/>
      <c r="D109" s="1" t="n"/>
      <c r="E109" s="137" t="n"/>
      <c r="F109" s="1" t="n"/>
      <c r="G109" s="1" t="n"/>
      <c r="H109" s="137" t="n"/>
      <c r="I109" s="1" t="n"/>
      <c r="J109" s="1" t="n"/>
      <c r="K109" s="1" t="n"/>
      <c r="L109" s="137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</row>
    <row r="110" ht="16.5" customHeight="1" s="220">
      <c r="A110" s="1" t="n"/>
      <c r="B110" s="1" t="n"/>
      <c r="C110" s="2" t="n"/>
      <c r="D110" s="1" t="n"/>
      <c r="E110" s="1" t="n"/>
      <c r="F110" s="1" t="n"/>
      <c r="G110" s="1" t="n"/>
      <c r="H110" s="137" t="n"/>
      <c r="I110" s="1" t="n"/>
      <c r="J110" s="1" t="n"/>
      <c r="K110" s="1" t="n"/>
      <c r="L110" s="137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</row>
    <row r="111" ht="16.5" customHeight="1" s="220">
      <c r="A111" s="137" t="n"/>
      <c r="B111" s="1" t="n"/>
      <c r="C111" s="2" t="n"/>
      <c r="D111" s="1" t="n"/>
      <c r="E111" s="1" t="n"/>
      <c r="F111" s="1" t="n"/>
      <c r="G111" s="1" t="n"/>
      <c r="H111" s="137" t="n"/>
      <c r="I111" s="1" t="n"/>
      <c r="J111" s="1" t="n"/>
      <c r="K111" s="1" t="n"/>
      <c r="L111" s="137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</row>
    <row r="112" ht="16.5" customHeight="1" s="220">
      <c r="A112" s="1" t="n"/>
      <c r="B112" s="1" t="n"/>
      <c r="C112" s="1" t="n"/>
      <c r="D112" s="1" t="n"/>
      <c r="E112" s="1" t="n"/>
      <c r="F112" s="137" t="n"/>
      <c r="G112" s="137" t="n"/>
      <c r="H112" s="137" t="n"/>
      <c r="I112" s="1" t="n"/>
      <c r="J112" s="137" t="n"/>
      <c r="K112" s="137" t="n"/>
      <c r="L112" s="137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</row>
    <row r="113" ht="16.5" customHeight="1" s="220">
      <c r="A113" s="1" t="n"/>
      <c r="B113" s="1" t="n"/>
      <c r="C113" s="137" t="n"/>
      <c r="D113" s="137" t="n"/>
      <c r="E113" s="137" t="n"/>
      <c r="F113" s="1" t="n"/>
      <c r="G113" s="1" t="n"/>
      <c r="H113" s="137" t="n"/>
      <c r="I113" s="1" t="n"/>
      <c r="J113" s="1" t="n"/>
      <c r="K113" s="1" t="n"/>
      <c r="L113" s="137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</row>
    <row r="114" ht="16.5" customHeight="1" s="220">
      <c r="A114" s="1" t="n"/>
      <c r="B114" s="1" t="n"/>
      <c r="C114" s="1" t="n"/>
      <c r="D114" s="1" t="n"/>
      <c r="E114" s="1" t="n"/>
      <c r="F114" s="1" t="n"/>
      <c r="G114" s="1" t="n"/>
      <c r="H114" s="137" t="n"/>
      <c r="I114" s="1" t="n"/>
      <c r="J114" s="1" t="n"/>
      <c r="K114" s="1" t="n"/>
      <c r="L114" s="137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</row>
    <row r="115" ht="16.5" customHeight="1" s="220">
      <c r="A115" s="137" t="n"/>
      <c r="B115" s="137" t="n"/>
      <c r="C115" s="137" t="n"/>
      <c r="D115" s="1" t="n"/>
      <c r="E115" s="1" t="n"/>
      <c r="F115" s="1" t="n"/>
      <c r="G115" s="1" t="n"/>
      <c r="H115" s="137" t="n"/>
      <c r="I115" s="1" t="n"/>
      <c r="J115" s="1" t="n"/>
      <c r="K115" s="1" t="n"/>
      <c r="L115" s="137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</row>
    <row r="116" ht="16.5" customHeight="1" s="220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</row>
    <row r="117" ht="16.5" customHeight="1" s="220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</row>
    <row r="118" ht="16.5" customHeight="1" s="220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</row>
    <row r="119" ht="16.5" customHeight="1" s="220">
      <c r="A119" s="137" t="n"/>
      <c r="B119" s="137" t="n"/>
      <c r="C119" s="137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</row>
    <row r="120" ht="16.5" customHeight="1" s="2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</row>
    <row r="121" ht="16.5" customHeight="1" s="220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</row>
    <row r="122" ht="16.5" customHeight="1" s="220">
      <c r="A122" s="137" t="n"/>
      <c r="B122" s="137" t="n"/>
      <c r="C122" s="137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</row>
    <row r="123" ht="16.5" customHeight="1" s="220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</row>
    <row r="124" ht="16.5" customHeight="1" s="220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</row>
    <row r="125" ht="16.5" customHeight="1" s="220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</row>
    <row r="126" ht="16.5" customHeight="1" s="220">
      <c r="A126" s="137" t="n"/>
      <c r="B126" s="137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</row>
    <row r="127" ht="16.5" customHeight="1" s="220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</row>
    <row r="128" ht="16.5" customHeight="1" s="220">
      <c r="A128" s="1" t="n"/>
      <c r="B128" s="1" t="n"/>
      <c r="C128" s="137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</row>
    <row r="129" ht="16.5" customHeight="1" s="220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</row>
    <row r="130" ht="16.5" customHeight="1" s="220">
      <c r="A130" s="137" t="n"/>
      <c r="B130" s="137" t="n"/>
      <c r="C130" s="137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</row>
    <row r="131" ht="16.5" customHeight="1" s="220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</row>
    <row r="132" ht="16.5" customHeight="1" s="220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</row>
    <row r="133" ht="16.5" customHeight="1" s="220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</row>
    <row r="134" ht="16.5" customHeight="1" s="220">
      <c r="A134" s="1" t="n"/>
      <c r="B134" s="1" t="n"/>
      <c r="C134" s="2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</row>
    <row r="135" ht="16.5" customHeight="1" s="220">
      <c r="A135" s="1" t="n"/>
      <c r="B135" s="1" t="n"/>
      <c r="C135" s="2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</row>
    <row r="136" ht="16.5" customHeight="1" s="220">
      <c r="A136" s="1" t="n"/>
      <c r="B136" s="1" t="n"/>
      <c r="C136" s="2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</row>
    <row r="137" ht="16.5" customHeight="1" s="220">
      <c r="A137" s="1" t="n"/>
      <c r="B137" s="1" t="n"/>
      <c r="C137" s="2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</row>
    <row r="138" ht="16.5" customHeight="1" s="220">
      <c r="A138" s="1" t="n"/>
      <c r="B138" s="1" t="n"/>
      <c r="C138" s="2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</row>
    <row r="139" ht="16.5" customHeight="1" s="220">
      <c r="A139" s="1" t="n"/>
      <c r="B139" s="1" t="n"/>
      <c r="C139" s="2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</row>
    <row r="140" ht="16.5" customHeight="1" s="220">
      <c r="A140" s="1" t="n"/>
      <c r="B140" s="1" t="n"/>
      <c r="C140" s="2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</row>
    <row r="141" ht="16.5" customHeight="1" s="220">
      <c r="A141" s="1" t="n"/>
      <c r="B141" s="1" t="n"/>
      <c r="C141" s="2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</row>
    <row r="142" ht="16.5" customHeight="1" s="220">
      <c r="A142" s="1" t="n"/>
      <c r="B142" s="1" t="n"/>
      <c r="C142" s="2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</row>
    <row r="143" ht="16.5" customHeight="1" s="220">
      <c r="A143" s="1" t="n"/>
      <c r="B143" s="1" t="n"/>
      <c r="C143" s="2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</row>
    <row r="144" ht="16.5" customHeight="1" s="220">
      <c r="A144" s="1" t="n"/>
      <c r="B144" s="1" t="n"/>
      <c r="C144" s="2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</row>
    <row r="145" ht="16.5" customHeight="1" s="220">
      <c r="A145" s="1" t="n"/>
      <c r="B145" s="1" t="n"/>
      <c r="C145" s="2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</row>
    <row r="146" ht="16.5" customHeight="1" s="220">
      <c r="A146" s="1" t="n"/>
      <c r="B146" s="1" t="n"/>
      <c r="C146" s="2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</row>
    <row r="147" ht="16.5" customHeight="1" s="220">
      <c r="A147" s="1" t="n"/>
      <c r="B147" s="1" t="n"/>
      <c r="C147" s="2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</row>
    <row r="148" ht="16.5" customHeight="1" s="220">
      <c r="A148" s="1" t="n"/>
      <c r="B148" s="1" t="n"/>
      <c r="C148" s="2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</row>
    <row r="149" ht="16.5" customHeight="1" s="220">
      <c r="A149" s="1" t="n"/>
      <c r="B149" s="1" t="n"/>
      <c r="C149" s="2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</row>
    <row r="150" ht="16.5" customHeight="1" s="220">
      <c r="A150" s="1" t="n"/>
      <c r="B150" s="1" t="n"/>
      <c r="C150" s="2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</row>
    <row r="151" ht="16.5" customHeight="1" s="220">
      <c r="A151" s="1" t="n"/>
      <c r="B151" s="1" t="n"/>
      <c r="C151" s="2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</row>
    <row r="152" ht="16.5" customHeight="1" s="220">
      <c r="A152" s="1" t="n"/>
      <c r="B152" s="1" t="n"/>
      <c r="C152" s="2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</row>
    <row r="153" ht="16.5" customHeight="1" s="220">
      <c r="A153" s="1" t="n"/>
      <c r="B153" s="1" t="n"/>
      <c r="C153" s="2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</row>
    <row r="154" ht="16.5" customHeight="1" s="220">
      <c r="A154" s="1" t="n"/>
      <c r="B154" s="1" t="n"/>
      <c r="C154" s="2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</row>
    <row r="155" ht="16.5" customHeight="1" s="220">
      <c r="A155" s="1" t="n"/>
      <c r="B155" s="1" t="n"/>
      <c r="C155" s="2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</row>
    <row r="156" ht="16.5" customHeight="1" s="220">
      <c r="A156" s="1" t="n"/>
      <c r="B156" s="1" t="n"/>
      <c r="C156" s="2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</row>
    <row r="157" ht="16.5" customHeight="1" s="220">
      <c r="A157" s="1" t="n"/>
      <c r="B157" s="1" t="n"/>
      <c r="C157" s="2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</row>
    <row r="158" ht="16.5" customHeight="1" s="220">
      <c r="A158" s="1" t="n"/>
      <c r="B158" s="1" t="n"/>
      <c r="C158" s="2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</row>
    <row r="159" ht="16.5" customHeight="1" s="220">
      <c r="A159" s="1" t="n"/>
      <c r="B159" s="1" t="n"/>
      <c r="C159" s="2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</row>
    <row r="160" ht="16.5" customHeight="1" s="220">
      <c r="A160" s="1" t="n"/>
      <c r="B160" s="1" t="n"/>
      <c r="C160" s="2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</row>
    <row r="161" ht="16.5" customHeight="1" s="220">
      <c r="A161" s="1" t="n"/>
      <c r="B161" s="1" t="n"/>
      <c r="C161" s="2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</row>
    <row r="162" ht="16.5" customHeight="1" s="220">
      <c r="A162" s="1" t="n"/>
      <c r="B162" s="1" t="n"/>
      <c r="C162" s="2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</row>
    <row r="163" ht="16.5" customHeight="1" s="220">
      <c r="A163" s="1" t="n"/>
      <c r="B163" s="1" t="n"/>
      <c r="C163" s="2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</row>
    <row r="164" ht="16.5" customHeight="1" s="220">
      <c r="A164" s="1" t="n"/>
      <c r="B164" s="1" t="n"/>
      <c r="C164" s="2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</row>
    <row r="165" ht="16.5" customHeight="1" s="220">
      <c r="A165" s="1" t="n"/>
      <c r="B165" s="1" t="n"/>
      <c r="C165" s="2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</row>
    <row r="166" ht="16.5" customHeight="1" s="220">
      <c r="A166" s="1" t="n"/>
      <c r="B166" s="1" t="n"/>
      <c r="C166" s="2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</row>
    <row r="167" ht="16.5" customHeight="1" s="220">
      <c r="A167" s="1" t="n"/>
      <c r="B167" s="1" t="n"/>
      <c r="C167" s="2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</row>
    <row r="168" ht="16.5" customHeight="1" s="220">
      <c r="A168" s="1" t="n"/>
      <c r="B168" s="1" t="n"/>
      <c r="C168" s="2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</row>
    <row r="169" ht="16.5" customHeight="1" s="220">
      <c r="A169" s="1" t="n"/>
      <c r="B169" s="1" t="n"/>
      <c r="C169" s="2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</row>
    <row r="170" ht="16.5" customHeight="1" s="220">
      <c r="A170" s="1" t="n"/>
      <c r="B170" s="1" t="n"/>
      <c r="C170" s="2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</row>
    <row r="171" ht="16.5" customHeight="1" s="220">
      <c r="A171" s="1" t="n"/>
      <c r="B171" s="1" t="n"/>
      <c r="C171" s="2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</row>
    <row r="172" ht="16.5" customHeight="1" s="220">
      <c r="A172" s="1" t="n"/>
      <c r="B172" s="1" t="n"/>
      <c r="C172" s="2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</row>
    <row r="173" ht="16.5" customHeight="1" s="220">
      <c r="A173" s="1" t="n"/>
      <c r="B173" s="1" t="n"/>
      <c r="C173" s="2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</row>
    <row r="174" ht="16.5" customHeight="1" s="220">
      <c r="A174" s="1" t="n"/>
      <c r="B174" s="1" t="n"/>
      <c r="C174" s="2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</row>
    <row r="175" ht="16.5" customHeight="1" s="220">
      <c r="A175" s="1" t="n"/>
      <c r="B175" s="1" t="n"/>
      <c r="C175" s="2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</row>
    <row r="176" ht="16.5" customHeight="1" s="220">
      <c r="A176" s="1" t="n"/>
      <c r="B176" s="1" t="n"/>
      <c r="C176" s="2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</row>
    <row r="177" ht="16.5" customHeight="1" s="220">
      <c r="A177" s="1" t="n"/>
      <c r="B177" s="1" t="n"/>
      <c r="C177" s="2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</row>
    <row r="178" ht="16.5" customHeight="1" s="220">
      <c r="A178" s="1" t="n"/>
      <c r="B178" s="1" t="n"/>
      <c r="C178" s="2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</row>
    <row r="179" ht="16.5" customHeight="1" s="220">
      <c r="A179" s="1" t="n"/>
      <c r="B179" s="1" t="n"/>
      <c r="C179" s="2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</row>
    <row r="180" ht="16.5" customHeight="1" s="220">
      <c r="A180" s="1" t="n"/>
      <c r="B180" s="1" t="n"/>
      <c r="C180" s="2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</row>
    <row r="181" ht="16.5" customHeight="1" s="220">
      <c r="A181" s="1" t="n"/>
      <c r="B181" s="1" t="n"/>
      <c r="C181" s="2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</row>
    <row r="182" ht="16.5" customHeight="1" s="220">
      <c r="A182" s="1" t="n"/>
      <c r="B182" s="1" t="n"/>
      <c r="C182" s="2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</row>
    <row r="183" ht="16.5" customHeight="1" s="220">
      <c r="A183" s="1" t="n"/>
      <c r="B183" s="1" t="n"/>
      <c r="C183" s="2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</row>
    <row r="184" ht="16.5" customHeight="1" s="220">
      <c r="A184" s="1" t="n"/>
      <c r="B184" s="1" t="n"/>
      <c r="C184" s="2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</row>
    <row r="185" ht="16.5" customHeight="1" s="220">
      <c r="A185" s="1" t="n"/>
      <c r="B185" s="1" t="n"/>
      <c r="C185" s="2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</row>
    <row r="186" ht="16.5" customHeight="1" s="220">
      <c r="A186" s="1" t="n"/>
      <c r="B186" s="1" t="n"/>
      <c r="C186" s="2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</row>
    <row r="187" ht="16.5" customHeight="1" s="220">
      <c r="A187" s="1" t="n"/>
      <c r="B187" s="1" t="n"/>
      <c r="C187" s="2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</row>
    <row r="188" ht="16.5" customHeight="1" s="220">
      <c r="A188" s="1" t="n"/>
      <c r="B188" s="1" t="n"/>
      <c r="C188" s="2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</row>
    <row r="189" ht="16.5" customHeight="1" s="220">
      <c r="A189" s="1" t="n"/>
      <c r="B189" s="1" t="n"/>
      <c r="C189" s="2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</row>
    <row r="190" ht="16.5" customHeight="1" s="220">
      <c r="A190" s="1" t="n"/>
      <c r="B190" s="1" t="n"/>
      <c r="C190" s="2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</row>
    <row r="191" ht="16.5" customHeight="1" s="220">
      <c r="A191" s="1" t="n"/>
      <c r="B191" s="1" t="n"/>
      <c r="C191" s="2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</row>
    <row r="192" ht="16.5" customHeight="1" s="220">
      <c r="A192" s="1" t="n"/>
      <c r="B192" s="1" t="n"/>
      <c r="C192" s="2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</row>
    <row r="193" ht="16.5" customHeight="1" s="220">
      <c r="A193" s="1" t="n"/>
      <c r="B193" s="1" t="n"/>
      <c r="C193" s="2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</row>
    <row r="194" ht="16.5" customHeight="1" s="220">
      <c r="A194" s="1" t="n"/>
      <c r="B194" s="1" t="n"/>
      <c r="C194" s="2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</row>
    <row r="195" ht="16.5" customHeight="1" s="220">
      <c r="A195" s="1" t="n"/>
      <c r="B195" s="1" t="n"/>
      <c r="C195" s="2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</row>
    <row r="196" ht="16.5" customHeight="1" s="220">
      <c r="A196" s="1" t="n"/>
      <c r="B196" s="1" t="n"/>
      <c r="C196" s="2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</row>
    <row r="197" ht="16.5" customHeight="1" s="220">
      <c r="A197" s="1" t="n"/>
      <c r="B197" s="1" t="n"/>
      <c r="C197" s="2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</row>
    <row r="198" ht="16.5" customHeight="1" s="220">
      <c r="A198" s="1" t="n"/>
      <c r="B198" s="1" t="n"/>
      <c r="C198" s="2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</row>
    <row r="199" ht="16.5" customHeight="1" s="220">
      <c r="A199" s="1" t="n"/>
      <c r="B199" s="1" t="n"/>
      <c r="C199" s="2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</row>
    <row r="200" ht="16.5" customHeight="1" s="220">
      <c r="A200" s="1" t="n"/>
      <c r="B200" s="1" t="n"/>
      <c r="C200" s="2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</row>
    <row r="201" ht="16.5" customHeight="1" s="220">
      <c r="A201" s="1" t="n"/>
      <c r="B201" s="1" t="n"/>
      <c r="C201" s="2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</row>
    <row r="202" ht="16.5" customHeight="1" s="220">
      <c r="A202" s="1" t="n"/>
      <c r="B202" s="1" t="n"/>
      <c r="C202" s="2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</row>
    <row r="203" ht="16.5" customHeight="1" s="220">
      <c r="A203" s="1" t="n"/>
      <c r="B203" s="1" t="n"/>
      <c r="C203" s="2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</row>
    <row r="204" ht="16.5" customHeight="1" s="220">
      <c r="A204" s="1" t="n"/>
      <c r="B204" s="1" t="n"/>
      <c r="C204" s="2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</row>
    <row r="205" ht="16.5" customHeight="1" s="220">
      <c r="A205" s="1" t="n"/>
      <c r="B205" s="1" t="n"/>
      <c r="C205" s="2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</row>
    <row r="206" ht="16.5" customHeight="1" s="220">
      <c r="A206" s="1" t="n"/>
      <c r="B206" s="1" t="n"/>
      <c r="C206" s="2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</row>
    <row r="207" ht="16.5" customHeight="1" s="220">
      <c r="A207" s="1" t="n"/>
      <c r="B207" s="1" t="n"/>
      <c r="C207" s="2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</row>
    <row r="208" ht="16.5" customHeight="1" s="220">
      <c r="A208" s="1" t="n"/>
      <c r="B208" s="1" t="n"/>
      <c r="C208" s="2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</row>
    <row r="209" ht="16.5" customHeight="1" s="220">
      <c r="A209" s="1" t="n"/>
      <c r="B209" s="1" t="n"/>
      <c r="C209" s="2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</row>
    <row r="210" ht="16.5" customHeight="1" s="220">
      <c r="A210" s="1" t="n"/>
      <c r="B210" s="1" t="n"/>
      <c r="C210" s="2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</row>
    <row r="211" ht="16.5" customHeight="1" s="220">
      <c r="A211" s="1" t="n"/>
      <c r="B211" s="1" t="n"/>
      <c r="C211" s="2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</row>
    <row r="212" ht="16.5" customHeight="1" s="220">
      <c r="A212" s="1" t="n"/>
      <c r="B212" s="1" t="n"/>
      <c r="C212" s="2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</row>
    <row r="213" ht="16.5" customHeight="1" s="220">
      <c r="A213" s="1" t="n"/>
      <c r="B213" s="1" t="n"/>
      <c r="C213" s="2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</row>
    <row r="214" ht="16.5" customHeight="1" s="220">
      <c r="A214" s="1" t="n"/>
      <c r="B214" s="1" t="n"/>
      <c r="C214" s="2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</row>
    <row r="215" ht="16.5" customHeight="1" s="220">
      <c r="A215" s="1" t="n"/>
      <c r="B215" s="1" t="n"/>
      <c r="C215" s="2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</row>
    <row r="216" ht="16.5" customHeight="1" s="220">
      <c r="A216" s="1" t="n"/>
      <c r="B216" s="1" t="n"/>
      <c r="C216" s="2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</row>
    <row r="217" ht="16.5" customHeight="1" s="220">
      <c r="A217" s="1" t="n"/>
      <c r="B217" s="1" t="n"/>
      <c r="C217" s="2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</row>
    <row r="218" ht="16.5" customHeight="1" s="220">
      <c r="A218" s="1" t="n"/>
      <c r="B218" s="1" t="n"/>
      <c r="C218" s="2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</row>
    <row r="219" ht="16.5" customHeight="1" s="220">
      <c r="A219" s="1" t="n"/>
      <c r="B219" s="1" t="n"/>
      <c r="C219" s="2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</row>
    <row r="220" ht="16.5" customHeight="1" s="220">
      <c r="A220" s="1" t="n"/>
      <c r="B220" s="1" t="n"/>
      <c r="C220" s="2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</row>
    <row r="221" ht="16.5" customHeight="1" s="220">
      <c r="A221" s="1" t="n"/>
      <c r="B221" s="1" t="n"/>
      <c r="C221" s="2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</row>
    <row r="222" ht="16.5" customHeight="1" s="220">
      <c r="A222" s="1" t="n"/>
      <c r="B222" s="1" t="n"/>
      <c r="C222" s="2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</row>
    <row r="223" ht="16.5" customHeight="1" s="220">
      <c r="A223" s="1" t="n"/>
      <c r="B223" s="1" t="n"/>
      <c r="C223" s="2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</row>
    <row r="224" ht="16.5" customHeight="1" s="220">
      <c r="A224" s="1" t="n"/>
      <c r="B224" s="1" t="n"/>
      <c r="C224" s="2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</row>
    <row r="225" ht="16.5" customHeight="1" s="220">
      <c r="A225" s="1" t="n"/>
      <c r="B225" s="1" t="n"/>
      <c r="C225" s="2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</row>
    <row r="226" ht="16.5" customHeight="1" s="220">
      <c r="A226" s="1" t="n"/>
      <c r="B226" s="1" t="n"/>
      <c r="C226" s="2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</row>
    <row r="227" ht="16.5" customHeight="1" s="220">
      <c r="A227" s="1" t="n"/>
      <c r="B227" s="1" t="n"/>
      <c r="C227" s="2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</row>
    <row r="228" ht="16.5" customHeight="1" s="220">
      <c r="A228" s="1" t="n"/>
      <c r="B228" s="1" t="n"/>
      <c r="C228" s="2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</row>
    <row r="229" ht="16.5" customHeight="1" s="220">
      <c r="A229" s="1" t="n"/>
      <c r="B229" s="1" t="n"/>
      <c r="C229" s="2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</row>
    <row r="230" ht="16.5" customHeight="1" s="220">
      <c r="A230" s="1" t="n"/>
      <c r="B230" s="1" t="n"/>
      <c r="C230" s="2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</row>
    <row r="231" ht="16.5" customHeight="1" s="220">
      <c r="A231" s="1" t="n"/>
      <c r="B231" s="1" t="n"/>
      <c r="C231" s="2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</row>
    <row r="232" ht="16.5" customHeight="1" s="220">
      <c r="A232" s="1" t="n"/>
      <c r="B232" s="1" t="n"/>
      <c r="C232" s="2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</row>
    <row r="233" ht="16.5" customHeight="1" s="220">
      <c r="A233" s="1" t="n"/>
      <c r="B233" s="1" t="n"/>
      <c r="C233" s="2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</row>
    <row r="234" ht="16.5" customHeight="1" s="220">
      <c r="A234" s="1" t="n"/>
      <c r="B234" s="1" t="n"/>
      <c r="C234" s="2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</row>
    <row r="235" ht="16.5" customHeight="1" s="220">
      <c r="A235" s="1" t="n"/>
      <c r="B235" s="1" t="n"/>
      <c r="C235" s="2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</row>
    <row r="236" ht="16.5" customHeight="1" s="220">
      <c r="A236" s="1" t="n"/>
      <c r="B236" s="1" t="n"/>
      <c r="C236" s="2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</row>
    <row r="237" ht="16.5" customHeight="1" s="220">
      <c r="A237" s="1" t="n"/>
      <c r="B237" s="1" t="n"/>
      <c r="C237" s="2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</row>
    <row r="238" ht="16.5" customHeight="1" s="220">
      <c r="A238" s="1" t="n"/>
      <c r="B238" s="1" t="n"/>
      <c r="C238" s="2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</row>
    <row r="239" ht="16.5" customHeight="1" s="220">
      <c r="A239" s="1" t="n"/>
      <c r="B239" s="1" t="n"/>
      <c r="C239" s="2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</row>
    <row r="240" ht="16.5" customHeight="1" s="220">
      <c r="A240" s="1" t="n"/>
      <c r="B240" s="1" t="n"/>
      <c r="C240" s="2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</row>
    <row r="241" ht="16.5" customHeight="1" s="220">
      <c r="A241" s="1" t="n"/>
      <c r="B241" s="1" t="n"/>
      <c r="C241" s="2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</row>
    <row r="242" ht="16.5" customHeight="1" s="220">
      <c r="A242" s="1" t="n"/>
      <c r="B242" s="1" t="n"/>
      <c r="C242" s="2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</row>
    <row r="243" ht="16.5" customHeight="1" s="220">
      <c r="A243" s="1" t="n"/>
      <c r="B243" s="1" t="n"/>
      <c r="C243" s="2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</row>
    <row r="244" ht="16.5" customHeight="1" s="220">
      <c r="A244" s="1" t="n"/>
      <c r="B244" s="1" t="n"/>
      <c r="C244" s="2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</row>
    <row r="245" ht="16.5" customHeight="1" s="220">
      <c r="A245" s="1" t="n"/>
      <c r="B245" s="1" t="n"/>
      <c r="C245" s="2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</row>
    <row r="246" ht="16.5" customHeight="1" s="220">
      <c r="A246" s="1" t="n"/>
      <c r="B246" s="1" t="n"/>
      <c r="C246" s="2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</row>
    <row r="247" ht="16.5" customHeight="1" s="220">
      <c r="A247" s="1" t="n"/>
      <c r="B247" s="1" t="n"/>
      <c r="C247" s="2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</row>
    <row r="248" ht="16.5" customHeight="1" s="220">
      <c r="A248" s="1" t="n"/>
      <c r="B248" s="1" t="n"/>
      <c r="C248" s="2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</row>
    <row r="249" ht="16.5" customHeight="1" s="220">
      <c r="A249" s="1" t="n"/>
      <c r="B249" s="1" t="n"/>
      <c r="C249" s="2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</row>
    <row r="250" ht="16.5" customHeight="1" s="220">
      <c r="A250" s="1" t="n"/>
      <c r="B250" s="1" t="n"/>
      <c r="C250" s="2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</row>
    <row r="251" ht="16.5" customHeight="1" s="220">
      <c r="A251" s="1" t="n"/>
      <c r="B251" s="1" t="n"/>
      <c r="C251" s="2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</row>
    <row r="252" ht="16.5" customHeight="1" s="220">
      <c r="A252" s="1" t="n"/>
      <c r="B252" s="1" t="n"/>
      <c r="C252" s="2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</row>
    <row r="253" ht="16.5" customHeight="1" s="220">
      <c r="A253" s="1" t="n"/>
      <c r="B253" s="1" t="n"/>
      <c r="C253" s="2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</row>
    <row r="254" ht="16.5" customHeight="1" s="220">
      <c r="A254" s="1" t="n"/>
      <c r="B254" s="1" t="n"/>
      <c r="C254" s="2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</row>
    <row r="255" ht="16.5" customHeight="1" s="220">
      <c r="A255" s="1" t="n"/>
      <c r="B255" s="1" t="n"/>
      <c r="C255" s="2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</row>
    <row r="256" ht="16.5" customHeight="1" s="220">
      <c r="A256" s="1" t="n"/>
      <c r="B256" s="1" t="n"/>
      <c r="C256" s="2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</row>
    <row r="257" ht="16.5" customHeight="1" s="220">
      <c r="A257" s="1" t="n"/>
      <c r="B257" s="1" t="n"/>
      <c r="C257" s="2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</row>
    <row r="258" ht="16.5" customHeight="1" s="220">
      <c r="A258" s="1" t="n"/>
      <c r="B258" s="1" t="n"/>
      <c r="C258" s="2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</row>
    <row r="259" ht="16.5" customHeight="1" s="220">
      <c r="A259" s="1" t="n"/>
      <c r="B259" s="1" t="n"/>
      <c r="C259" s="2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</row>
    <row r="260" ht="16.5" customHeight="1" s="220">
      <c r="A260" s="1" t="n"/>
      <c r="B260" s="1" t="n"/>
      <c r="C260" s="2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</row>
    <row r="261" ht="16.5" customHeight="1" s="220">
      <c r="A261" s="1" t="n"/>
      <c r="B261" s="1" t="n"/>
      <c r="C261" s="2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</row>
    <row r="262" ht="16.5" customHeight="1" s="220">
      <c r="A262" s="1" t="n"/>
      <c r="B262" s="1" t="n"/>
      <c r="C262" s="2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</row>
    <row r="263" ht="16.5" customHeight="1" s="220">
      <c r="A263" s="1" t="n"/>
      <c r="B263" s="1" t="n"/>
      <c r="C263" s="2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</row>
    <row r="264" ht="16.5" customHeight="1" s="220">
      <c r="A264" s="1" t="n"/>
      <c r="B264" s="1" t="n"/>
      <c r="C264" s="2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</row>
    <row r="265" ht="16.5" customHeight="1" s="220">
      <c r="A265" s="1" t="n"/>
      <c r="B265" s="1" t="n"/>
      <c r="C265" s="2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</row>
    <row r="266" ht="16.5" customHeight="1" s="220">
      <c r="A266" s="1" t="n"/>
      <c r="B266" s="1" t="n"/>
      <c r="C266" s="2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</row>
    <row r="267" ht="16.5" customHeight="1" s="220">
      <c r="A267" s="1" t="n"/>
      <c r="B267" s="1" t="n"/>
      <c r="C267" s="2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</row>
    <row r="268" ht="16.5" customHeight="1" s="220">
      <c r="A268" s="1" t="n"/>
      <c r="B268" s="1" t="n"/>
      <c r="C268" s="2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</row>
    <row r="269" ht="16.5" customHeight="1" s="220">
      <c r="A269" s="1" t="n"/>
      <c r="B269" s="1" t="n"/>
      <c r="C269" s="2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</row>
    <row r="270" ht="16.5" customHeight="1" s="220">
      <c r="A270" s="1" t="n"/>
      <c r="B270" s="1" t="n"/>
      <c r="C270" s="2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</row>
    <row r="271" ht="16.5" customHeight="1" s="220">
      <c r="A271" s="1" t="n"/>
      <c r="B271" s="1" t="n"/>
      <c r="C271" s="2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</row>
    <row r="272" ht="16.5" customHeight="1" s="220">
      <c r="A272" s="1" t="n"/>
      <c r="B272" s="1" t="n"/>
      <c r="C272" s="2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</row>
    <row r="273" ht="16.5" customHeight="1" s="220">
      <c r="A273" s="1" t="n"/>
      <c r="B273" s="1" t="n"/>
      <c r="C273" s="2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</row>
    <row r="274" ht="16.5" customHeight="1" s="220">
      <c r="A274" s="1" t="n"/>
      <c r="B274" s="1" t="n"/>
      <c r="C274" s="2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</row>
    <row r="275" ht="16.5" customHeight="1" s="220">
      <c r="A275" s="1" t="n"/>
      <c r="B275" s="1" t="n"/>
      <c r="C275" s="2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</row>
    <row r="276" ht="16.5" customHeight="1" s="220">
      <c r="A276" s="1" t="n"/>
      <c r="B276" s="1" t="n"/>
      <c r="C276" s="2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</row>
    <row r="277" ht="16.5" customHeight="1" s="220">
      <c r="A277" s="1" t="n"/>
      <c r="B277" s="1" t="n"/>
      <c r="C277" s="2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</row>
    <row r="278" ht="16.5" customHeight="1" s="220">
      <c r="A278" s="1" t="n"/>
      <c r="B278" s="1" t="n"/>
      <c r="C278" s="2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</row>
    <row r="279" ht="16.5" customHeight="1" s="220">
      <c r="A279" s="1" t="n"/>
      <c r="B279" s="1" t="n"/>
      <c r="C279" s="2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</row>
    <row r="280" ht="16.5" customHeight="1" s="220">
      <c r="A280" s="1" t="n"/>
      <c r="B280" s="1" t="n"/>
      <c r="C280" s="2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</row>
    <row r="281" ht="16.5" customHeight="1" s="220">
      <c r="A281" s="1" t="n"/>
      <c r="B281" s="1" t="n"/>
      <c r="C281" s="2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</row>
    <row r="282" ht="16.5" customHeight="1" s="220">
      <c r="A282" s="1" t="n"/>
      <c r="B282" s="1" t="n"/>
      <c r="C282" s="2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</row>
    <row r="283" ht="16.5" customHeight="1" s="220">
      <c r="A283" s="1" t="n"/>
      <c r="B283" s="1" t="n"/>
      <c r="C283" s="2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</row>
    <row r="284" ht="16.5" customHeight="1" s="220">
      <c r="A284" s="1" t="n"/>
      <c r="B284" s="1" t="n"/>
      <c r="C284" s="2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</row>
    <row r="285" ht="16.5" customHeight="1" s="220">
      <c r="A285" s="1" t="n"/>
      <c r="B285" s="1" t="n"/>
      <c r="C285" s="2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</row>
    <row r="286" ht="16.5" customHeight="1" s="220">
      <c r="A286" s="1" t="n"/>
      <c r="B286" s="1" t="n"/>
      <c r="C286" s="2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</row>
    <row r="287" ht="16.5" customHeight="1" s="220">
      <c r="A287" s="1" t="n"/>
      <c r="B287" s="1" t="n"/>
      <c r="C287" s="2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</row>
    <row r="288" ht="16.5" customHeight="1" s="220">
      <c r="A288" s="1" t="n"/>
      <c r="B288" s="1" t="n"/>
      <c r="C288" s="2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</row>
    <row r="289" ht="16.5" customHeight="1" s="220">
      <c r="A289" s="1" t="n"/>
      <c r="B289" s="1" t="n"/>
      <c r="C289" s="2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</row>
    <row r="290" ht="16.5" customHeight="1" s="220">
      <c r="A290" s="1" t="n"/>
      <c r="B290" s="1" t="n"/>
      <c r="C290" s="2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</row>
    <row r="291" ht="16.5" customHeight="1" s="220">
      <c r="A291" s="1" t="n"/>
      <c r="B291" s="1" t="n"/>
      <c r="C291" s="2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</row>
    <row r="292" ht="16.5" customHeight="1" s="220">
      <c r="A292" s="1" t="n"/>
      <c r="B292" s="1" t="n"/>
      <c r="C292" s="2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</row>
    <row r="293" ht="16.5" customHeight="1" s="220">
      <c r="A293" s="1" t="n"/>
      <c r="B293" s="1" t="n"/>
      <c r="C293" s="2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</row>
    <row r="294" ht="16.5" customHeight="1" s="220">
      <c r="A294" s="1" t="n"/>
      <c r="B294" s="1" t="n"/>
      <c r="C294" s="2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</row>
    <row r="295" ht="16.5" customHeight="1" s="220">
      <c r="A295" s="1" t="n"/>
      <c r="B295" s="1" t="n"/>
      <c r="C295" s="2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</row>
    <row r="296" ht="16.5" customHeight="1" s="220">
      <c r="A296" s="1" t="n"/>
      <c r="B296" s="1" t="n"/>
      <c r="C296" s="2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</row>
    <row r="297" ht="16.5" customHeight="1" s="220">
      <c r="A297" s="1" t="n"/>
      <c r="B297" s="1" t="n"/>
      <c r="C297" s="2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</row>
    <row r="298" ht="16.5" customHeight="1" s="220">
      <c r="A298" s="1" t="n"/>
      <c r="B298" s="1" t="n"/>
      <c r="C298" s="2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</row>
    <row r="299" ht="16.5" customHeight="1" s="220">
      <c r="A299" s="1" t="n"/>
      <c r="B299" s="1" t="n"/>
      <c r="C299" s="2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</row>
    <row r="300" ht="16.5" customHeight="1" s="220">
      <c r="A300" s="1" t="n"/>
      <c r="B300" s="1" t="n"/>
      <c r="C300" s="2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</row>
    <row r="301" ht="16.5" customHeight="1" s="220">
      <c r="A301" s="1" t="n"/>
      <c r="B301" s="1" t="n"/>
      <c r="C301" s="2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</row>
    <row r="302" ht="16.5" customHeight="1" s="220">
      <c r="A302" s="1" t="n"/>
      <c r="B302" s="1" t="n"/>
      <c r="C302" s="2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</row>
    <row r="303" ht="16.5" customHeight="1" s="220">
      <c r="A303" s="1" t="n"/>
      <c r="B303" s="1" t="n"/>
      <c r="C303" s="2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</row>
    <row r="304" ht="16.5" customHeight="1" s="220">
      <c r="A304" s="1" t="n"/>
      <c r="B304" s="1" t="n"/>
      <c r="C304" s="2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</row>
    <row r="305" ht="16.5" customHeight="1" s="220">
      <c r="A305" s="1" t="n"/>
      <c r="B305" s="1" t="n"/>
      <c r="C305" s="2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</row>
    <row r="306" ht="16.5" customHeight="1" s="220">
      <c r="A306" s="1" t="n"/>
      <c r="B306" s="1" t="n"/>
      <c r="C306" s="2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</row>
    <row r="307" ht="16.5" customHeight="1" s="220">
      <c r="A307" s="1" t="n"/>
      <c r="B307" s="1" t="n"/>
      <c r="C307" s="2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</row>
    <row r="308" ht="16.5" customHeight="1" s="220">
      <c r="A308" s="1" t="n"/>
      <c r="B308" s="1" t="n"/>
      <c r="C308" s="2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</row>
    <row r="309" ht="16.5" customHeight="1" s="220">
      <c r="A309" s="1" t="n"/>
      <c r="B309" s="1" t="n"/>
      <c r="C309" s="2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</row>
    <row r="310" ht="16.5" customHeight="1" s="220">
      <c r="A310" s="1" t="n"/>
      <c r="B310" s="1" t="n"/>
      <c r="C310" s="2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</row>
    <row r="311" ht="16.5" customHeight="1" s="220">
      <c r="A311" s="1" t="n"/>
      <c r="B311" s="1" t="n"/>
      <c r="C311" s="2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</row>
    <row r="312" ht="16.5" customHeight="1" s="220">
      <c r="A312" s="1" t="n"/>
      <c r="B312" s="1" t="n"/>
      <c r="C312" s="2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</row>
    <row r="313" ht="16.5" customHeight="1" s="220">
      <c r="A313" s="1" t="n"/>
      <c r="B313" s="1" t="n"/>
      <c r="C313" s="2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</row>
    <row r="314" ht="16.5" customHeight="1" s="220">
      <c r="A314" s="1" t="n"/>
      <c r="B314" s="1" t="n"/>
      <c r="C314" s="2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</row>
    <row r="315" ht="16.5" customHeight="1" s="220">
      <c r="A315" s="1" t="n"/>
      <c r="B315" s="1" t="n"/>
      <c r="C315" s="2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</row>
    <row r="316" ht="16.5" customHeight="1" s="220">
      <c r="A316" s="1" t="n"/>
      <c r="B316" s="1" t="n"/>
      <c r="C316" s="2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</row>
    <row r="317" ht="16.5" customHeight="1" s="220">
      <c r="A317" s="1" t="n"/>
      <c r="B317" s="1" t="n"/>
      <c r="C317" s="2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</row>
    <row r="318" ht="16.5" customHeight="1" s="220">
      <c r="A318" s="1" t="n"/>
      <c r="B318" s="1" t="n"/>
      <c r="C318" s="2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</row>
    <row r="319" ht="16.5" customHeight="1" s="220">
      <c r="A319" s="1" t="n"/>
      <c r="B319" s="1" t="n"/>
      <c r="C319" s="2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</row>
    <row r="320" ht="16.5" customHeight="1" s="220">
      <c r="A320" s="1" t="n"/>
      <c r="B320" s="1" t="n"/>
      <c r="C320" s="2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</row>
    <row r="321" ht="16.5" customHeight="1" s="220">
      <c r="A321" s="1" t="n"/>
      <c r="B321" s="1" t="n"/>
      <c r="C321" s="2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</row>
    <row r="322" ht="16.5" customHeight="1" s="220">
      <c r="A322" s="1" t="n"/>
      <c r="B322" s="1" t="n"/>
      <c r="C322" s="2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</row>
    <row r="323" ht="16.5" customHeight="1" s="220">
      <c r="A323" s="1" t="n"/>
      <c r="B323" s="1" t="n"/>
      <c r="C323" s="2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</row>
    <row r="324" ht="16.5" customHeight="1" s="220">
      <c r="A324" s="1" t="n"/>
      <c r="B324" s="1" t="n"/>
      <c r="C324" s="2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</row>
    <row r="325" ht="16.5" customHeight="1" s="220">
      <c r="A325" s="1" t="n"/>
      <c r="B325" s="1" t="n"/>
      <c r="C325" s="2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</row>
    <row r="326" ht="16.5" customHeight="1" s="220">
      <c r="A326" s="1" t="n"/>
      <c r="B326" s="1" t="n"/>
      <c r="C326" s="2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</row>
    <row r="327" ht="16.5" customHeight="1" s="220">
      <c r="A327" s="1" t="n"/>
      <c r="B327" s="1" t="n"/>
      <c r="C327" s="2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</row>
    <row r="328" ht="16.5" customHeight="1" s="220">
      <c r="A328" s="1" t="n"/>
      <c r="B328" s="1" t="n"/>
      <c r="C328" s="2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</row>
    <row r="329" ht="16.5" customHeight="1" s="220">
      <c r="A329" s="1" t="n"/>
      <c r="B329" s="1" t="n"/>
      <c r="C329" s="2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</row>
    <row r="330" ht="16.5" customHeight="1" s="220">
      <c r="A330" s="1" t="n"/>
      <c r="B330" s="1" t="n"/>
      <c r="C330" s="2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</row>
    <row r="331" ht="16.5" customHeight="1" s="220">
      <c r="A331" s="1" t="n"/>
      <c r="B331" s="1" t="n"/>
      <c r="C331" s="2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</row>
    <row r="332" ht="16.5" customHeight="1" s="220">
      <c r="A332" s="1" t="n"/>
      <c r="B332" s="1" t="n"/>
      <c r="C332" s="2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</row>
    <row r="333" ht="16.5" customHeight="1" s="220">
      <c r="A333" s="1" t="n"/>
      <c r="B333" s="1" t="n"/>
      <c r="C333" s="2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</row>
    <row r="334" ht="16.5" customHeight="1" s="220">
      <c r="A334" s="1" t="n"/>
      <c r="B334" s="1" t="n"/>
      <c r="C334" s="2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</row>
    <row r="335" ht="16.5" customHeight="1" s="220">
      <c r="A335" s="1" t="n"/>
      <c r="B335" s="1" t="n"/>
      <c r="C335" s="2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</row>
    <row r="336" ht="16.5" customHeight="1" s="220">
      <c r="A336" s="1" t="n"/>
      <c r="B336" s="1" t="n"/>
      <c r="C336" s="2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</row>
    <row r="337" ht="16.5" customHeight="1" s="220">
      <c r="A337" s="1" t="n"/>
      <c r="B337" s="1" t="n"/>
      <c r="C337" s="2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</row>
    <row r="338" ht="16.5" customHeight="1" s="220">
      <c r="A338" s="1" t="n"/>
      <c r="B338" s="1" t="n"/>
      <c r="C338" s="2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</row>
    <row r="339" ht="16.5" customHeight="1" s="220">
      <c r="A339" s="1" t="n"/>
      <c r="B339" s="1" t="n"/>
      <c r="C339" s="2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</row>
    <row r="340" ht="16.5" customHeight="1" s="220">
      <c r="A340" s="1" t="n"/>
      <c r="B340" s="1" t="n"/>
      <c r="C340" s="2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</row>
    <row r="341" ht="16.5" customHeight="1" s="220">
      <c r="A341" s="1" t="n"/>
      <c r="B341" s="1" t="n"/>
      <c r="C341" s="2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</row>
    <row r="342" ht="16.5" customHeight="1" s="220">
      <c r="A342" s="1" t="n"/>
      <c r="B342" s="1" t="n"/>
      <c r="C342" s="2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</row>
    <row r="343" ht="16.5" customHeight="1" s="220">
      <c r="A343" s="1" t="n"/>
      <c r="B343" s="1" t="n"/>
      <c r="C343" s="2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</row>
    <row r="344" ht="16.5" customHeight="1" s="220">
      <c r="A344" s="1" t="n"/>
      <c r="B344" s="1" t="n"/>
      <c r="C344" s="2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</row>
    <row r="345" ht="16.5" customHeight="1" s="220">
      <c r="A345" s="1" t="n"/>
      <c r="B345" s="1" t="n"/>
      <c r="C345" s="2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</row>
    <row r="346" ht="16.5" customHeight="1" s="220">
      <c r="A346" s="1" t="n"/>
      <c r="B346" s="1" t="n"/>
      <c r="C346" s="2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</row>
    <row r="347" ht="16.5" customHeight="1" s="220">
      <c r="A347" s="1" t="n"/>
      <c r="B347" s="1" t="n"/>
      <c r="C347" s="2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</row>
    <row r="348" ht="16.5" customHeight="1" s="220">
      <c r="A348" s="1" t="n"/>
      <c r="B348" s="1" t="n"/>
      <c r="C348" s="2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</row>
    <row r="349" ht="16.5" customHeight="1" s="220">
      <c r="A349" s="1" t="n"/>
      <c r="B349" s="1" t="n"/>
      <c r="C349" s="2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</row>
    <row r="350" ht="16.5" customHeight="1" s="220">
      <c r="A350" s="1" t="n"/>
      <c r="B350" s="1" t="n"/>
      <c r="C350" s="2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</row>
    <row r="351" ht="16.5" customHeight="1" s="220">
      <c r="A351" s="1" t="n"/>
      <c r="B351" s="1" t="n"/>
      <c r="C351" s="2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</row>
    <row r="352" ht="16.5" customHeight="1" s="220">
      <c r="A352" s="1" t="n"/>
      <c r="B352" s="1" t="n"/>
      <c r="C352" s="2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</row>
    <row r="353" ht="16.5" customHeight="1" s="220">
      <c r="A353" s="1" t="n"/>
      <c r="B353" s="1" t="n"/>
      <c r="C353" s="2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</row>
    <row r="354" ht="16.5" customHeight="1" s="220">
      <c r="A354" s="1" t="n"/>
      <c r="B354" s="1" t="n"/>
      <c r="C354" s="2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</row>
    <row r="355" ht="16.5" customHeight="1" s="220">
      <c r="A355" s="1" t="n"/>
      <c r="B355" s="1" t="n"/>
      <c r="C355" s="2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</row>
    <row r="356" ht="16.5" customHeight="1" s="220">
      <c r="A356" s="1" t="n"/>
      <c r="B356" s="1" t="n"/>
      <c r="C356" s="2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</row>
    <row r="357" ht="16.5" customHeight="1" s="220">
      <c r="A357" s="1" t="n"/>
      <c r="B357" s="1" t="n"/>
      <c r="C357" s="2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</row>
    <row r="358" ht="16.5" customHeight="1" s="220">
      <c r="A358" s="1" t="n"/>
      <c r="B358" s="1" t="n"/>
      <c r="C358" s="2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</row>
    <row r="359" ht="16.5" customHeight="1" s="220">
      <c r="A359" s="1" t="n"/>
      <c r="B359" s="1" t="n"/>
      <c r="C359" s="2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</row>
    <row r="360" ht="16.5" customHeight="1" s="220">
      <c r="A360" s="1" t="n"/>
      <c r="B360" s="1" t="n"/>
      <c r="C360" s="2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</row>
    <row r="361" ht="16.5" customHeight="1" s="220">
      <c r="A361" s="1" t="n"/>
      <c r="B361" s="1" t="n"/>
      <c r="C361" s="2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</row>
    <row r="362" ht="16.5" customHeight="1" s="220">
      <c r="A362" s="1" t="n"/>
      <c r="B362" s="1" t="n"/>
      <c r="C362" s="2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</row>
    <row r="363" ht="16.5" customHeight="1" s="220">
      <c r="A363" s="1" t="n"/>
      <c r="B363" s="1" t="n"/>
      <c r="C363" s="2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</row>
    <row r="364" ht="16.5" customHeight="1" s="220">
      <c r="A364" s="1" t="n"/>
      <c r="B364" s="1" t="n"/>
      <c r="C364" s="2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</row>
    <row r="365" ht="16.5" customHeight="1" s="220">
      <c r="A365" s="1" t="n"/>
      <c r="B365" s="1" t="n"/>
      <c r="C365" s="2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</row>
    <row r="366" ht="16.5" customHeight="1" s="220">
      <c r="A366" s="1" t="n"/>
      <c r="B366" s="1" t="n"/>
      <c r="C366" s="2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</row>
    <row r="367" ht="16.5" customHeight="1" s="220">
      <c r="A367" s="1" t="n"/>
      <c r="B367" s="1" t="n"/>
      <c r="C367" s="2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</row>
    <row r="368" ht="16.5" customHeight="1" s="220">
      <c r="A368" s="1" t="n"/>
      <c r="B368" s="1" t="n"/>
      <c r="C368" s="2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</row>
    <row r="369" ht="16.5" customHeight="1" s="220">
      <c r="A369" s="1" t="n"/>
      <c r="B369" s="1" t="n"/>
      <c r="C369" s="2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</row>
    <row r="370" ht="16.5" customHeight="1" s="220">
      <c r="A370" s="1" t="n"/>
      <c r="B370" s="1" t="n"/>
      <c r="C370" s="2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</row>
    <row r="371" ht="16.5" customHeight="1" s="220">
      <c r="A371" s="1" t="n"/>
      <c r="B371" s="1" t="n"/>
      <c r="C371" s="2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</row>
    <row r="372" ht="16.5" customHeight="1" s="220">
      <c r="A372" s="1" t="n"/>
      <c r="B372" s="1" t="n"/>
      <c r="C372" s="2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</row>
    <row r="373" ht="16.5" customHeight="1" s="220">
      <c r="A373" s="1" t="n"/>
      <c r="B373" s="1" t="n"/>
      <c r="C373" s="2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</row>
    <row r="374" ht="16.5" customHeight="1" s="220">
      <c r="A374" s="1" t="n"/>
      <c r="B374" s="1" t="n"/>
      <c r="C374" s="2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</row>
    <row r="375" ht="16.5" customHeight="1" s="220">
      <c r="A375" s="1" t="n"/>
      <c r="B375" s="1" t="n"/>
      <c r="C375" s="2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</row>
    <row r="376" ht="16.5" customHeight="1" s="220">
      <c r="A376" s="1" t="n"/>
      <c r="B376" s="1" t="n"/>
      <c r="C376" s="2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</row>
    <row r="377" ht="16.5" customHeight="1" s="220">
      <c r="A377" s="1" t="n"/>
      <c r="B377" s="1" t="n"/>
      <c r="C377" s="2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</row>
    <row r="378" ht="16.5" customHeight="1" s="220">
      <c r="A378" s="1" t="n"/>
      <c r="B378" s="1" t="n"/>
      <c r="C378" s="2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</row>
    <row r="379" ht="16.5" customHeight="1" s="220">
      <c r="A379" s="1" t="n"/>
      <c r="B379" s="1" t="n"/>
      <c r="C379" s="2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</row>
    <row r="380" ht="16.5" customHeight="1" s="220">
      <c r="A380" s="1" t="n"/>
      <c r="B380" s="1" t="n"/>
      <c r="C380" s="2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</row>
    <row r="381" ht="16.5" customHeight="1" s="220">
      <c r="A381" s="1" t="n"/>
      <c r="B381" s="1" t="n"/>
      <c r="C381" s="2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</row>
    <row r="382" ht="16.5" customHeight="1" s="220">
      <c r="A382" s="1" t="n"/>
      <c r="B382" s="1" t="n"/>
      <c r="C382" s="2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</row>
    <row r="383" ht="16.5" customHeight="1" s="220">
      <c r="A383" s="1" t="n"/>
      <c r="B383" s="1" t="n"/>
      <c r="C383" s="2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</row>
    <row r="384" ht="16.5" customHeight="1" s="220">
      <c r="A384" s="1" t="n"/>
      <c r="B384" s="1" t="n"/>
      <c r="C384" s="2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</row>
    <row r="385" ht="16.5" customHeight="1" s="220">
      <c r="A385" s="1" t="n"/>
      <c r="B385" s="1" t="n"/>
      <c r="C385" s="2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</row>
    <row r="386" ht="16.5" customHeight="1" s="220">
      <c r="A386" s="1" t="n"/>
      <c r="B386" s="1" t="n"/>
      <c r="C386" s="2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</row>
    <row r="387" ht="16.5" customHeight="1" s="220">
      <c r="A387" s="1" t="n"/>
      <c r="B387" s="1" t="n"/>
      <c r="C387" s="2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</row>
    <row r="388" ht="16.5" customHeight="1" s="220">
      <c r="A388" s="1" t="n"/>
      <c r="B388" s="1" t="n"/>
      <c r="C388" s="2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</row>
    <row r="389" ht="16.5" customHeight="1" s="220">
      <c r="A389" s="1" t="n"/>
      <c r="B389" s="1" t="n"/>
      <c r="C389" s="2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</row>
    <row r="390" ht="16.5" customHeight="1" s="220">
      <c r="A390" s="1" t="n"/>
      <c r="B390" s="1" t="n"/>
      <c r="C390" s="2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</row>
    <row r="391" ht="16.5" customHeight="1" s="220">
      <c r="A391" s="1" t="n"/>
      <c r="B391" s="1" t="n"/>
      <c r="C391" s="2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</row>
    <row r="392" ht="16.5" customHeight="1" s="220">
      <c r="A392" s="1" t="n"/>
      <c r="B392" s="1" t="n"/>
      <c r="C392" s="2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</row>
    <row r="393" ht="16.5" customHeight="1" s="220">
      <c r="A393" s="1" t="n"/>
      <c r="B393" s="1" t="n"/>
      <c r="C393" s="2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</row>
    <row r="394" ht="16.5" customHeight="1" s="220">
      <c r="A394" s="1" t="n"/>
      <c r="B394" s="1" t="n"/>
      <c r="C394" s="2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</row>
    <row r="395" ht="16.5" customHeight="1" s="220">
      <c r="A395" s="1" t="n"/>
      <c r="B395" s="1" t="n"/>
      <c r="C395" s="2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</row>
    <row r="396" ht="16.5" customHeight="1" s="220">
      <c r="A396" s="1" t="n"/>
      <c r="B396" s="1" t="n"/>
      <c r="C396" s="2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</row>
    <row r="397" ht="16.5" customHeight="1" s="220">
      <c r="A397" s="1" t="n"/>
      <c r="B397" s="1" t="n"/>
      <c r="C397" s="2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</row>
    <row r="398" ht="16.5" customHeight="1" s="220">
      <c r="A398" s="1" t="n"/>
      <c r="B398" s="1" t="n"/>
      <c r="C398" s="2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</row>
    <row r="399" ht="16.5" customHeight="1" s="220">
      <c r="A399" s="1" t="n"/>
      <c r="B399" s="1" t="n"/>
      <c r="C399" s="2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</row>
    <row r="400" ht="16.5" customHeight="1" s="220">
      <c r="A400" s="1" t="n"/>
      <c r="B400" s="1" t="n"/>
      <c r="C400" s="2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</row>
    <row r="401" ht="16.5" customHeight="1" s="220">
      <c r="A401" s="1" t="n"/>
      <c r="B401" s="1" t="n"/>
      <c r="C401" s="2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</row>
    <row r="402" ht="16.5" customHeight="1" s="220">
      <c r="A402" s="1" t="n"/>
      <c r="B402" s="1" t="n"/>
      <c r="C402" s="2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</row>
    <row r="403" ht="16.5" customHeight="1" s="220">
      <c r="A403" s="1" t="n"/>
      <c r="B403" s="1" t="n"/>
      <c r="C403" s="2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</row>
    <row r="404" ht="16.5" customHeight="1" s="220">
      <c r="A404" s="1" t="n"/>
      <c r="B404" s="1" t="n"/>
      <c r="C404" s="2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</row>
    <row r="405" ht="16.5" customHeight="1" s="220">
      <c r="A405" s="1" t="n"/>
      <c r="B405" s="1" t="n"/>
      <c r="C405" s="2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</row>
    <row r="406" ht="16.5" customHeight="1" s="220">
      <c r="A406" s="1" t="n"/>
      <c r="B406" s="1" t="n"/>
      <c r="C406" s="2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</row>
    <row r="407" ht="16.5" customHeight="1" s="220">
      <c r="A407" s="1" t="n"/>
      <c r="B407" s="1" t="n"/>
      <c r="C407" s="2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</row>
    <row r="408" ht="16.5" customHeight="1" s="220">
      <c r="A408" s="1" t="n"/>
      <c r="B408" s="1" t="n"/>
      <c r="C408" s="2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</row>
    <row r="409" ht="16.5" customHeight="1" s="220">
      <c r="A409" s="1" t="n"/>
      <c r="B409" s="1" t="n"/>
      <c r="C409" s="2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</row>
    <row r="410" ht="16.5" customHeight="1" s="220">
      <c r="A410" s="1" t="n"/>
      <c r="B410" s="1" t="n"/>
      <c r="C410" s="2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</row>
    <row r="411" ht="16.5" customHeight="1" s="220">
      <c r="A411" s="1" t="n"/>
      <c r="B411" s="1" t="n"/>
      <c r="C411" s="2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</row>
    <row r="412" ht="16.5" customHeight="1" s="220">
      <c r="A412" s="1" t="n"/>
      <c r="B412" s="1" t="n"/>
      <c r="C412" s="2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</row>
    <row r="413" ht="16.5" customHeight="1" s="220">
      <c r="A413" s="1" t="n"/>
      <c r="B413" s="1" t="n"/>
      <c r="C413" s="2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</row>
    <row r="414" ht="16.5" customHeight="1" s="220">
      <c r="A414" s="1" t="n"/>
      <c r="B414" s="1" t="n"/>
      <c r="C414" s="2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</row>
    <row r="415" ht="16.5" customHeight="1" s="220">
      <c r="A415" s="1" t="n"/>
      <c r="B415" s="1" t="n"/>
      <c r="C415" s="2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</row>
    <row r="416" ht="16.5" customHeight="1" s="220">
      <c r="A416" s="1" t="n"/>
      <c r="B416" s="1" t="n"/>
      <c r="C416" s="2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</row>
    <row r="417" ht="16.5" customHeight="1" s="220">
      <c r="A417" s="1" t="n"/>
      <c r="B417" s="1" t="n"/>
      <c r="C417" s="2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</row>
    <row r="418" ht="16.5" customHeight="1" s="220">
      <c r="A418" s="1" t="n"/>
      <c r="B418" s="1" t="n"/>
      <c r="C418" s="2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</row>
    <row r="419" ht="16.5" customHeight="1" s="220">
      <c r="A419" s="1" t="n"/>
      <c r="B419" s="1" t="n"/>
      <c r="C419" s="2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</row>
    <row r="420" ht="16.5" customHeight="1" s="220">
      <c r="A420" s="1" t="n"/>
      <c r="B420" s="1" t="n"/>
      <c r="C420" s="2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</row>
    <row r="421" ht="16.5" customHeight="1" s="220">
      <c r="A421" s="1" t="n"/>
      <c r="B421" s="1" t="n"/>
      <c r="C421" s="2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</row>
    <row r="422" ht="16.5" customHeight="1" s="220">
      <c r="A422" s="1" t="n"/>
      <c r="B422" s="1" t="n"/>
      <c r="C422" s="2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</row>
    <row r="423" ht="16.5" customHeight="1" s="220">
      <c r="A423" s="1" t="n"/>
      <c r="B423" s="1" t="n"/>
      <c r="C423" s="2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</row>
    <row r="424" ht="16.5" customHeight="1" s="220">
      <c r="A424" s="1" t="n"/>
      <c r="B424" s="1" t="n"/>
      <c r="C424" s="2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</row>
    <row r="425" ht="16.5" customHeight="1" s="220">
      <c r="A425" s="1" t="n"/>
      <c r="B425" s="1" t="n"/>
      <c r="C425" s="2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</row>
    <row r="426" ht="16.5" customHeight="1" s="220">
      <c r="A426" s="1" t="n"/>
      <c r="B426" s="1" t="n"/>
      <c r="C426" s="2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</row>
    <row r="427" ht="16.5" customHeight="1" s="220">
      <c r="A427" s="1" t="n"/>
      <c r="B427" s="1" t="n"/>
      <c r="C427" s="2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</row>
    <row r="428" ht="16.5" customHeight="1" s="220">
      <c r="A428" s="1" t="n"/>
      <c r="B428" s="1" t="n"/>
      <c r="C428" s="2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</row>
    <row r="429" ht="16.5" customHeight="1" s="220">
      <c r="A429" s="1" t="n"/>
      <c r="B429" s="1" t="n"/>
      <c r="C429" s="2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</row>
    <row r="430" ht="16.5" customHeight="1" s="220">
      <c r="A430" s="1" t="n"/>
      <c r="B430" s="1" t="n"/>
      <c r="C430" s="2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</row>
    <row r="431" ht="16.5" customHeight="1" s="220">
      <c r="A431" s="1" t="n"/>
      <c r="B431" s="1" t="n"/>
      <c r="C431" s="2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</row>
    <row r="432" ht="16.5" customHeight="1" s="220">
      <c r="A432" s="1" t="n"/>
      <c r="B432" s="1" t="n"/>
      <c r="C432" s="2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</row>
    <row r="433" ht="16.5" customHeight="1" s="220">
      <c r="A433" s="1" t="n"/>
      <c r="B433" s="1" t="n"/>
      <c r="C433" s="2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</row>
    <row r="434" ht="16.5" customHeight="1" s="220">
      <c r="A434" s="1" t="n"/>
      <c r="B434" s="1" t="n"/>
      <c r="C434" s="2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</row>
    <row r="435" ht="16.5" customHeight="1" s="220">
      <c r="A435" s="1" t="n"/>
      <c r="B435" s="1" t="n"/>
      <c r="C435" s="2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</row>
    <row r="436" ht="16.5" customHeight="1" s="220">
      <c r="A436" s="1" t="n"/>
      <c r="B436" s="1" t="n"/>
      <c r="C436" s="2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</row>
    <row r="437" ht="16.5" customHeight="1" s="220">
      <c r="A437" s="1" t="n"/>
      <c r="B437" s="1" t="n"/>
      <c r="C437" s="2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</row>
    <row r="438" ht="16.5" customHeight="1" s="220">
      <c r="A438" s="1" t="n"/>
      <c r="B438" s="1" t="n"/>
      <c r="C438" s="2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</row>
    <row r="439" ht="16.5" customHeight="1" s="220">
      <c r="A439" s="1" t="n"/>
      <c r="B439" s="1" t="n"/>
      <c r="C439" s="2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</row>
    <row r="440" ht="16.5" customHeight="1" s="220">
      <c r="A440" s="1" t="n"/>
      <c r="B440" s="1" t="n"/>
      <c r="C440" s="2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</row>
    <row r="441" ht="16.5" customHeight="1" s="220">
      <c r="A441" s="1" t="n"/>
      <c r="B441" s="1" t="n"/>
      <c r="C441" s="2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</row>
    <row r="442" ht="16.5" customHeight="1" s="220">
      <c r="A442" s="1" t="n"/>
      <c r="B442" s="1" t="n"/>
      <c r="C442" s="2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</row>
    <row r="443" ht="16.5" customHeight="1" s="220">
      <c r="A443" s="1" t="n"/>
      <c r="B443" s="1" t="n"/>
      <c r="C443" s="2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</row>
    <row r="444" ht="16.5" customHeight="1" s="220">
      <c r="A444" s="1" t="n"/>
      <c r="B444" s="1" t="n"/>
      <c r="C444" s="2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</row>
    <row r="445" ht="16.5" customHeight="1" s="220">
      <c r="A445" s="1" t="n"/>
      <c r="B445" s="1" t="n"/>
      <c r="C445" s="2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</row>
    <row r="446" ht="16.5" customHeight="1" s="220">
      <c r="A446" s="1" t="n"/>
      <c r="B446" s="1" t="n"/>
      <c r="C446" s="2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</row>
    <row r="447" ht="16.5" customHeight="1" s="220">
      <c r="A447" s="1" t="n"/>
      <c r="B447" s="1" t="n"/>
      <c r="C447" s="2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</row>
    <row r="448" ht="16.5" customHeight="1" s="220">
      <c r="A448" s="1" t="n"/>
      <c r="B448" s="1" t="n"/>
      <c r="C448" s="2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</row>
    <row r="449" ht="16.5" customHeight="1" s="220">
      <c r="A449" s="1" t="n"/>
      <c r="B449" s="1" t="n"/>
      <c r="C449" s="2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</row>
    <row r="450" ht="16.5" customHeight="1" s="220">
      <c r="A450" s="1" t="n"/>
      <c r="B450" s="1" t="n"/>
      <c r="C450" s="2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</row>
    <row r="451" ht="16.5" customHeight="1" s="220">
      <c r="A451" s="1" t="n"/>
      <c r="B451" s="1" t="n"/>
      <c r="C451" s="2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</row>
    <row r="452" ht="16.5" customHeight="1" s="220">
      <c r="A452" s="1" t="n"/>
      <c r="B452" s="1" t="n"/>
      <c r="C452" s="2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</row>
    <row r="453" ht="16.5" customHeight="1" s="220">
      <c r="A453" s="1" t="n"/>
      <c r="B453" s="1" t="n"/>
      <c r="C453" s="2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</row>
    <row r="454" ht="16.5" customHeight="1" s="220">
      <c r="A454" s="1" t="n"/>
      <c r="B454" s="1" t="n"/>
      <c r="C454" s="2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</row>
    <row r="455" ht="16.5" customHeight="1" s="220">
      <c r="A455" s="1" t="n"/>
      <c r="B455" s="1" t="n"/>
      <c r="C455" s="2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</row>
    <row r="456" ht="16.5" customHeight="1" s="220">
      <c r="A456" s="1" t="n"/>
      <c r="B456" s="1" t="n"/>
      <c r="C456" s="2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</row>
    <row r="457" ht="16.5" customHeight="1" s="220">
      <c r="A457" s="1" t="n"/>
      <c r="B457" s="1" t="n"/>
      <c r="C457" s="2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</row>
    <row r="458" ht="16.5" customHeight="1" s="220">
      <c r="A458" s="1" t="n"/>
      <c r="B458" s="1" t="n"/>
      <c r="C458" s="2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</row>
    <row r="459" ht="16.5" customHeight="1" s="220">
      <c r="A459" s="1" t="n"/>
      <c r="B459" s="1" t="n"/>
      <c r="C459" s="2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</row>
    <row r="460" ht="16.5" customHeight="1" s="220">
      <c r="A460" s="1" t="n"/>
      <c r="B460" s="1" t="n"/>
      <c r="C460" s="2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</row>
    <row r="461" ht="16.5" customHeight="1" s="220">
      <c r="A461" s="1" t="n"/>
      <c r="B461" s="1" t="n"/>
      <c r="C461" s="2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</row>
    <row r="462" ht="16.5" customHeight="1" s="220">
      <c r="A462" s="1" t="n"/>
      <c r="B462" s="1" t="n"/>
      <c r="C462" s="2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</row>
    <row r="463" ht="16.5" customHeight="1" s="220">
      <c r="A463" s="1" t="n"/>
      <c r="B463" s="1" t="n"/>
      <c r="C463" s="2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</row>
    <row r="464" ht="16.5" customHeight="1" s="220">
      <c r="A464" s="1" t="n"/>
      <c r="B464" s="1" t="n"/>
      <c r="C464" s="2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</row>
    <row r="465" ht="16.5" customHeight="1" s="220">
      <c r="A465" s="1" t="n"/>
      <c r="B465" s="1" t="n"/>
      <c r="C465" s="2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</row>
    <row r="466" ht="16.5" customHeight="1" s="220">
      <c r="A466" s="1" t="n"/>
      <c r="B466" s="1" t="n"/>
      <c r="C466" s="2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</row>
    <row r="467" ht="16.5" customHeight="1" s="220">
      <c r="A467" s="1" t="n"/>
      <c r="B467" s="1" t="n"/>
      <c r="C467" s="2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</row>
    <row r="468" ht="16.5" customHeight="1" s="220">
      <c r="A468" s="1" t="n"/>
      <c r="B468" s="1" t="n"/>
      <c r="C468" s="2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</row>
    <row r="469" ht="16.5" customHeight="1" s="220">
      <c r="A469" s="1" t="n"/>
      <c r="B469" s="1" t="n"/>
      <c r="C469" s="2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</row>
    <row r="470" ht="16.5" customHeight="1" s="220">
      <c r="A470" s="1" t="n"/>
      <c r="B470" s="1" t="n"/>
      <c r="C470" s="2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</row>
    <row r="471" ht="16.5" customHeight="1" s="220">
      <c r="A471" s="1" t="n"/>
      <c r="B471" s="1" t="n"/>
      <c r="C471" s="2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</row>
    <row r="472" ht="16.5" customHeight="1" s="220">
      <c r="A472" s="1" t="n"/>
      <c r="B472" s="1" t="n"/>
      <c r="C472" s="2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</row>
    <row r="473" ht="16.5" customHeight="1" s="220">
      <c r="A473" s="1" t="n"/>
      <c r="B473" s="1" t="n"/>
      <c r="C473" s="2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</row>
    <row r="474" ht="16.5" customHeight="1" s="220">
      <c r="A474" s="1" t="n"/>
      <c r="B474" s="1" t="n"/>
      <c r="C474" s="2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</row>
    <row r="475" ht="16.5" customHeight="1" s="220">
      <c r="A475" s="1" t="n"/>
      <c r="B475" s="1" t="n"/>
      <c r="C475" s="2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</row>
    <row r="476" ht="16.5" customHeight="1" s="220">
      <c r="A476" s="1" t="n"/>
      <c r="B476" s="1" t="n"/>
      <c r="C476" s="2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</row>
    <row r="477" ht="16.5" customHeight="1" s="220">
      <c r="A477" s="1" t="n"/>
      <c r="B477" s="1" t="n"/>
      <c r="C477" s="2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</row>
    <row r="478" ht="16.5" customHeight="1" s="220">
      <c r="A478" s="1" t="n"/>
      <c r="B478" s="1" t="n"/>
      <c r="C478" s="2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</row>
    <row r="479" ht="16.5" customHeight="1" s="220">
      <c r="A479" s="1" t="n"/>
      <c r="B479" s="1" t="n"/>
      <c r="C479" s="2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</row>
    <row r="480" ht="16.5" customHeight="1" s="220">
      <c r="A480" s="1" t="n"/>
      <c r="B480" s="1" t="n"/>
      <c r="C480" s="2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</row>
    <row r="481" ht="16.5" customHeight="1" s="220">
      <c r="A481" s="1" t="n"/>
      <c r="B481" s="1" t="n"/>
      <c r="C481" s="2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</row>
    <row r="482" ht="16.5" customHeight="1" s="220">
      <c r="A482" s="1" t="n"/>
      <c r="B482" s="1" t="n"/>
      <c r="C482" s="2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</row>
    <row r="483" ht="16.5" customHeight="1" s="220">
      <c r="A483" s="1" t="n"/>
      <c r="B483" s="1" t="n"/>
      <c r="C483" s="2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</row>
    <row r="484" ht="16.5" customHeight="1" s="220">
      <c r="A484" s="1" t="n"/>
      <c r="B484" s="1" t="n"/>
      <c r="C484" s="2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</row>
    <row r="485" ht="16.5" customHeight="1" s="220">
      <c r="A485" s="1" t="n"/>
      <c r="B485" s="1" t="n"/>
      <c r="C485" s="2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</row>
    <row r="486" ht="16.5" customHeight="1" s="220">
      <c r="A486" s="1" t="n"/>
      <c r="B486" s="1" t="n"/>
      <c r="C486" s="2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</row>
    <row r="487" ht="16.5" customHeight="1" s="220">
      <c r="A487" s="1" t="n"/>
      <c r="B487" s="1" t="n"/>
      <c r="C487" s="2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</row>
    <row r="488" ht="16.5" customHeight="1" s="220">
      <c r="A488" s="1" t="n"/>
      <c r="B488" s="1" t="n"/>
      <c r="C488" s="2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</row>
    <row r="489" ht="16.5" customHeight="1" s="220">
      <c r="A489" s="1" t="n"/>
      <c r="B489" s="1" t="n"/>
      <c r="C489" s="2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</row>
    <row r="490" ht="16.5" customHeight="1" s="220">
      <c r="A490" s="1" t="n"/>
      <c r="B490" s="1" t="n"/>
      <c r="C490" s="2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</row>
    <row r="491" ht="16.5" customHeight="1" s="220">
      <c r="A491" s="1" t="n"/>
      <c r="B491" s="1" t="n"/>
      <c r="C491" s="2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</row>
    <row r="492" ht="16.5" customHeight="1" s="220">
      <c r="A492" s="1" t="n"/>
      <c r="B492" s="1" t="n"/>
      <c r="C492" s="2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</row>
    <row r="493" ht="16.5" customHeight="1" s="220">
      <c r="A493" s="1" t="n"/>
      <c r="B493" s="1" t="n"/>
      <c r="C493" s="2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</row>
    <row r="494" ht="16.5" customHeight="1" s="220">
      <c r="A494" s="1" t="n"/>
      <c r="B494" s="1" t="n"/>
      <c r="C494" s="2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</row>
    <row r="495" ht="16.5" customHeight="1" s="220">
      <c r="A495" s="1" t="n"/>
      <c r="B495" s="1" t="n"/>
      <c r="C495" s="2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</row>
    <row r="496" ht="16.5" customHeight="1" s="220">
      <c r="A496" s="1" t="n"/>
      <c r="B496" s="1" t="n"/>
      <c r="C496" s="2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</row>
    <row r="497" ht="16.5" customHeight="1" s="220">
      <c r="A497" s="1" t="n"/>
      <c r="B497" s="1" t="n"/>
      <c r="C497" s="2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</row>
    <row r="498" ht="16.5" customHeight="1" s="220">
      <c r="A498" s="1" t="n"/>
      <c r="B498" s="1" t="n"/>
      <c r="C498" s="2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</row>
    <row r="499" ht="16.5" customHeight="1" s="220">
      <c r="A499" s="1" t="n"/>
      <c r="B499" s="1" t="n"/>
      <c r="C499" s="2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</row>
    <row r="500" ht="16.5" customHeight="1" s="220">
      <c r="A500" s="1" t="n"/>
      <c r="B500" s="1" t="n"/>
      <c r="C500" s="2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</row>
    <row r="501" ht="16.5" customHeight="1" s="220">
      <c r="A501" s="1" t="n"/>
      <c r="B501" s="1" t="n"/>
      <c r="C501" s="2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</row>
    <row r="502" ht="16.5" customHeight="1" s="220">
      <c r="A502" s="1" t="n"/>
      <c r="B502" s="1" t="n"/>
      <c r="C502" s="2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</row>
    <row r="503" ht="16.5" customHeight="1" s="220">
      <c r="A503" s="1" t="n"/>
      <c r="B503" s="1" t="n"/>
      <c r="C503" s="2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</row>
    <row r="504" ht="16.5" customHeight="1" s="220">
      <c r="A504" s="1" t="n"/>
      <c r="B504" s="1" t="n"/>
      <c r="C504" s="2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</row>
    <row r="505" ht="16.5" customHeight="1" s="220">
      <c r="A505" s="1" t="n"/>
      <c r="B505" s="1" t="n"/>
      <c r="C505" s="2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</row>
    <row r="506" ht="16.5" customHeight="1" s="220">
      <c r="A506" s="1" t="n"/>
      <c r="B506" s="1" t="n"/>
      <c r="C506" s="2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</row>
    <row r="507" ht="16.5" customHeight="1" s="220">
      <c r="A507" s="1" t="n"/>
      <c r="B507" s="1" t="n"/>
      <c r="C507" s="2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</row>
    <row r="508" ht="16.5" customHeight="1" s="220">
      <c r="A508" s="1" t="n"/>
      <c r="B508" s="1" t="n"/>
      <c r="C508" s="2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</row>
    <row r="509" ht="16.5" customHeight="1" s="220">
      <c r="A509" s="1" t="n"/>
      <c r="B509" s="1" t="n"/>
      <c r="C509" s="2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</row>
    <row r="510" ht="16.5" customHeight="1" s="220">
      <c r="A510" s="1" t="n"/>
      <c r="B510" s="1" t="n"/>
      <c r="C510" s="2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</row>
    <row r="511" ht="16.5" customHeight="1" s="220">
      <c r="A511" s="1" t="n"/>
      <c r="B511" s="1" t="n"/>
      <c r="C511" s="2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</row>
    <row r="512" ht="16.5" customHeight="1" s="220">
      <c r="A512" s="1" t="n"/>
      <c r="B512" s="1" t="n"/>
      <c r="C512" s="2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</row>
    <row r="513" ht="16.5" customHeight="1" s="220">
      <c r="A513" s="1" t="n"/>
      <c r="B513" s="1" t="n"/>
      <c r="C513" s="2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</row>
    <row r="514" ht="16.5" customHeight="1" s="220">
      <c r="A514" s="1" t="n"/>
      <c r="B514" s="1" t="n"/>
      <c r="C514" s="2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</row>
    <row r="515" ht="16.5" customHeight="1" s="220">
      <c r="A515" s="1" t="n"/>
      <c r="B515" s="1" t="n"/>
      <c r="C515" s="2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</row>
    <row r="516" ht="16.5" customHeight="1" s="220">
      <c r="A516" s="1" t="n"/>
      <c r="B516" s="1" t="n"/>
      <c r="C516" s="2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</row>
    <row r="517" ht="16.5" customHeight="1" s="220">
      <c r="A517" s="1" t="n"/>
      <c r="B517" s="1" t="n"/>
      <c r="C517" s="2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</row>
    <row r="518" ht="16.5" customHeight="1" s="220">
      <c r="A518" s="1" t="n"/>
      <c r="B518" s="1" t="n"/>
      <c r="C518" s="2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</row>
    <row r="519" ht="16.5" customHeight="1" s="220">
      <c r="A519" s="1" t="n"/>
      <c r="B519" s="1" t="n"/>
      <c r="C519" s="2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</row>
    <row r="520" ht="16.5" customHeight="1" s="220">
      <c r="A520" s="1" t="n"/>
      <c r="B520" s="1" t="n"/>
      <c r="C520" s="2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</row>
    <row r="521" ht="16.5" customHeight="1" s="220">
      <c r="A521" s="1" t="n"/>
      <c r="B521" s="1" t="n"/>
      <c r="C521" s="2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</row>
    <row r="522" ht="16.5" customHeight="1" s="220">
      <c r="A522" s="1" t="n"/>
      <c r="B522" s="1" t="n"/>
      <c r="C522" s="2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</row>
    <row r="523" ht="16.5" customHeight="1" s="220">
      <c r="A523" s="1" t="n"/>
      <c r="B523" s="1" t="n"/>
      <c r="C523" s="2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</row>
    <row r="524" ht="16.5" customHeight="1" s="220">
      <c r="A524" s="1" t="n"/>
      <c r="B524" s="1" t="n"/>
      <c r="C524" s="2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</row>
    <row r="525" ht="16.5" customHeight="1" s="220">
      <c r="A525" s="1" t="n"/>
      <c r="B525" s="1" t="n"/>
      <c r="C525" s="2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</row>
    <row r="526" ht="16.5" customHeight="1" s="220">
      <c r="A526" s="1" t="n"/>
      <c r="B526" s="1" t="n"/>
      <c r="C526" s="2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</row>
    <row r="527" ht="16.5" customHeight="1" s="220">
      <c r="A527" s="1" t="n"/>
      <c r="B527" s="1" t="n"/>
      <c r="C527" s="2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</row>
    <row r="528" ht="16.5" customHeight="1" s="220">
      <c r="A528" s="1" t="n"/>
      <c r="B528" s="1" t="n"/>
      <c r="C528" s="2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</row>
    <row r="529" ht="16.5" customHeight="1" s="220">
      <c r="A529" s="1" t="n"/>
      <c r="B529" s="1" t="n"/>
      <c r="C529" s="2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</row>
    <row r="530" ht="16.5" customHeight="1" s="220">
      <c r="A530" s="1" t="n"/>
      <c r="B530" s="1" t="n"/>
      <c r="C530" s="2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</row>
    <row r="531" ht="16.5" customHeight="1" s="220">
      <c r="A531" s="1" t="n"/>
      <c r="B531" s="1" t="n"/>
      <c r="C531" s="2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</row>
    <row r="532" ht="16.5" customHeight="1" s="220">
      <c r="A532" s="1" t="n"/>
      <c r="B532" s="1" t="n"/>
      <c r="C532" s="2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</row>
    <row r="533" ht="16.5" customHeight="1" s="220">
      <c r="A533" s="1" t="n"/>
      <c r="B533" s="1" t="n"/>
      <c r="C533" s="2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</row>
    <row r="534" ht="16.5" customHeight="1" s="220">
      <c r="A534" s="1" t="n"/>
      <c r="B534" s="1" t="n"/>
      <c r="C534" s="2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</row>
    <row r="535" ht="16.5" customHeight="1" s="220">
      <c r="A535" s="1" t="n"/>
      <c r="B535" s="1" t="n"/>
      <c r="C535" s="2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</row>
    <row r="536" ht="16.5" customHeight="1" s="220">
      <c r="A536" s="1" t="n"/>
      <c r="B536" s="1" t="n"/>
      <c r="C536" s="2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</row>
    <row r="537" ht="16.5" customHeight="1" s="220">
      <c r="A537" s="1" t="n"/>
      <c r="B537" s="1" t="n"/>
      <c r="C537" s="2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</row>
    <row r="538" ht="16.5" customHeight="1" s="220">
      <c r="A538" s="1" t="n"/>
      <c r="B538" s="1" t="n"/>
      <c r="C538" s="2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</row>
    <row r="539" ht="16.5" customHeight="1" s="220">
      <c r="A539" s="1" t="n"/>
      <c r="B539" s="1" t="n"/>
      <c r="C539" s="2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</row>
    <row r="540" ht="16.5" customHeight="1" s="220">
      <c r="A540" s="1" t="n"/>
      <c r="B540" s="1" t="n"/>
      <c r="C540" s="2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</row>
    <row r="541" ht="16.5" customHeight="1" s="220">
      <c r="A541" s="1" t="n"/>
      <c r="B541" s="1" t="n"/>
      <c r="C541" s="2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</row>
    <row r="542" ht="16.5" customHeight="1" s="220">
      <c r="A542" s="1" t="n"/>
      <c r="B542" s="1" t="n"/>
      <c r="C542" s="2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</row>
    <row r="543" ht="16.5" customHeight="1" s="220">
      <c r="A543" s="1" t="n"/>
      <c r="B543" s="1" t="n"/>
      <c r="C543" s="2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</row>
    <row r="544" ht="16.5" customHeight="1" s="220">
      <c r="A544" s="1" t="n"/>
      <c r="B544" s="1" t="n"/>
      <c r="C544" s="2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</row>
    <row r="545" ht="16.5" customHeight="1" s="220">
      <c r="A545" s="1" t="n"/>
      <c r="B545" s="1" t="n"/>
      <c r="C545" s="2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</row>
    <row r="546" ht="16.5" customHeight="1" s="220">
      <c r="A546" s="1" t="n"/>
      <c r="B546" s="1" t="n"/>
      <c r="C546" s="2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</row>
    <row r="547" ht="16.5" customHeight="1" s="220">
      <c r="A547" s="1" t="n"/>
      <c r="B547" s="1" t="n"/>
      <c r="C547" s="2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</row>
    <row r="548" ht="16.5" customHeight="1" s="220">
      <c r="A548" s="1" t="n"/>
      <c r="B548" s="1" t="n"/>
      <c r="C548" s="2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</row>
    <row r="549" ht="16.5" customHeight="1" s="220">
      <c r="A549" s="1" t="n"/>
      <c r="B549" s="1" t="n"/>
      <c r="C549" s="2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</row>
    <row r="550" ht="16.5" customHeight="1" s="220">
      <c r="A550" s="1" t="n"/>
      <c r="B550" s="1" t="n"/>
      <c r="C550" s="2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</row>
    <row r="551" ht="16.5" customHeight="1" s="220">
      <c r="A551" s="1" t="n"/>
      <c r="B551" s="1" t="n"/>
      <c r="C551" s="2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</row>
    <row r="552" ht="16.5" customHeight="1" s="220">
      <c r="A552" s="1" t="n"/>
      <c r="B552" s="1" t="n"/>
      <c r="C552" s="2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</row>
    <row r="553" ht="16.5" customHeight="1" s="220">
      <c r="A553" s="1" t="n"/>
      <c r="B553" s="1" t="n"/>
      <c r="C553" s="2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</row>
    <row r="554" ht="16.5" customHeight="1" s="220">
      <c r="A554" s="1" t="n"/>
      <c r="B554" s="1" t="n"/>
      <c r="C554" s="2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</row>
    <row r="555" ht="16.5" customHeight="1" s="220">
      <c r="A555" s="1" t="n"/>
      <c r="B555" s="1" t="n"/>
      <c r="C555" s="2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</row>
    <row r="556" ht="16.5" customHeight="1" s="220">
      <c r="A556" s="1" t="n"/>
      <c r="B556" s="1" t="n"/>
      <c r="C556" s="2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</row>
    <row r="557" ht="16.5" customHeight="1" s="220">
      <c r="A557" s="1" t="n"/>
      <c r="B557" s="1" t="n"/>
      <c r="C557" s="2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</row>
    <row r="558" ht="16.5" customHeight="1" s="220">
      <c r="A558" s="1" t="n"/>
      <c r="B558" s="1" t="n"/>
      <c r="C558" s="2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</row>
    <row r="559" ht="16.5" customHeight="1" s="220">
      <c r="A559" s="1" t="n"/>
      <c r="B559" s="1" t="n"/>
      <c r="C559" s="2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</row>
    <row r="560" ht="16.5" customHeight="1" s="220">
      <c r="A560" s="1" t="n"/>
      <c r="B560" s="1" t="n"/>
      <c r="C560" s="2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</row>
    <row r="561" ht="16.5" customHeight="1" s="220">
      <c r="A561" s="1" t="n"/>
      <c r="B561" s="1" t="n"/>
      <c r="C561" s="2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</row>
    <row r="562" ht="16.5" customHeight="1" s="220">
      <c r="A562" s="1" t="n"/>
      <c r="B562" s="1" t="n"/>
      <c r="C562" s="2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</row>
    <row r="563" ht="16.5" customHeight="1" s="220">
      <c r="A563" s="1" t="n"/>
      <c r="B563" s="1" t="n"/>
      <c r="C563" s="2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</row>
    <row r="564" ht="16.5" customHeight="1" s="220">
      <c r="A564" s="1" t="n"/>
      <c r="B564" s="1" t="n"/>
      <c r="C564" s="2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</row>
    <row r="565" ht="16.5" customHeight="1" s="220">
      <c r="A565" s="1" t="n"/>
      <c r="B565" s="1" t="n"/>
      <c r="C565" s="2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</row>
    <row r="566" ht="16.5" customHeight="1" s="220">
      <c r="A566" s="1" t="n"/>
      <c r="B566" s="1" t="n"/>
      <c r="C566" s="2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</row>
    <row r="567" ht="16.5" customHeight="1" s="220">
      <c r="A567" s="1" t="n"/>
      <c r="B567" s="1" t="n"/>
      <c r="C567" s="2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</row>
    <row r="568" ht="16.5" customHeight="1" s="220">
      <c r="A568" s="1" t="n"/>
      <c r="B568" s="1" t="n"/>
      <c r="C568" s="2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</row>
    <row r="569" ht="16.5" customHeight="1" s="220">
      <c r="A569" s="1" t="n"/>
      <c r="B569" s="1" t="n"/>
      <c r="C569" s="2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</row>
    <row r="570" ht="16.5" customHeight="1" s="220">
      <c r="A570" s="1" t="n"/>
      <c r="B570" s="1" t="n"/>
      <c r="C570" s="2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</row>
    <row r="571" ht="16.5" customHeight="1" s="220">
      <c r="A571" s="1" t="n"/>
      <c r="B571" s="1" t="n"/>
      <c r="C571" s="2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</row>
    <row r="572" ht="16.5" customHeight="1" s="220">
      <c r="A572" s="1" t="n"/>
      <c r="B572" s="1" t="n"/>
      <c r="C572" s="2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</row>
    <row r="573" ht="16.5" customHeight="1" s="220">
      <c r="A573" s="1" t="n"/>
      <c r="B573" s="1" t="n"/>
      <c r="C573" s="2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</row>
    <row r="574" ht="16.5" customHeight="1" s="220">
      <c r="A574" s="1" t="n"/>
      <c r="B574" s="1" t="n"/>
      <c r="C574" s="2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</row>
    <row r="575" ht="16.5" customHeight="1" s="220">
      <c r="A575" s="1" t="n"/>
      <c r="B575" s="1" t="n"/>
      <c r="C575" s="2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</row>
    <row r="576" ht="16.5" customHeight="1" s="220">
      <c r="A576" s="1" t="n"/>
      <c r="B576" s="1" t="n"/>
      <c r="C576" s="2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</row>
    <row r="577" ht="16.5" customHeight="1" s="220">
      <c r="A577" s="1" t="n"/>
      <c r="B577" s="1" t="n"/>
      <c r="C577" s="2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</row>
    <row r="578" ht="16.5" customHeight="1" s="220">
      <c r="A578" s="1" t="n"/>
      <c r="B578" s="1" t="n"/>
      <c r="C578" s="2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</row>
    <row r="579" ht="16.5" customHeight="1" s="220">
      <c r="A579" s="1" t="n"/>
      <c r="B579" s="1" t="n"/>
      <c r="C579" s="2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</row>
    <row r="580" ht="16.5" customHeight="1" s="220">
      <c r="A580" s="1" t="n"/>
      <c r="B580" s="1" t="n"/>
      <c r="C580" s="2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</row>
    <row r="581" ht="16.5" customHeight="1" s="220">
      <c r="A581" s="1" t="n"/>
      <c r="B581" s="1" t="n"/>
      <c r="C581" s="2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</row>
    <row r="582" ht="16.5" customHeight="1" s="220">
      <c r="A582" s="1" t="n"/>
      <c r="B582" s="1" t="n"/>
      <c r="C582" s="2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</row>
    <row r="583" ht="16.5" customHeight="1" s="220">
      <c r="A583" s="1" t="n"/>
      <c r="B583" s="1" t="n"/>
      <c r="C583" s="2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</row>
    <row r="584" ht="16.5" customHeight="1" s="220">
      <c r="A584" s="1" t="n"/>
      <c r="B584" s="1" t="n"/>
      <c r="C584" s="2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</row>
    <row r="585" ht="16.5" customHeight="1" s="220">
      <c r="A585" s="1" t="n"/>
      <c r="B585" s="1" t="n"/>
      <c r="C585" s="2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</row>
    <row r="586" ht="16.5" customHeight="1" s="220">
      <c r="A586" s="1" t="n"/>
      <c r="B586" s="1" t="n"/>
      <c r="C586" s="2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</row>
    <row r="587" ht="16.5" customHeight="1" s="220">
      <c r="A587" s="1" t="n"/>
      <c r="B587" s="1" t="n"/>
      <c r="C587" s="2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</row>
    <row r="588" ht="16.5" customHeight="1" s="220">
      <c r="A588" s="1" t="n"/>
      <c r="B588" s="1" t="n"/>
      <c r="C588" s="2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</row>
    <row r="589" ht="16.5" customHeight="1" s="220">
      <c r="A589" s="1" t="n"/>
      <c r="B589" s="1" t="n"/>
      <c r="C589" s="2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</row>
    <row r="590" ht="16.5" customHeight="1" s="220">
      <c r="A590" s="1" t="n"/>
      <c r="B590" s="1" t="n"/>
      <c r="C590" s="2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</row>
    <row r="591" ht="16.5" customHeight="1" s="220">
      <c r="A591" s="1" t="n"/>
      <c r="B591" s="1" t="n"/>
      <c r="C591" s="2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</row>
    <row r="592" ht="16.5" customHeight="1" s="220">
      <c r="A592" s="1" t="n"/>
      <c r="B592" s="1" t="n"/>
      <c r="C592" s="2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</row>
    <row r="593" ht="16.5" customHeight="1" s="220">
      <c r="A593" s="1" t="n"/>
      <c r="B593" s="1" t="n"/>
      <c r="C593" s="2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</row>
    <row r="594" ht="16.5" customHeight="1" s="220">
      <c r="A594" s="1" t="n"/>
      <c r="B594" s="1" t="n"/>
      <c r="C594" s="2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</row>
    <row r="595" ht="16.5" customHeight="1" s="220">
      <c r="A595" s="1" t="n"/>
      <c r="B595" s="1" t="n"/>
      <c r="C595" s="2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</row>
    <row r="596" ht="16.5" customHeight="1" s="220">
      <c r="A596" s="1" t="n"/>
      <c r="B596" s="1" t="n"/>
      <c r="C596" s="2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</row>
    <row r="597" ht="16.5" customHeight="1" s="220">
      <c r="A597" s="1" t="n"/>
      <c r="B597" s="1" t="n"/>
      <c r="C597" s="2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</row>
    <row r="598" ht="16.5" customHeight="1" s="220">
      <c r="A598" s="1" t="n"/>
      <c r="B598" s="1" t="n"/>
      <c r="C598" s="2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</row>
    <row r="599" ht="16.5" customHeight="1" s="220">
      <c r="A599" s="1" t="n"/>
      <c r="B599" s="1" t="n"/>
      <c r="C599" s="2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</row>
    <row r="600" ht="16.5" customHeight="1" s="220">
      <c r="A600" s="1" t="n"/>
      <c r="B600" s="1" t="n"/>
      <c r="C600" s="2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</row>
    <row r="601" ht="16.5" customHeight="1" s="220">
      <c r="A601" s="1" t="n"/>
      <c r="B601" s="1" t="n"/>
      <c r="C601" s="2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</row>
    <row r="602" ht="16.5" customHeight="1" s="220">
      <c r="A602" s="1" t="n"/>
      <c r="B602" s="1" t="n"/>
      <c r="C602" s="2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</row>
    <row r="603" ht="16.5" customHeight="1" s="220">
      <c r="A603" s="1" t="n"/>
      <c r="B603" s="1" t="n"/>
      <c r="C603" s="2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</row>
    <row r="604" ht="16.5" customHeight="1" s="220">
      <c r="A604" s="1" t="n"/>
      <c r="B604" s="1" t="n"/>
      <c r="C604" s="2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</row>
    <row r="605" ht="16.5" customHeight="1" s="220">
      <c r="A605" s="1" t="n"/>
      <c r="B605" s="1" t="n"/>
      <c r="C605" s="2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</row>
    <row r="606" ht="16.5" customHeight="1" s="220">
      <c r="A606" s="1" t="n"/>
      <c r="B606" s="1" t="n"/>
      <c r="C606" s="2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</row>
    <row r="607" ht="16.5" customHeight="1" s="220">
      <c r="A607" s="1" t="n"/>
      <c r="B607" s="1" t="n"/>
      <c r="C607" s="2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</row>
    <row r="608" ht="16.5" customHeight="1" s="220">
      <c r="A608" s="1" t="n"/>
      <c r="B608" s="1" t="n"/>
      <c r="C608" s="2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</row>
    <row r="609" ht="16.5" customHeight="1" s="220">
      <c r="A609" s="1" t="n"/>
      <c r="B609" s="1" t="n"/>
      <c r="C609" s="2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</row>
    <row r="610" ht="16.5" customHeight="1" s="220">
      <c r="A610" s="1" t="n"/>
      <c r="B610" s="1" t="n"/>
      <c r="C610" s="2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</row>
    <row r="611" ht="16.5" customHeight="1" s="220">
      <c r="A611" s="1" t="n"/>
      <c r="B611" s="1" t="n"/>
      <c r="C611" s="2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</row>
    <row r="612" ht="16.5" customHeight="1" s="220">
      <c r="A612" s="1" t="n"/>
      <c r="B612" s="1" t="n"/>
      <c r="C612" s="2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</row>
    <row r="613" ht="16.5" customHeight="1" s="220">
      <c r="A613" s="1" t="n"/>
      <c r="B613" s="1" t="n"/>
      <c r="C613" s="2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</row>
    <row r="614" ht="16.5" customHeight="1" s="220">
      <c r="A614" s="1" t="n"/>
      <c r="B614" s="1" t="n"/>
      <c r="C614" s="2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</row>
    <row r="615" ht="16.5" customHeight="1" s="220">
      <c r="A615" s="1" t="n"/>
      <c r="B615" s="1" t="n"/>
      <c r="C615" s="2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</row>
    <row r="616" ht="16.5" customHeight="1" s="220">
      <c r="A616" s="1" t="n"/>
      <c r="B616" s="1" t="n"/>
      <c r="C616" s="2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</row>
    <row r="617" ht="16.5" customHeight="1" s="220">
      <c r="A617" s="1" t="n"/>
      <c r="B617" s="1" t="n"/>
      <c r="C617" s="2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</row>
    <row r="618" ht="16.5" customHeight="1" s="220">
      <c r="A618" s="1" t="n"/>
      <c r="B618" s="1" t="n"/>
      <c r="C618" s="2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</row>
    <row r="619" ht="16.5" customHeight="1" s="220">
      <c r="A619" s="1" t="n"/>
      <c r="B619" s="1" t="n"/>
      <c r="C619" s="2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</row>
    <row r="620" ht="16.5" customHeight="1" s="220">
      <c r="A620" s="1" t="n"/>
      <c r="B620" s="1" t="n"/>
      <c r="C620" s="2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</row>
    <row r="621" ht="16.5" customHeight="1" s="220">
      <c r="A621" s="1" t="n"/>
      <c r="B621" s="1" t="n"/>
      <c r="C621" s="2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</row>
    <row r="622" ht="16.5" customHeight="1" s="220">
      <c r="A622" s="1" t="n"/>
      <c r="B622" s="1" t="n"/>
      <c r="C622" s="2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</row>
    <row r="623" ht="16.5" customHeight="1" s="220">
      <c r="A623" s="1" t="n"/>
      <c r="B623" s="1" t="n"/>
      <c r="C623" s="2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</row>
    <row r="624" ht="16.5" customHeight="1" s="220">
      <c r="A624" s="1" t="n"/>
      <c r="B624" s="1" t="n"/>
      <c r="C624" s="2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</row>
    <row r="625" ht="16.5" customHeight="1" s="220">
      <c r="A625" s="1" t="n"/>
      <c r="B625" s="1" t="n"/>
      <c r="C625" s="2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</row>
    <row r="626" ht="16.5" customHeight="1" s="220">
      <c r="A626" s="1" t="n"/>
      <c r="B626" s="1" t="n"/>
      <c r="C626" s="2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</row>
    <row r="627" ht="16.5" customHeight="1" s="220">
      <c r="A627" s="1" t="n"/>
      <c r="B627" s="1" t="n"/>
      <c r="C627" s="2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</row>
    <row r="628" ht="16.5" customHeight="1" s="220">
      <c r="A628" s="1" t="n"/>
      <c r="B628" s="1" t="n"/>
      <c r="C628" s="2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</row>
    <row r="629" ht="16.5" customHeight="1" s="220">
      <c r="A629" s="1" t="n"/>
      <c r="B629" s="1" t="n"/>
      <c r="C629" s="2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</row>
    <row r="630" ht="16.5" customHeight="1" s="220">
      <c r="A630" s="1" t="n"/>
      <c r="B630" s="1" t="n"/>
      <c r="C630" s="2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</row>
    <row r="631" ht="16.5" customHeight="1" s="220">
      <c r="A631" s="1" t="n"/>
      <c r="B631" s="1" t="n"/>
      <c r="C631" s="2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</row>
    <row r="632" ht="16.5" customHeight="1" s="220">
      <c r="A632" s="1" t="n"/>
      <c r="B632" s="1" t="n"/>
      <c r="C632" s="2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</row>
    <row r="633" ht="16.5" customHeight="1" s="220">
      <c r="A633" s="1" t="n"/>
      <c r="B633" s="1" t="n"/>
      <c r="C633" s="2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</row>
    <row r="634" ht="16.5" customHeight="1" s="220">
      <c r="A634" s="1" t="n"/>
      <c r="B634" s="1" t="n"/>
      <c r="C634" s="2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</row>
    <row r="635" ht="16.5" customHeight="1" s="220">
      <c r="A635" s="1" t="n"/>
      <c r="B635" s="1" t="n"/>
      <c r="C635" s="2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</row>
    <row r="636" ht="16.5" customHeight="1" s="220">
      <c r="A636" s="1" t="n"/>
      <c r="B636" s="1" t="n"/>
      <c r="C636" s="2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</row>
    <row r="637" ht="16.5" customHeight="1" s="220">
      <c r="A637" s="1" t="n"/>
      <c r="B637" s="1" t="n"/>
      <c r="C637" s="2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</row>
    <row r="638" ht="16.5" customHeight="1" s="220">
      <c r="A638" s="1" t="n"/>
      <c r="B638" s="1" t="n"/>
      <c r="C638" s="2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</row>
    <row r="639" ht="16.5" customHeight="1" s="220">
      <c r="A639" s="1" t="n"/>
      <c r="B639" s="1" t="n"/>
      <c r="C639" s="2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</row>
    <row r="640" ht="16.5" customHeight="1" s="220">
      <c r="A640" s="1" t="n"/>
      <c r="B640" s="1" t="n"/>
      <c r="C640" s="2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</row>
    <row r="641" ht="16.5" customHeight="1" s="220">
      <c r="A641" s="1" t="n"/>
      <c r="B641" s="1" t="n"/>
      <c r="C641" s="2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</row>
    <row r="642" ht="16.5" customHeight="1" s="220">
      <c r="A642" s="1" t="n"/>
      <c r="B642" s="1" t="n"/>
      <c r="C642" s="2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</row>
    <row r="643" ht="16.5" customHeight="1" s="220">
      <c r="A643" s="1" t="n"/>
      <c r="B643" s="1" t="n"/>
      <c r="C643" s="2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</row>
    <row r="644" ht="16.5" customHeight="1" s="220">
      <c r="A644" s="1" t="n"/>
      <c r="B644" s="1" t="n"/>
      <c r="C644" s="2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</row>
    <row r="645" ht="16.5" customHeight="1" s="220">
      <c r="A645" s="1" t="n"/>
      <c r="B645" s="1" t="n"/>
      <c r="C645" s="2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</row>
    <row r="646" ht="16.5" customHeight="1" s="220">
      <c r="A646" s="1" t="n"/>
      <c r="B646" s="1" t="n"/>
      <c r="C646" s="2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</row>
    <row r="647" ht="16.5" customHeight="1" s="220">
      <c r="A647" s="1" t="n"/>
      <c r="B647" s="1" t="n"/>
      <c r="C647" s="2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</row>
    <row r="648" ht="16.5" customHeight="1" s="220">
      <c r="A648" s="1" t="n"/>
      <c r="B648" s="1" t="n"/>
      <c r="C648" s="2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</row>
    <row r="649" ht="16.5" customHeight="1" s="220">
      <c r="A649" s="1" t="n"/>
      <c r="B649" s="1" t="n"/>
      <c r="C649" s="2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</row>
    <row r="650" ht="16.5" customHeight="1" s="220">
      <c r="A650" s="1" t="n"/>
      <c r="B650" s="1" t="n"/>
      <c r="C650" s="2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</row>
    <row r="651" ht="16.5" customHeight="1" s="220">
      <c r="A651" s="1" t="n"/>
      <c r="B651" s="1" t="n"/>
      <c r="C651" s="2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</row>
    <row r="652" ht="16.5" customHeight="1" s="220">
      <c r="A652" s="1" t="n"/>
      <c r="B652" s="1" t="n"/>
      <c r="C652" s="2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</row>
    <row r="653" ht="16.5" customHeight="1" s="220">
      <c r="A653" s="1" t="n"/>
      <c r="B653" s="1" t="n"/>
      <c r="C653" s="2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</row>
    <row r="654" ht="16.5" customHeight="1" s="220">
      <c r="A654" s="1" t="n"/>
      <c r="B654" s="1" t="n"/>
      <c r="C654" s="2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</row>
    <row r="655" ht="16.5" customHeight="1" s="220">
      <c r="A655" s="1" t="n"/>
      <c r="B655" s="1" t="n"/>
      <c r="C655" s="2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</row>
    <row r="656" ht="16.5" customHeight="1" s="220">
      <c r="A656" s="1" t="n"/>
      <c r="B656" s="1" t="n"/>
      <c r="C656" s="2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</row>
    <row r="657" ht="16.5" customHeight="1" s="220">
      <c r="A657" s="1" t="n"/>
      <c r="B657" s="1" t="n"/>
      <c r="C657" s="2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</row>
    <row r="658" ht="16.5" customHeight="1" s="220">
      <c r="A658" s="1" t="n"/>
      <c r="B658" s="1" t="n"/>
      <c r="C658" s="2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</row>
    <row r="659" ht="16.5" customHeight="1" s="220">
      <c r="A659" s="1" t="n"/>
      <c r="B659" s="1" t="n"/>
      <c r="C659" s="2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</row>
    <row r="660" ht="16.5" customHeight="1" s="220">
      <c r="A660" s="1" t="n"/>
      <c r="B660" s="1" t="n"/>
      <c r="C660" s="2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</row>
    <row r="661" ht="16.5" customHeight="1" s="220">
      <c r="A661" s="1" t="n"/>
      <c r="B661" s="1" t="n"/>
      <c r="C661" s="2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</row>
    <row r="662" ht="16.5" customHeight="1" s="220">
      <c r="A662" s="1" t="n"/>
      <c r="B662" s="1" t="n"/>
      <c r="C662" s="2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</row>
    <row r="663" ht="16.5" customHeight="1" s="220">
      <c r="A663" s="1" t="n"/>
      <c r="B663" s="1" t="n"/>
      <c r="C663" s="2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</row>
    <row r="664" ht="16.5" customHeight="1" s="220">
      <c r="A664" s="1" t="n"/>
      <c r="B664" s="1" t="n"/>
      <c r="C664" s="2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</row>
    <row r="665" ht="16.5" customHeight="1" s="220">
      <c r="A665" s="1" t="n"/>
      <c r="B665" s="1" t="n"/>
      <c r="C665" s="2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</row>
    <row r="666" ht="16.5" customHeight="1" s="220">
      <c r="A666" s="1" t="n"/>
      <c r="B666" s="1" t="n"/>
      <c r="C666" s="2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</row>
    <row r="667" ht="16.5" customHeight="1" s="220">
      <c r="A667" s="1" t="n"/>
      <c r="B667" s="1" t="n"/>
      <c r="C667" s="2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</row>
    <row r="668" ht="16.5" customHeight="1" s="220">
      <c r="A668" s="1" t="n"/>
      <c r="B668" s="1" t="n"/>
      <c r="C668" s="2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</row>
    <row r="669" ht="16.5" customHeight="1" s="220">
      <c r="A669" s="1" t="n"/>
      <c r="B669" s="1" t="n"/>
      <c r="C669" s="2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</row>
    <row r="670" ht="16.5" customHeight="1" s="220">
      <c r="A670" s="1" t="n"/>
      <c r="B670" s="1" t="n"/>
      <c r="C670" s="2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</row>
    <row r="671" ht="16.5" customHeight="1" s="220">
      <c r="A671" s="1" t="n"/>
      <c r="B671" s="1" t="n"/>
      <c r="C671" s="2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</row>
    <row r="672" ht="16.5" customHeight="1" s="220">
      <c r="A672" s="1" t="n"/>
      <c r="B672" s="1" t="n"/>
      <c r="C672" s="2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</row>
    <row r="673" ht="16.5" customHeight="1" s="220">
      <c r="A673" s="1" t="n"/>
      <c r="B673" s="1" t="n"/>
      <c r="C673" s="2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</row>
    <row r="674" ht="16.5" customHeight="1" s="220">
      <c r="A674" s="1" t="n"/>
      <c r="B674" s="1" t="n"/>
      <c r="C674" s="2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</row>
    <row r="675" ht="16.5" customHeight="1" s="220">
      <c r="A675" s="1" t="n"/>
      <c r="B675" s="1" t="n"/>
      <c r="C675" s="2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</row>
    <row r="676" ht="16.5" customHeight="1" s="220">
      <c r="A676" s="1" t="n"/>
      <c r="B676" s="1" t="n"/>
      <c r="C676" s="2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</row>
    <row r="677" ht="16.5" customHeight="1" s="220">
      <c r="A677" s="1" t="n"/>
      <c r="B677" s="1" t="n"/>
      <c r="C677" s="2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</row>
    <row r="678" ht="16.5" customHeight="1" s="220">
      <c r="A678" s="1" t="n"/>
      <c r="B678" s="1" t="n"/>
      <c r="C678" s="2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</row>
    <row r="679" ht="16.5" customHeight="1" s="220">
      <c r="A679" s="1" t="n"/>
      <c r="B679" s="1" t="n"/>
      <c r="C679" s="2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</row>
    <row r="680" ht="16.5" customHeight="1" s="220">
      <c r="A680" s="1" t="n"/>
      <c r="B680" s="1" t="n"/>
      <c r="C680" s="2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</row>
    <row r="681" ht="16.5" customHeight="1" s="220">
      <c r="A681" s="1" t="n"/>
      <c r="B681" s="1" t="n"/>
      <c r="C681" s="2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</row>
    <row r="682" ht="16.5" customHeight="1" s="220">
      <c r="A682" s="1" t="n"/>
      <c r="B682" s="1" t="n"/>
      <c r="C682" s="2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</row>
    <row r="683" ht="16.5" customHeight="1" s="220">
      <c r="A683" s="1" t="n"/>
      <c r="B683" s="1" t="n"/>
      <c r="C683" s="2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</row>
    <row r="684" ht="16.5" customHeight="1" s="220">
      <c r="A684" s="1" t="n"/>
      <c r="B684" s="1" t="n"/>
      <c r="C684" s="2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</row>
    <row r="685" ht="16.5" customHeight="1" s="220">
      <c r="A685" s="1" t="n"/>
      <c r="B685" s="1" t="n"/>
      <c r="C685" s="2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</row>
    <row r="686" ht="16.5" customHeight="1" s="220">
      <c r="A686" s="1" t="n"/>
      <c r="B686" s="1" t="n"/>
      <c r="C686" s="2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</row>
    <row r="687" ht="16.5" customHeight="1" s="220">
      <c r="A687" s="1" t="n"/>
      <c r="B687" s="1" t="n"/>
      <c r="C687" s="2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</row>
    <row r="688" ht="16.5" customHeight="1" s="220">
      <c r="A688" s="1" t="n"/>
      <c r="B688" s="1" t="n"/>
      <c r="C688" s="2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</row>
    <row r="689" ht="16.5" customHeight="1" s="220">
      <c r="A689" s="1" t="n"/>
      <c r="B689" s="1" t="n"/>
      <c r="C689" s="2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</row>
    <row r="690" ht="16.5" customHeight="1" s="220">
      <c r="A690" s="1" t="n"/>
      <c r="B690" s="1" t="n"/>
      <c r="C690" s="2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</row>
    <row r="691" ht="16.5" customHeight="1" s="220">
      <c r="A691" s="1" t="n"/>
      <c r="B691" s="1" t="n"/>
      <c r="C691" s="2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</row>
    <row r="692" ht="16.5" customHeight="1" s="220">
      <c r="A692" s="1" t="n"/>
      <c r="B692" s="1" t="n"/>
      <c r="C692" s="2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</row>
    <row r="693" ht="16.5" customHeight="1" s="220">
      <c r="A693" s="1" t="n"/>
      <c r="B693" s="1" t="n"/>
      <c r="C693" s="2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</row>
    <row r="694" ht="16.5" customHeight="1" s="220">
      <c r="A694" s="1" t="n"/>
      <c r="B694" s="1" t="n"/>
      <c r="C694" s="2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</row>
    <row r="695" ht="16.5" customHeight="1" s="220">
      <c r="A695" s="1" t="n"/>
      <c r="B695" s="1" t="n"/>
      <c r="C695" s="2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</row>
    <row r="696" ht="16.5" customHeight="1" s="220">
      <c r="A696" s="1" t="n"/>
      <c r="B696" s="1" t="n"/>
      <c r="C696" s="2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</row>
    <row r="697" ht="16.5" customHeight="1" s="220">
      <c r="A697" s="1" t="n"/>
      <c r="B697" s="1" t="n"/>
      <c r="C697" s="2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</row>
    <row r="698" ht="16.5" customHeight="1" s="220">
      <c r="A698" s="1" t="n"/>
      <c r="B698" s="1" t="n"/>
      <c r="C698" s="2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</row>
    <row r="699" ht="16.5" customHeight="1" s="220">
      <c r="A699" s="1" t="n"/>
      <c r="B699" s="1" t="n"/>
      <c r="C699" s="2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</row>
    <row r="700" ht="16.5" customHeight="1" s="220">
      <c r="A700" s="1" t="n"/>
      <c r="B700" s="1" t="n"/>
      <c r="C700" s="2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</row>
    <row r="701" ht="16.5" customHeight="1" s="220">
      <c r="A701" s="1" t="n"/>
      <c r="B701" s="1" t="n"/>
      <c r="C701" s="2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</row>
    <row r="702" ht="16.5" customHeight="1" s="220">
      <c r="A702" s="1" t="n"/>
      <c r="B702" s="1" t="n"/>
      <c r="C702" s="2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</row>
    <row r="703" ht="16.5" customHeight="1" s="220">
      <c r="A703" s="1" t="n"/>
      <c r="B703" s="1" t="n"/>
      <c r="C703" s="2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</row>
    <row r="704" ht="16.5" customHeight="1" s="220">
      <c r="A704" s="1" t="n"/>
      <c r="B704" s="1" t="n"/>
      <c r="C704" s="2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</row>
    <row r="705" ht="16.5" customHeight="1" s="220">
      <c r="A705" s="1" t="n"/>
      <c r="B705" s="1" t="n"/>
      <c r="C705" s="2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</row>
    <row r="706" ht="16.5" customHeight="1" s="220">
      <c r="A706" s="1" t="n"/>
      <c r="B706" s="1" t="n"/>
      <c r="C706" s="2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</row>
    <row r="707" ht="16.5" customHeight="1" s="220">
      <c r="A707" s="1" t="n"/>
      <c r="B707" s="1" t="n"/>
      <c r="C707" s="2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</row>
    <row r="708" ht="16.5" customHeight="1" s="220">
      <c r="A708" s="1" t="n"/>
      <c r="B708" s="1" t="n"/>
      <c r="C708" s="2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</row>
    <row r="709" ht="16.5" customHeight="1" s="220">
      <c r="A709" s="1" t="n"/>
      <c r="B709" s="1" t="n"/>
      <c r="C709" s="2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</row>
    <row r="710" ht="16.5" customHeight="1" s="220">
      <c r="A710" s="1" t="n"/>
      <c r="B710" s="1" t="n"/>
      <c r="C710" s="2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</row>
    <row r="711" ht="16.5" customHeight="1" s="220">
      <c r="A711" s="1" t="n"/>
      <c r="B711" s="1" t="n"/>
      <c r="C711" s="2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</row>
    <row r="712" ht="16.5" customHeight="1" s="220">
      <c r="A712" s="1" t="n"/>
      <c r="B712" s="1" t="n"/>
      <c r="C712" s="2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</row>
    <row r="713" ht="16.5" customHeight="1" s="220">
      <c r="A713" s="1" t="n"/>
      <c r="B713" s="1" t="n"/>
      <c r="C713" s="2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</row>
    <row r="714" ht="16.5" customHeight="1" s="220">
      <c r="A714" s="1" t="n"/>
      <c r="B714" s="1" t="n"/>
      <c r="C714" s="2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</row>
    <row r="715" ht="16.5" customHeight="1" s="220">
      <c r="A715" s="1" t="n"/>
      <c r="B715" s="1" t="n"/>
      <c r="C715" s="2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</row>
    <row r="716" ht="16.5" customHeight="1" s="220">
      <c r="A716" s="1" t="n"/>
      <c r="B716" s="1" t="n"/>
      <c r="C716" s="2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</row>
    <row r="717" ht="16.5" customHeight="1" s="220">
      <c r="A717" s="1" t="n"/>
      <c r="B717" s="1" t="n"/>
      <c r="C717" s="2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</row>
    <row r="718" ht="16.5" customHeight="1" s="220">
      <c r="A718" s="1" t="n"/>
      <c r="B718" s="1" t="n"/>
      <c r="C718" s="2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</row>
    <row r="719" ht="16.5" customHeight="1" s="220">
      <c r="A719" s="1" t="n"/>
      <c r="B719" s="1" t="n"/>
      <c r="C719" s="2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</row>
    <row r="720" ht="16.5" customHeight="1" s="220">
      <c r="A720" s="1" t="n"/>
      <c r="B720" s="1" t="n"/>
      <c r="C720" s="2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</row>
    <row r="721" ht="16.5" customHeight="1" s="220">
      <c r="A721" s="1" t="n"/>
      <c r="B721" s="1" t="n"/>
      <c r="C721" s="2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</row>
    <row r="722" ht="16.5" customHeight="1" s="220">
      <c r="A722" s="1" t="n"/>
      <c r="B722" s="1" t="n"/>
      <c r="C722" s="2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</row>
    <row r="723" ht="16.5" customHeight="1" s="220">
      <c r="A723" s="1" t="n"/>
      <c r="B723" s="1" t="n"/>
      <c r="C723" s="2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</row>
    <row r="724" ht="16.5" customHeight="1" s="220">
      <c r="A724" s="1" t="n"/>
      <c r="B724" s="1" t="n"/>
      <c r="C724" s="2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</row>
    <row r="725" ht="16.5" customHeight="1" s="220">
      <c r="A725" s="1" t="n"/>
      <c r="B725" s="1" t="n"/>
      <c r="C725" s="2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</row>
    <row r="726" ht="16.5" customHeight="1" s="220">
      <c r="A726" s="1" t="n"/>
      <c r="B726" s="1" t="n"/>
      <c r="C726" s="2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</row>
    <row r="727" ht="16.5" customHeight="1" s="220">
      <c r="A727" s="1" t="n"/>
      <c r="B727" s="1" t="n"/>
      <c r="C727" s="2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</row>
    <row r="728" ht="16.5" customHeight="1" s="220">
      <c r="A728" s="1" t="n"/>
      <c r="B728" s="1" t="n"/>
      <c r="C728" s="2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</row>
    <row r="729" ht="16.5" customHeight="1" s="220">
      <c r="A729" s="1" t="n"/>
      <c r="B729" s="1" t="n"/>
      <c r="C729" s="2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</row>
    <row r="730" ht="16.5" customHeight="1" s="220">
      <c r="A730" s="1" t="n"/>
      <c r="B730" s="1" t="n"/>
      <c r="C730" s="2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</row>
    <row r="731" ht="16.5" customHeight="1" s="220">
      <c r="A731" s="1" t="n"/>
      <c r="B731" s="1" t="n"/>
      <c r="C731" s="2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</row>
    <row r="732" ht="16.5" customHeight="1" s="220">
      <c r="A732" s="1" t="n"/>
      <c r="B732" s="1" t="n"/>
      <c r="C732" s="2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</row>
    <row r="733" ht="16.5" customHeight="1" s="220">
      <c r="A733" s="1" t="n"/>
      <c r="B733" s="1" t="n"/>
      <c r="C733" s="2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</row>
    <row r="734" ht="16.5" customHeight="1" s="220">
      <c r="A734" s="1" t="n"/>
      <c r="B734" s="1" t="n"/>
      <c r="C734" s="2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</row>
    <row r="735" ht="16.5" customHeight="1" s="220">
      <c r="A735" s="1" t="n"/>
      <c r="B735" s="1" t="n"/>
      <c r="C735" s="2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</row>
    <row r="736" ht="16.5" customHeight="1" s="220">
      <c r="A736" s="1" t="n"/>
      <c r="B736" s="1" t="n"/>
      <c r="C736" s="2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</row>
    <row r="737" ht="16.5" customHeight="1" s="220">
      <c r="A737" s="1" t="n"/>
      <c r="B737" s="1" t="n"/>
      <c r="C737" s="2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</row>
    <row r="738" ht="16.5" customHeight="1" s="220">
      <c r="A738" s="1" t="n"/>
      <c r="B738" s="1" t="n"/>
      <c r="C738" s="2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</row>
    <row r="739" ht="16.5" customHeight="1" s="220">
      <c r="A739" s="1" t="n"/>
      <c r="B739" s="1" t="n"/>
      <c r="C739" s="2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</row>
    <row r="740" ht="16.5" customHeight="1" s="220">
      <c r="A740" s="1" t="n"/>
      <c r="B740" s="1" t="n"/>
      <c r="C740" s="2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</row>
    <row r="741" ht="16.5" customHeight="1" s="220">
      <c r="A741" s="1" t="n"/>
      <c r="B741" s="1" t="n"/>
      <c r="C741" s="2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</row>
    <row r="742" ht="16.5" customHeight="1" s="220">
      <c r="A742" s="1" t="n"/>
      <c r="B742" s="1" t="n"/>
      <c r="C742" s="2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</row>
    <row r="743" ht="16.5" customHeight="1" s="220">
      <c r="A743" s="1" t="n"/>
      <c r="B743" s="1" t="n"/>
      <c r="C743" s="2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</row>
    <row r="744" ht="16.5" customHeight="1" s="220">
      <c r="A744" s="1" t="n"/>
      <c r="B744" s="1" t="n"/>
      <c r="C744" s="2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</row>
    <row r="745" ht="16.5" customHeight="1" s="220">
      <c r="A745" s="1" t="n"/>
      <c r="B745" s="1" t="n"/>
      <c r="C745" s="2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</row>
    <row r="746" ht="16.5" customHeight="1" s="220">
      <c r="A746" s="1" t="n"/>
      <c r="B746" s="1" t="n"/>
      <c r="C746" s="2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</row>
    <row r="747" ht="16.5" customHeight="1" s="220">
      <c r="A747" s="1" t="n"/>
      <c r="B747" s="1" t="n"/>
      <c r="C747" s="2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</row>
    <row r="748" ht="16.5" customHeight="1" s="220">
      <c r="A748" s="1" t="n"/>
      <c r="B748" s="1" t="n"/>
      <c r="C748" s="2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</row>
    <row r="749" ht="16.5" customHeight="1" s="220">
      <c r="A749" s="1" t="n"/>
      <c r="B749" s="1" t="n"/>
      <c r="C749" s="2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</row>
    <row r="750" ht="16.5" customHeight="1" s="220">
      <c r="A750" s="1" t="n"/>
      <c r="B750" s="1" t="n"/>
      <c r="C750" s="2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</row>
    <row r="751" ht="16.5" customHeight="1" s="220">
      <c r="A751" s="1" t="n"/>
      <c r="B751" s="1" t="n"/>
      <c r="C751" s="2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</row>
    <row r="752" ht="16.5" customHeight="1" s="220">
      <c r="A752" s="1" t="n"/>
      <c r="B752" s="1" t="n"/>
      <c r="C752" s="2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</row>
    <row r="753" ht="16.5" customHeight="1" s="220">
      <c r="A753" s="1" t="n"/>
      <c r="B753" s="1" t="n"/>
      <c r="C753" s="2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</row>
    <row r="754" ht="16.5" customHeight="1" s="220">
      <c r="A754" s="1" t="n"/>
      <c r="B754" s="1" t="n"/>
      <c r="C754" s="2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</row>
    <row r="755" ht="16.5" customHeight="1" s="220">
      <c r="A755" s="1" t="n"/>
      <c r="B755" s="1" t="n"/>
      <c r="C755" s="2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</row>
    <row r="756" ht="16.5" customHeight="1" s="220">
      <c r="A756" s="1" t="n"/>
      <c r="B756" s="1" t="n"/>
      <c r="C756" s="2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</row>
    <row r="757" ht="16.5" customHeight="1" s="220">
      <c r="A757" s="1" t="n"/>
      <c r="B757" s="1" t="n"/>
      <c r="C757" s="2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</row>
    <row r="758" ht="16.5" customHeight="1" s="220">
      <c r="A758" s="1" t="n"/>
      <c r="B758" s="1" t="n"/>
      <c r="C758" s="2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</row>
    <row r="759" ht="16.5" customHeight="1" s="220">
      <c r="A759" s="1" t="n"/>
      <c r="B759" s="1" t="n"/>
      <c r="C759" s="2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</row>
    <row r="760" ht="16.5" customHeight="1" s="220">
      <c r="A760" s="1" t="n"/>
      <c r="B760" s="1" t="n"/>
      <c r="C760" s="2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</row>
    <row r="761" ht="16.5" customHeight="1" s="220">
      <c r="A761" s="1" t="n"/>
      <c r="B761" s="1" t="n"/>
      <c r="C761" s="2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</row>
    <row r="762" ht="16.5" customHeight="1" s="220">
      <c r="A762" s="1" t="n"/>
      <c r="B762" s="1" t="n"/>
      <c r="C762" s="2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</row>
    <row r="763" ht="16.5" customHeight="1" s="220">
      <c r="A763" s="1" t="n"/>
      <c r="B763" s="1" t="n"/>
      <c r="C763" s="2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</row>
    <row r="764" ht="16.5" customHeight="1" s="220">
      <c r="A764" s="1" t="n"/>
      <c r="B764" s="1" t="n"/>
      <c r="C764" s="2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</row>
    <row r="765" ht="16.5" customHeight="1" s="220">
      <c r="A765" s="1" t="n"/>
      <c r="B765" s="1" t="n"/>
      <c r="C765" s="2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</row>
    <row r="766" ht="16.5" customHeight="1" s="220">
      <c r="A766" s="1" t="n"/>
      <c r="B766" s="1" t="n"/>
      <c r="C766" s="2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</row>
    <row r="767" ht="16.5" customHeight="1" s="220">
      <c r="A767" s="1" t="n"/>
      <c r="B767" s="1" t="n"/>
      <c r="C767" s="2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</row>
    <row r="768" ht="16.5" customHeight="1" s="220">
      <c r="A768" s="1" t="n"/>
      <c r="B768" s="1" t="n"/>
      <c r="C768" s="2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</row>
    <row r="769" ht="16.5" customHeight="1" s="220">
      <c r="A769" s="1" t="n"/>
      <c r="B769" s="1" t="n"/>
      <c r="C769" s="2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</row>
    <row r="770" ht="16.5" customHeight="1" s="220">
      <c r="A770" s="1" t="n"/>
      <c r="B770" s="1" t="n"/>
      <c r="C770" s="2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</row>
    <row r="771" ht="16.5" customHeight="1" s="220">
      <c r="A771" s="1" t="n"/>
      <c r="B771" s="1" t="n"/>
      <c r="C771" s="2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</row>
    <row r="772" ht="16.5" customHeight="1" s="220">
      <c r="A772" s="1" t="n"/>
      <c r="B772" s="1" t="n"/>
      <c r="C772" s="2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</row>
    <row r="773" ht="16.5" customHeight="1" s="220">
      <c r="A773" s="1" t="n"/>
      <c r="B773" s="1" t="n"/>
      <c r="C773" s="2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</row>
    <row r="774" ht="16.5" customHeight="1" s="220">
      <c r="A774" s="1" t="n"/>
      <c r="B774" s="1" t="n"/>
      <c r="C774" s="2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</row>
    <row r="775" ht="16.5" customHeight="1" s="220">
      <c r="A775" s="1" t="n"/>
      <c r="B775" s="1" t="n"/>
      <c r="C775" s="2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</row>
    <row r="776" ht="16.5" customHeight="1" s="220">
      <c r="A776" s="1" t="n"/>
      <c r="B776" s="1" t="n"/>
      <c r="C776" s="2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</row>
    <row r="777" ht="16.5" customHeight="1" s="220">
      <c r="A777" s="1" t="n"/>
      <c r="B777" s="1" t="n"/>
      <c r="C777" s="2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</row>
    <row r="778" ht="16.5" customHeight="1" s="220">
      <c r="A778" s="1" t="n"/>
      <c r="B778" s="1" t="n"/>
      <c r="C778" s="2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</row>
    <row r="779" ht="16.5" customHeight="1" s="220">
      <c r="A779" s="1" t="n"/>
      <c r="B779" s="1" t="n"/>
      <c r="C779" s="2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</row>
    <row r="780" ht="16.5" customHeight="1" s="220">
      <c r="A780" s="1" t="n"/>
      <c r="B780" s="1" t="n"/>
      <c r="C780" s="2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</row>
    <row r="781" ht="16.5" customHeight="1" s="220">
      <c r="A781" s="1" t="n"/>
      <c r="B781" s="1" t="n"/>
      <c r="C781" s="2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</row>
    <row r="782" ht="16.5" customHeight="1" s="220">
      <c r="A782" s="1" t="n"/>
      <c r="B782" s="1" t="n"/>
      <c r="C782" s="2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</row>
    <row r="783" ht="16.5" customHeight="1" s="220">
      <c r="A783" s="1" t="n"/>
      <c r="B783" s="1" t="n"/>
      <c r="C783" s="2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</row>
    <row r="784" ht="16.5" customHeight="1" s="220">
      <c r="A784" s="1" t="n"/>
      <c r="B784" s="1" t="n"/>
      <c r="C784" s="2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</row>
    <row r="785" ht="16.5" customHeight="1" s="220">
      <c r="A785" s="1" t="n"/>
      <c r="B785" s="1" t="n"/>
      <c r="C785" s="2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</row>
    <row r="786" ht="16.5" customHeight="1" s="220">
      <c r="A786" s="1" t="n"/>
      <c r="B786" s="1" t="n"/>
      <c r="C786" s="2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</row>
    <row r="787" ht="16.5" customHeight="1" s="220">
      <c r="A787" s="1" t="n"/>
      <c r="B787" s="1" t="n"/>
      <c r="C787" s="2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</row>
    <row r="788" ht="16.5" customHeight="1" s="220">
      <c r="A788" s="1" t="n"/>
      <c r="B788" s="1" t="n"/>
      <c r="C788" s="2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</row>
    <row r="789" ht="16.5" customHeight="1" s="220">
      <c r="A789" s="1" t="n"/>
      <c r="B789" s="1" t="n"/>
      <c r="C789" s="2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</row>
    <row r="790" ht="16.5" customHeight="1" s="220">
      <c r="A790" s="1" t="n"/>
      <c r="B790" s="1" t="n"/>
      <c r="C790" s="2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</row>
    <row r="791" ht="16.5" customHeight="1" s="220">
      <c r="A791" s="1" t="n"/>
      <c r="B791" s="1" t="n"/>
      <c r="C791" s="2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</row>
    <row r="792" ht="16.5" customHeight="1" s="220">
      <c r="A792" s="1" t="n"/>
      <c r="B792" s="1" t="n"/>
      <c r="C792" s="2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</row>
    <row r="793" ht="16.5" customHeight="1" s="220">
      <c r="A793" s="1" t="n"/>
      <c r="B793" s="1" t="n"/>
      <c r="C793" s="2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</row>
    <row r="794" ht="16.5" customHeight="1" s="220">
      <c r="A794" s="1" t="n"/>
      <c r="B794" s="1" t="n"/>
      <c r="C794" s="2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</row>
    <row r="795" ht="16.5" customHeight="1" s="220">
      <c r="A795" s="1" t="n"/>
      <c r="B795" s="1" t="n"/>
      <c r="C795" s="2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</row>
    <row r="796" ht="16.5" customHeight="1" s="220">
      <c r="A796" s="1" t="n"/>
      <c r="B796" s="1" t="n"/>
      <c r="C796" s="2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</row>
    <row r="797" ht="16.5" customHeight="1" s="220">
      <c r="A797" s="1" t="n"/>
      <c r="B797" s="1" t="n"/>
      <c r="C797" s="2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</row>
    <row r="798" ht="16.5" customHeight="1" s="220">
      <c r="A798" s="1" t="n"/>
      <c r="B798" s="1" t="n"/>
      <c r="C798" s="2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</row>
    <row r="799" ht="16.5" customHeight="1" s="220">
      <c r="A799" s="1" t="n"/>
      <c r="B799" s="1" t="n"/>
      <c r="C799" s="2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</row>
    <row r="800" ht="16.5" customHeight="1" s="220">
      <c r="A800" s="1" t="n"/>
      <c r="B800" s="1" t="n"/>
      <c r="C800" s="2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</row>
    <row r="801" ht="16.5" customHeight="1" s="220">
      <c r="A801" s="1" t="n"/>
      <c r="B801" s="1" t="n"/>
      <c r="C801" s="2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</row>
    <row r="802" ht="16.5" customHeight="1" s="220">
      <c r="A802" s="1" t="n"/>
      <c r="B802" s="1" t="n"/>
      <c r="C802" s="2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</row>
    <row r="803" ht="16.5" customHeight="1" s="220">
      <c r="A803" s="1" t="n"/>
      <c r="B803" s="1" t="n"/>
      <c r="C803" s="2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</row>
    <row r="804" ht="16.5" customHeight="1" s="220">
      <c r="A804" s="1" t="n"/>
      <c r="B804" s="1" t="n"/>
      <c r="C804" s="2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</row>
    <row r="805" ht="16.5" customHeight="1" s="220">
      <c r="A805" s="1" t="n"/>
      <c r="B805" s="1" t="n"/>
      <c r="C805" s="2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</row>
    <row r="806" ht="16.5" customHeight="1" s="220">
      <c r="A806" s="1" t="n"/>
      <c r="B806" s="1" t="n"/>
      <c r="C806" s="2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</row>
    <row r="807" ht="16.5" customHeight="1" s="220">
      <c r="A807" s="1" t="n"/>
      <c r="B807" s="1" t="n"/>
      <c r="C807" s="2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</row>
    <row r="808" ht="16.5" customHeight="1" s="220">
      <c r="A808" s="1" t="n"/>
      <c r="B808" s="1" t="n"/>
      <c r="C808" s="2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</row>
    <row r="809" ht="16.5" customHeight="1" s="220">
      <c r="A809" s="1" t="n"/>
      <c r="B809" s="1" t="n"/>
      <c r="C809" s="2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</row>
    <row r="810" ht="16.5" customHeight="1" s="220">
      <c r="A810" s="1" t="n"/>
      <c r="B810" s="1" t="n"/>
      <c r="C810" s="2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</row>
    <row r="811" ht="16.5" customHeight="1" s="220">
      <c r="A811" s="1" t="n"/>
      <c r="B811" s="1" t="n"/>
      <c r="C811" s="2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</row>
    <row r="812" ht="16.5" customHeight="1" s="220">
      <c r="A812" s="1" t="n"/>
      <c r="B812" s="1" t="n"/>
      <c r="C812" s="2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</row>
    <row r="813" ht="16.5" customHeight="1" s="220">
      <c r="A813" s="1" t="n"/>
      <c r="B813" s="1" t="n"/>
      <c r="C813" s="2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</row>
    <row r="814" ht="16.5" customHeight="1" s="220">
      <c r="A814" s="1" t="n"/>
      <c r="B814" s="1" t="n"/>
      <c r="C814" s="2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</row>
    <row r="815" ht="16.5" customHeight="1" s="220">
      <c r="A815" s="1" t="n"/>
      <c r="B815" s="1" t="n"/>
      <c r="C815" s="2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</row>
    <row r="816" ht="16.5" customHeight="1" s="220">
      <c r="A816" s="1" t="n"/>
      <c r="B816" s="1" t="n"/>
      <c r="C816" s="2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</row>
    <row r="817" ht="16.5" customHeight="1" s="220">
      <c r="A817" s="1" t="n"/>
      <c r="B817" s="1" t="n"/>
      <c r="C817" s="2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</row>
    <row r="818" ht="16.5" customHeight="1" s="220">
      <c r="A818" s="1" t="n"/>
      <c r="B818" s="1" t="n"/>
      <c r="C818" s="2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</row>
    <row r="819" ht="16.5" customHeight="1" s="220">
      <c r="A819" s="1" t="n"/>
      <c r="B819" s="1" t="n"/>
      <c r="C819" s="2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</row>
    <row r="820" ht="16.5" customHeight="1" s="220">
      <c r="A820" s="1" t="n"/>
      <c r="B820" s="1" t="n"/>
      <c r="C820" s="2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</row>
    <row r="821" ht="16.5" customHeight="1" s="220">
      <c r="A821" s="1" t="n"/>
      <c r="B821" s="1" t="n"/>
      <c r="C821" s="2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</row>
    <row r="822" ht="16.5" customHeight="1" s="220">
      <c r="A822" s="1" t="n"/>
      <c r="B822" s="1" t="n"/>
      <c r="C822" s="2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</row>
    <row r="823" ht="16.5" customHeight="1" s="220">
      <c r="A823" s="1" t="n"/>
      <c r="B823" s="1" t="n"/>
      <c r="C823" s="2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</row>
    <row r="824" ht="16.5" customHeight="1" s="220">
      <c r="A824" s="1" t="n"/>
      <c r="B824" s="1" t="n"/>
      <c r="C824" s="2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</row>
    <row r="825" ht="16.5" customHeight="1" s="220">
      <c r="A825" s="1" t="n"/>
      <c r="B825" s="1" t="n"/>
      <c r="C825" s="2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</row>
    <row r="826" ht="16.5" customHeight="1" s="220">
      <c r="A826" s="1" t="n"/>
      <c r="B826" s="1" t="n"/>
      <c r="C826" s="2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</row>
    <row r="827" ht="16.5" customHeight="1" s="220">
      <c r="A827" s="1" t="n"/>
      <c r="B827" s="1" t="n"/>
      <c r="C827" s="2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</row>
    <row r="828" ht="16.5" customHeight="1" s="220">
      <c r="A828" s="1" t="n"/>
      <c r="B828" s="1" t="n"/>
      <c r="C828" s="2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</row>
    <row r="829" ht="16.5" customHeight="1" s="220">
      <c r="A829" s="1" t="n"/>
      <c r="B829" s="1" t="n"/>
      <c r="C829" s="2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</row>
    <row r="830" ht="16.5" customHeight="1" s="220">
      <c r="A830" s="1" t="n"/>
      <c r="B830" s="1" t="n"/>
      <c r="C830" s="2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</row>
    <row r="831" ht="16.5" customHeight="1" s="220">
      <c r="A831" s="1" t="n"/>
      <c r="B831" s="1" t="n"/>
      <c r="C831" s="2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</row>
    <row r="832" ht="16.5" customHeight="1" s="220">
      <c r="A832" s="1" t="n"/>
      <c r="B832" s="1" t="n"/>
      <c r="C832" s="2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</row>
    <row r="833" ht="16.5" customHeight="1" s="220">
      <c r="A833" s="1" t="n"/>
      <c r="B833" s="1" t="n"/>
      <c r="C833" s="2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</row>
    <row r="834" ht="16.5" customHeight="1" s="220">
      <c r="A834" s="1" t="n"/>
      <c r="B834" s="1" t="n"/>
      <c r="C834" s="2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</row>
    <row r="835" ht="16.5" customHeight="1" s="220">
      <c r="A835" s="1" t="n"/>
      <c r="B835" s="1" t="n"/>
      <c r="C835" s="2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</row>
    <row r="836" ht="16.5" customHeight="1" s="220">
      <c r="A836" s="1" t="n"/>
      <c r="B836" s="1" t="n"/>
      <c r="C836" s="2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</row>
    <row r="837" ht="16.5" customHeight="1" s="220">
      <c r="A837" s="1" t="n"/>
      <c r="B837" s="1" t="n"/>
      <c r="C837" s="2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</row>
    <row r="838" ht="16.5" customHeight="1" s="220">
      <c r="A838" s="1" t="n"/>
      <c r="B838" s="1" t="n"/>
      <c r="C838" s="2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</row>
    <row r="839" ht="16.5" customHeight="1" s="220">
      <c r="A839" s="1" t="n"/>
      <c r="B839" s="1" t="n"/>
      <c r="C839" s="2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</row>
    <row r="840" ht="16.5" customHeight="1" s="220">
      <c r="A840" s="1" t="n"/>
      <c r="B840" s="1" t="n"/>
      <c r="C840" s="2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</row>
    <row r="841" ht="16.5" customHeight="1" s="220">
      <c r="A841" s="1" t="n"/>
      <c r="B841" s="1" t="n"/>
      <c r="C841" s="2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</row>
    <row r="842" ht="16.5" customHeight="1" s="220">
      <c r="A842" s="1" t="n"/>
      <c r="B842" s="1" t="n"/>
      <c r="C842" s="2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</row>
    <row r="843" ht="16.5" customHeight="1" s="220">
      <c r="A843" s="1" t="n"/>
      <c r="B843" s="1" t="n"/>
      <c r="C843" s="2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</row>
    <row r="844" ht="16.5" customHeight="1" s="220">
      <c r="A844" s="1" t="n"/>
      <c r="B844" s="1" t="n"/>
      <c r="C844" s="2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</row>
    <row r="845" ht="16.5" customHeight="1" s="220">
      <c r="A845" s="1" t="n"/>
      <c r="B845" s="1" t="n"/>
      <c r="C845" s="2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</row>
    <row r="846" ht="16.5" customHeight="1" s="220">
      <c r="A846" s="1" t="n"/>
      <c r="B846" s="1" t="n"/>
      <c r="C846" s="2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</row>
    <row r="847" ht="16.5" customHeight="1" s="220">
      <c r="A847" s="1" t="n"/>
      <c r="B847" s="1" t="n"/>
      <c r="C847" s="2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</row>
    <row r="848" ht="16.5" customHeight="1" s="220">
      <c r="A848" s="1" t="n"/>
      <c r="B848" s="1" t="n"/>
      <c r="C848" s="2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</row>
    <row r="849" ht="16.5" customHeight="1" s="220">
      <c r="A849" s="1" t="n"/>
      <c r="B849" s="1" t="n"/>
      <c r="C849" s="2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</row>
    <row r="850" ht="16.5" customHeight="1" s="220">
      <c r="A850" s="1" t="n"/>
      <c r="B850" s="1" t="n"/>
      <c r="C850" s="2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</row>
    <row r="851" ht="16.5" customHeight="1" s="220">
      <c r="A851" s="1" t="n"/>
      <c r="B851" s="1" t="n"/>
      <c r="C851" s="2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</row>
    <row r="852" ht="16.5" customHeight="1" s="220">
      <c r="A852" s="1" t="n"/>
      <c r="B852" s="1" t="n"/>
      <c r="C852" s="2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</row>
    <row r="853" ht="16.5" customHeight="1" s="220">
      <c r="A853" s="1" t="n"/>
      <c r="B853" s="1" t="n"/>
      <c r="C853" s="2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</row>
    <row r="854" ht="16.5" customHeight="1" s="220">
      <c r="A854" s="1" t="n"/>
      <c r="B854" s="1" t="n"/>
      <c r="C854" s="2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</row>
    <row r="855" ht="16.5" customHeight="1" s="220">
      <c r="A855" s="1" t="n"/>
      <c r="B855" s="1" t="n"/>
      <c r="C855" s="2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</row>
    <row r="856" ht="16.5" customHeight="1" s="220">
      <c r="A856" s="1" t="n"/>
      <c r="B856" s="1" t="n"/>
      <c r="C856" s="2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</row>
    <row r="857" ht="16.5" customHeight="1" s="220">
      <c r="A857" s="1" t="n"/>
      <c r="B857" s="1" t="n"/>
      <c r="C857" s="2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</row>
    <row r="858" ht="16.5" customHeight="1" s="220">
      <c r="A858" s="1" t="n"/>
      <c r="B858" s="1" t="n"/>
      <c r="C858" s="2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</row>
    <row r="859" ht="16.5" customHeight="1" s="220">
      <c r="A859" s="1" t="n"/>
      <c r="B859" s="1" t="n"/>
      <c r="C859" s="2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</row>
    <row r="860" ht="16.5" customHeight="1" s="220">
      <c r="A860" s="1" t="n"/>
      <c r="B860" s="1" t="n"/>
      <c r="C860" s="2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</row>
    <row r="861" ht="16.5" customHeight="1" s="220">
      <c r="A861" s="1" t="n"/>
      <c r="B861" s="1" t="n"/>
      <c r="C861" s="2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</row>
    <row r="862" ht="16.5" customHeight="1" s="220">
      <c r="A862" s="1" t="n"/>
      <c r="B862" s="1" t="n"/>
      <c r="C862" s="2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</row>
    <row r="863" ht="16.5" customHeight="1" s="220">
      <c r="A863" s="1" t="n"/>
      <c r="B863" s="1" t="n"/>
      <c r="C863" s="2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</row>
    <row r="864" ht="16.5" customHeight="1" s="220">
      <c r="A864" s="1" t="n"/>
      <c r="B864" s="1" t="n"/>
      <c r="C864" s="2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</row>
    <row r="865" ht="16.5" customHeight="1" s="220">
      <c r="A865" s="1" t="n"/>
      <c r="B865" s="1" t="n"/>
      <c r="C865" s="2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</row>
    <row r="866" ht="16.5" customHeight="1" s="220">
      <c r="A866" s="1" t="n"/>
      <c r="B866" s="1" t="n"/>
      <c r="C866" s="2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</row>
    <row r="867" ht="16.5" customHeight="1" s="220">
      <c r="A867" s="1" t="n"/>
      <c r="B867" s="1" t="n"/>
      <c r="C867" s="2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</row>
    <row r="868" ht="16.5" customHeight="1" s="220">
      <c r="A868" s="1" t="n"/>
      <c r="B868" s="1" t="n"/>
      <c r="C868" s="2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</row>
    <row r="869" ht="16.5" customHeight="1" s="220">
      <c r="A869" s="1" t="n"/>
      <c r="B869" s="1" t="n"/>
      <c r="C869" s="2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</row>
    <row r="870" ht="16.5" customHeight="1" s="220">
      <c r="A870" s="1" t="n"/>
      <c r="B870" s="1" t="n"/>
      <c r="C870" s="2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</row>
    <row r="871" ht="16.5" customHeight="1" s="220">
      <c r="A871" s="1" t="n"/>
      <c r="B871" s="1" t="n"/>
      <c r="C871" s="2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</row>
    <row r="872" ht="16.5" customHeight="1" s="220">
      <c r="A872" s="1" t="n"/>
      <c r="B872" s="1" t="n"/>
      <c r="C872" s="2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</row>
    <row r="873" ht="16.5" customHeight="1" s="220">
      <c r="A873" s="1" t="n"/>
      <c r="B873" s="1" t="n"/>
      <c r="C873" s="2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</row>
    <row r="874" ht="16.5" customHeight="1" s="220">
      <c r="A874" s="1" t="n"/>
      <c r="B874" s="1" t="n"/>
      <c r="C874" s="2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</row>
    <row r="875" ht="16.5" customHeight="1" s="220">
      <c r="A875" s="1" t="n"/>
      <c r="B875" s="1" t="n"/>
      <c r="C875" s="2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</row>
    <row r="876" ht="16.5" customHeight="1" s="220">
      <c r="A876" s="1" t="n"/>
      <c r="B876" s="1" t="n"/>
      <c r="C876" s="2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</row>
    <row r="877" ht="16.5" customHeight="1" s="220">
      <c r="A877" s="1" t="n"/>
      <c r="B877" s="1" t="n"/>
      <c r="C877" s="2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</row>
    <row r="878" ht="16.5" customHeight="1" s="220">
      <c r="A878" s="1" t="n"/>
      <c r="B878" s="1" t="n"/>
      <c r="C878" s="2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</row>
    <row r="879" ht="16.5" customHeight="1" s="220">
      <c r="A879" s="1" t="n"/>
      <c r="B879" s="1" t="n"/>
      <c r="C879" s="2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</row>
    <row r="880" ht="16.5" customHeight="1" s="220">
      <c r="A880" s="1" t="n"/>
      <c r="B880" s="1" t="n"/>
      <c r="C880" s="2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</row>
    <row r="881" ht="16.5" customHeight="1" s="220">
      <c r="A881" s="1" t="n"/>
      <c r="B881" s="1" t="n"/>
      <c r="C881" s="2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</row>
    <row r="882" ht="16.5" customHeight="1" s="220">
      <c r="A882" s="1" t="n"/>
      <c r="B882" s="1" t="n"/>
      <c r="C882" s="2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</row>
    <row r="883" ht="16.5" customHeight="1" s="220">
      <c r="A883" s="1" t="n"/>
      <c r="B883" s="1" t="n"/>
      <c r="C883" s="2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</row>
    <row r="884" ht="16.5" customHeight="1" s="220">
      <c r="A884" s="1" t="n"/>
      <c r="B884" s="1" t="n"/>
      <c r="C884" s="2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</row>
    <row r="885" ht="16.5" customHeight="1" s="220">
      <c r="A885" s="1" t="n"/>
      <c r="B885" s="1" t="n"/>
      <c r="C885" s="2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</row>
    <row r="886" ht="16.5" customHeight="1" s="220">
      <c r="A886" s="1" t="n"/>
      <c r="B886" s="1" t="n"/>
      <c r="C886" s="2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</row>
    <row r="887" ht="16.5" customHeight="1" s="220">
      <c r="A887" s="1" t="n"/>
      <c r="B887" s="1" t="n"/>
      <c r="C887" s="2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</row>
    <row r="888" ht="16.5" customHeight="1" s="220">
      <c r="A888" s="1" t="n"/>
      <c r="B888" s="1" t="n"/>
      <c r="C888" s="2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</row>
    <row r="889" ht="16.5" customHeight="1" s="220">
      <c r="A889" s="1" t="n"/>
      <c r="B889" s="1" t="n"/>
      <c r="C889" s="2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</row>
    <row r="890" ht="16.5" customHeight="1" s="220">
      <c r="A890" s="1" t="n"/>
      <c r="B890" s="1" t="n"/>
      <c r="C890" s="2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</row>
    <row r="891" ht="16.5" customHeight="1" s="220">
      <c r="A891" s="1" t="n"/>
      <c r="B891" s="1" t="n"/>
      <c r="C891" s="2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</row>
    <row r="892" ht="16.5" customHeight="1" s="220">
      <c r="A892" s="1" t="n"/>
      <c r="B892" s="1" t="n"/>
      <c r="C892" s="2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</row>
    <row r="893" ht="16.5" customHeight="1" s="220">
      <c r="A893" s="1" t="n"/>
      <c r="B893" s="1" t="n"/>
      <c r="C893" s="2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</row>
    <row r="894" ht="16.5" customHeight="1" s="220">
      <c r="A894" s="1" t="n"/>
      <c r="B894" s="1" t="n"/>
      <c r="C894" s="2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</row>
    <row r="895" ht="16.5" customHeight="1" s="220">
      <c r="A895" s="1" t="n"/>
      <c r="B895" s="1" t="n"/>
      <c r="C895" s="2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</row>
    <row r="896" ht="16.5" customHeight="1" s="220">
      <c r="A896" s="1" t="n"/>
      <c r="B896" s="1" t="n"/>
      <c r="C896" s="2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</row>
    <row r="897" ht="16.5" customHeight="1" s="220">
      <c r="A897" s="1" t="n"/>
      <c r="B897" s="1" t="n"/>
      <c r="C897" s="2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</row>
    <row r="898" ht="16.5" customHeight="1" s="220">
      <c r="A898" s="1" t="n"/>
      <c r="B898" s="1" t="n"/>
      <c r="C898" s="2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</row>
    <row r="899" ht="16.5" customHeight="1" s="220">
      <c r="A899" s="1" t="n"/>
      <c r="B899" s="1" t="n"/>
      <c r="C899" s="2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</row>
    <row r="900" ht="16.5" customHeight="1" s="220">
      <c r="A900" s="1" t="n"/>
      <c r="B900" s="1" t="n"/>
      <c r="C900" s="2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</row>
    <row r="901" ht="16.5" customHeight="1" s="220">
      <c r="A901" s="1" t="n"/>
      <c r="B901" s="1" t="n"/>
      <c r="C901" s="2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</row>
    <row r="902" ht="16.5" customHeight="1" s="220">
      <c r="A902" s="1" t="n"/>
      <c r="B902" s="1" t="n"/>
      <c r="C902" s="2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</row>
    <row r="903" ht="16.5" customHeight="1" s="220">
      <c r="A903" s="1" t="n"/>
      <c r="B903" s="1" t="n"/>
      <c r="C903" s="2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</row>
    <row r="904" ht="16.5" customHeight="1" s="220">
      <c r="A904" s="1" t="n"/>
      <c r="B904" s="1" t="n"/>
      <c r="C904" s="2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</row>
    <row r="905" ht="16.5" customHeight="1" s="220">
      <c r="A905" s="1" t="n"/>
      <c r="B905" s="1" t="n"/>
      <c r="C905" s="2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</row>
    <row r="906" ht="16.5" customHeight="1" s="220">
      <c r="A906" s="1" t="n"/>
      <c r="B906" s="1" t="n"/>
      <c r="C906" s="2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</row>
    <row r="907" ht="16.5" customHeight="1" s="220">
      <c r="A907" s="1" t="n"/>
      <c r="B907" s="1" t="n"/>
      <c r="C907" s="2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</row>
    <row r="908" ht="16.5" customHeight="1" s="220">
      <c r="A908" s="1" t="n"/>
      <c r="B908" s="1" t="n"/>
      <c r="C908" s="2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</row>
    <row r="909" ht="16.5" customHeight="1" s="220">
      <c r="A909" s="1" t="n"/>
      <c r="B909" s="1" t="n"/>
      <c r="C909" s="2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</row>
    <row r="910" ht="16.5" customHeight="1" s="220">
      <c r="A910" s="1" t="n"/>
      <c r="B910" s="1" t="n"/>
      <c r="C910" s="2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</row>
    <row r="911" ht="16.5" customHeight="1" s="220">
      <c r="A911" s="1" t="n"/>
      <c r="B911" s="1" t="n"/>
      <c r="C911" s="2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</row>
    <row r="912" ht="16.5" customHeight="1" s="220">
      <c r="A912" s="1" t="n"/>
      <c r="B912" s="1" t="n"/>
      <c r="C912" s="2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</row>
    <row r="913" ht="16.5" customHeight="1" s="220">
      <c r="A913" s="1" t="n"/>
      <c r="B913" s="1" t="n"/>
      <c r="C913" s="2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</row>
    <row r="914" ht="16.5" customHeight="1" s="220">
      <c r="A914" s="1" t="n"/>
      <c r="B914" s="1" t="n"/>
      <c r="C914" s="2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</row>
    <row r="915" ht="16.5" customHeight="1" s="220">
      <c r="A915" s="1" t="n"/>
      <c r="B915" s="1" t="n"/>
      <c r="C915" s="2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</row>
    <row r="916" ht="16.5" customHeight="1" s="220">
      <c r="A916" s="1" t="n"/>
      <c r="B916" s="1" t="n"/>
      <c r="C916" s="2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</row>
    <row r="917" ht="16.5" customHeight="1" s="220">
      <c r="A917" s="1" t="n"/>
      <c r="B917" s="1" t="n"/>
      <c r="C917" s="2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</row>
    <row r="918" ht="16.5" customHeight="1" s="220">
      <c r="A918" s="1" t="n"/>
      <c r="B918" s="1" t="n"/>
      <c r="C918" s="2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</row>
    <row r="919" ht="16.5" customHeight="1" s="220">
      <c r="A919" s="1" t="n"/>
      <c r="B919" s="1" t="n"/>
      <c r="C919" s="2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</row>
    <row r="920" ht="16.5" customHeight="1" s="220">
      <c r="A920" s="1" t="n"/>
      <c r="B920" s="1" t="n"/>
      <c r="C920" s="2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</row>
    <row r="921" ht="16.5" customHeight="1" s="220">
      <c r="A921" s="1" t="n"/>
      <c r="B921" s="1" t="n"/>
      <c r="C921" s="2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</row>
    <row r="922" ht="16.5" customHeight="1" s="220">
      <c r="A922" s="1" t="n"/>
      <c r="B922" s="1" t="n"/>
      <c r="C922" s="2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</row>
    <row r="923" ht="16.5" customHeight="1" s="220">
      <c r="A923" s="1" t="n"/>
      <c r="B923" s="1" t="n"/>
      <c r="C923" s="2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</row>
    <row r="924" ht="16.5" customHeight="1" s="220">
      <c r="A924" s="1" t="n"/>
      <c r="B924" s="1" t="n"/>
      <c r="C924" s="2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</row>
    <row r="925" ht="16.5" customHeight="1" s="220">
      <c r="A925" s="1" t="n"/>
      <c r="B925" s="1" t="n"/>
      <c r="C925" s="2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</row>
    <row r="926" ht="16.5" customHeight="1" s="220">
      <c r="A926" s="1" t="n"/>
      <c r="B926" s="1" t="n"/>
      <c r="C926" s="2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</row>
    <row r="927" ht="16.5" customHeight="1" s="220">
      <c r="A927" s="1" t="n"/>
      <c r="B927" s="1" t="n"/>
      <c r="C927" s="2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</row>
    <row r="928" ht="16.5" customHeight="1" s="220">
      <c r="A928" s="1" t="n"/>
      <c r="B928" s="1" t="n"/>
      <c r="C928" s="2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</row>
    <row r="929" ht="16.5" customHeight="1" s="220">
      <c r="A929" s="1" t="n"/>
      <c r="B929" s="1" t="n"/>
      <c r="C929" s="2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</row>
    <row r="930" ht="16.5" customHeight="1" s="220">
      <c r="A930" s="1" t="n"/>
      <c r="B930" s="1" t="n"/>
      <c r="C930" s="2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</row>
    <row r="931" ht="16.5" customHeight="1" s="220">
      <c r="A931" s="1" t="n"/>
      <c r="B931" s="1" t="n"/>
      <c r="C931" s="2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</row>
    <row r="932" ht="16.5" customHeight="1" s="220">
      <c r="A932" s="1" t="n"/>
      <c r="B932" s="1" t="n"/>
      <c r="C932" s="2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</row>
    <row r="933" ht="16.5" customHeight="1" s="220">
      <c r="A933" s="1" t="n"/>
      <c r="B933" s="1" t="n"/>
      <c r="C933" s="2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</row>
    <row r="934" ht="16.5" customHeight="1" s="220">
      <c r="A934" s="1" t="n"/>
      <c r="B934" s="1" t="n"/>
      <c r="C934" s="2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</row>
    <row r="935" ht="16.5" customHeight="1" s="220">
      <c r="A935" s="1" t="n"/>
      <c r="B935" s="1" t="n"/>
      <c r="C935" s="2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</row>
    <row r="936" ht="16.5" customHeight="1" s="220">
      <c r="A936" s="1" t="n"/>
      <c r="B936" s="1" t="n"/>
      <c r="C936" s="2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</row>
    <row r="937" ht="16.5" customHeight="1" s="220">
      <c r="A937" s="1" t="n"/>
      <c r="B937" s="1" t="n"/>
      <c r="C937" s="2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</row>
    <row r="938" ht="16.5" customHeight="1" s="220">
      <c r="A938" s="1" t="n"/>
      <c r="B938" s="1" t="n"/>
      <c r="C938" s="2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</row>
    <row r="939" ht="16.5" customHeight="1" s="220">
      <c r="A939" s="1" t="n"/>
      <c r="B939" s="1" t="n"/>
      <c r="C939" s="2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</row>
    <row r="940" ht="16.5" customHeight="1" s="220">
      <c r="A940" s="1" t="n"/>
      <c r="B940" s="1" t="n"/>
      <c r="C940" s="2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</row>
    <row r="941" ht="16.5" customHeight="1" s="220">
      <c r="A941" s="1" t="n"/>
      <c r="B941" s="1" t="n"/>
      <c r="C941" s="2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</row>
    <row r="942" ht="16.5" customHeight="1" s="220">
      <c r="A942" s="1" t="n"/>
      <c r="B942" s="1" t="n"/>
      <c r="C942" s="2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</row>
    <row r="943" ht="16.5" customHeight="1" s="220">
      <c r="A943" s="1" t="n"/>
      <c r="B943" s="1" t="n"/>
      <c r="C943" s="2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</row>
    <row r="944" ht="16.5" customHeight="1" s="220">
      <c r="A944" s="1" t="n"/>
      <c r="B944" s="1" t="n"/>
      <c r="C944" s="2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</row>
    <row r="945" ht="16.5" customHeight="1" s="220">
      <c r="A945" s="1" t="n"/>
      <c r="B945" s="1" t="n"/>
      <c r="C945" s="2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</row>
    <row r="946" ht="16.5" customHeight="1" s="220">
      <c r="A946" s="1" t="n"/>
      <c r="B946" s="1" t="n"/>
      <c r="C946" s="2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</row>
    <row r="947" ht="16.5" customHeight="1" s="220">
      <c r="A947" s="1" t="n"/>
      <c r="B947" s="1" t="n"/>
      <c r="C947" s="2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</row>
    <row r="948" ht="16.5" customHeight="1" s="220">
      <c r="A948" s="1" t="n"/>
      <c r="B948" s="1" t="n"/>
      <c r="C948" s="2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</row>
    <row r="949" ht="16.5" customHeight="1" s="220">
      <c r="A949" s="1" t="n"/>
      <c r="B949" s="1" t="n"/>
      <c r="C949" s="2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</row>
    <row r="950" ht="16.5" customHeight="1" s="220">
      <c r="A950" s="1" t="n"/>
      <c r="B950" s="1" t="n"/>
      <c r="C950" s="2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</row>
    <row r="951" ht="16.5" customHeight="1" s="220">
      <c r="A951" s="1" t="n"/>
      <c r="B951" s="1" t="n"/>
      <c r="C951" s="2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</row>
    <row r="952" ht="16.5" customHeight="1" s="220">
      <c r="A952" s="1" t="n"/>
      <c r="B952" s="1" t="n"/>
      <c r="C952" s="2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</row>
    <row r="953" ht="16.5" customHeight="1" s="220">
      <c r="A953" s="1" t="n"/>
      <c r="B953" s="1" t="n"/>
      <c r="C953" s="2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</row>
    <row r="954" ht="16.5" customHeight="1" s="220">
      <c r="A954" s="1" t="n"/>
      <c r="B954" s="1" t="n"/>
      <c r="C954" s="2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</row>
    <row r="955" ht="16.5" customHeight="1" s="220">
      <c r="A955" s="1" t="n"/>
      <c r="B955" s="1" t="n"/>
      <c r="C955" s="2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</row>
    <row r="956" ht="16.5" customHeight="1" s="220">
      <c r="A956" s="1" t="n"/>
      <c r="B956" s="1" t="n"/>
      <c r="C956" s="2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</row>
    <row r="957" ht="16.5" customHeight="1" s="220">
      <c r="A957" s="1" t="n"/>
      <c r="B957" s="1" t="n"/>
      <c r="C957" s="2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</row>
    <row r="958" ht="16.5" customHeight="1" s="220">
      <c r="A958" s="1" t="n"/>
      <c r="B958" s="1" t="n"/>
      <c r="C958" s="2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</row>
    <row r="959" ht="16.5" customHeight="1" s="220">
      <c r="A959" s="1" t="n"/>
      <c r="B959" s="1" t="n"/>
      <c r="C959" s="2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</row>
    <row r="960" ht="16.5" customHeight="1" s="220">
      <c r="A960" s="1" t="n"/>
      <c r="B960" s="1" t="n"/>
      <c r="C960" s="2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</row>
    <row r="961" ht="16.5" customHeight="1" s="220">
      <c r="A961" s="1" t="n"/>
      <c r="B961" s="1" t="n"/>
      <c r="C961" s="2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</row>
    <row r="962" ht="16.5" customHeight="1" s="220">
      <c r="A962" s="1" t="n"/>
      <c r="B962" s="1" t="n"/>
      <c r="C962" s="2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</row>
    <row r="963" ht="16.5" customHeight="1" s="220">
      <c r="A963" s="1" t="n"/>
      <c r="B963" s="1" t="n"/>
      <c r="C963" s="2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</row>
    <row r="964" ht="16.5" customHeight="1" s="220">
      <c r="A964" s="1" t="n"/>
      <c r="B964" s="1" t="n"/>
      <c r="C964" s="2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</row>
    <row r="965" ht="16.5" customHeight="1" s="220">
      <c r="A965" s="1" t="n"/>
      <c r="B965" s="1" t="n"/>
      <c r="C965" s="2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</row>
    <row r="966" ht="16.5" customHeight="1" s="220">
      <c r="A966" s="1" t="n"/>
      <c r="B966" s="1" t="n"/>
      <c r="C966" s="2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</row>
    <row r="967" ht="16.5" customHeight="1" s="220">
      <c r="A967" s="1" t="n"/>
      <c r="B967" s="1" t="n"/>
      <c r="C967" s="2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</row>
    <row r="968" ht="16.5" customHeight="1" s="220">
      <c r="A968" s="1" t="n"/>
      <c r="B968" s="1" t="n"/>
      <c r="C968" s="2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</row>
    <row r="969" ht="16.5" customHeight="1" s="220">
      <c r="A969" s="1" t="n"/>
      <c r="B969" s="1" t="n"/>
      <c r="C969" s="2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</row>
    <row r="970" ht="16.5" customHeight="1" s="220">
      <c r="A970" s="1" t="n"/>
      <c r="B970" s="1" t="n"/>
      <c r="C970" s="2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</row>
    <row r="971" ht="16.5" customHeight="1" s="220">
      <c r="A971" s="1" t="n"/>
      <c r="B971" s="1" t="n"/>
      <c r="C971" s="2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</row>
    <row r="972" ht="16.5" customHeight="1" s="220">
      <c r="A972" s="1" t="n"/>
      <c r="B972" s="1" t="n"/>
      <c r="C972" s="2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</row>
    <row r="973" ht="16.5" customHeight="1" s="220">
      <c r="A973" s="1" t="n"/>
      <c r="B973" s="1" t="n"/>
      <c r="C973" s="2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</row>
    <row r="974" ht="16.5" customHeight="1" s="220">
      <c r="A974" s="1" t="n"/>
      <c r="B974" s="1" t="n"/>
      <c r="C974" s="2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</row>
    <row r="975" ht="16.5" customHeight="1" s="220">
      <c r="A975" s="1" t="n"/>
      <c r="B975" s="1" t="n"/>
      <c r="C975" s="2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</row>
    <row r="976" ht="16.5" customHeight="1" s="220">
      <c r="A976" s="1" t="n"/>
      <c r="B976" s="1" t="n"/>
      <c r="C976" s="2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</row>
    <row r="977" ht="16.5" customHeight="1" s="220">
      <c r="A977" s="1" t="n"/>
      <c r="B977" s="1" t="n"/>
      <c r="C977" s="2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</row>
    <row r="978" ht="16.5" customHeight="1" s="220">
      <c r="A978" s="1" t="n"/>
      <c r="B978" s="1" t="n"/>
      <c r="C978" s="2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</row>
    <row r="979" ht="16.5" customHeight="1" s="220">
      <c r="A979" s="1" t="n"/>
      <c r="B979" s="1" t="n"/>
      <c r="C979" s="2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</row>
    <row r="980" ht="16.5" customHeight="1" s="220">
      <c r="A980" s="1" t="n"/>
      <c r="B980" s="1" t="n"/>
      <c r="C980" s="2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</row>
    <row r="981" ht="16.5" customHeight="1" s="220">
      <c r="A981" s="1" t="n"/>
      <c r="B981" s="1" t="n"/>
      <c r="C981" s="2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</row>
    <row r="982" ht="16.5" customHeight="1" s="220">
      <c r="A982" s="1" t="n"/>
      <c r="B982" s="1" t="n"/>
      <c r="C982" s="2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</row>
    <row r="983" ht="16.5" customHeight="1" s="220">
      <c r="A983" s="1" t="n"/>
      <c r="B983" s="1" t="n"/>
      <c r="C983" s="2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</row>
    <row r="984" ht="16.5" customHeight="1" s="220">
      <c r="A984" s="1" t="n"/>
      <c r="B984" s="1" t="n"/>
      <c r="C984" s="2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</row>
    <row r="985" ht="16.5" customHeight="1" s="220">
      <c r="A985" s="1" t="n"/>
      <c r="B985" s="1" t="n"/>
      <c r="C985" s="2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</row>
    <row r="986" ht="16.5" customHeight="1" s="220">
      <c r="A986" s="1" t="n"/>
      <c r="B986" s="1" t="n"/>
      <c r="C986" s="2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</row>
    <row r="987" ht="16.5" customHeight="1" s="220">
      <c r="A987" s="1" t="n"/>
      <c r="B987" s="1" t="n"/>
      <c r="C987" s="2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</row>
    <row r="988" ht="16.5" customHeight="1" s="220">
      <c r="A988" s="1" t="n"/>
      <c r="B988" s="1" t="n"/>
      <c r="C988" s="2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</row>
    <row r="989" ht="16.5" customHeight="1" s="220">
      <c r="A989" s="1" t="n"/>
      <c r="B989" s="1" t="n"/>
      <c r="C989" s="2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</row>
    <row r="990" ht="16.5" customHeight="1" s="220">
      <c r="A990" s="1" t="n"/>
      <c r="B990" s="1" t="n"/>
      <c r="C990" s="2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</row>
    <row r="991" ht="16.5" customHeight="1" s="220">
      <c r="A991" s="1" t="n"/>
      <c r="B991" s="1" t="n"/>
      <c r="C991" s="2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</row>
    <row r="992" ht="16.5" customHeight="1" s="220">
      <c r="A992" s="1" t="n"/>
      <c r="B992" s="1" t="n"/>
      <c r="C992" s="2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</row>
    <row r="993" ht="16.5" customHeight="1" s="220">
      <c r="A993" s="1" t="n"/>
      <c r="B993" s="1" t="n"/>
      <c r="C993" s="2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</row>
    <row r="994" ht="16.5" customHeight="1" s="220">
      <c r="A994" s="1" t="n"/>
      <c r="B994" s="1" t="n"/>
      <c r="C994" s="2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</row>
    <row r="995" ht="16.5" customHeight="1" s="220">
      <c r="A995" s="1" t="n"/>
      <c r="B995" s="1" t="n"/>
      <c r="C995" s="2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</row>
    <row r="996" ht="16.5" customHeight="1" s="220">
      <c r="A996" s="1" t="n"/>
      <c r="B996" s="1" t="n"/>
      <c r="C996" s="2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</row>
    <row r="997" ht="16.5" customHeight="1" s="220">
      <c r="A997" s="1" t="n"/>
      <c r="B997" s="1" t="n"/>
      <c r="C997" s="2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</row>
    <row r="998" ht="16.5" customHeight="1" s="220">
      <c r="A998" s="1" t="n"/>
      <c r="B998" s="1" t="n"/>
      <c r="C998" s="2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</row>
    <row r="999" ht="16.5" customHeight="1" s="220">
      <c r="A999" s="1" t="n"/>
      <c r="B999" s="1" t="n"/>
      <c r="C999" s="2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</row>
    <row r="1000" ht="16.5" customHeight="1" s="220">
      <c r="A1000" s="1" t="n"/>
      <c r="B1000" s="1" t="n"/>
      <c r="C1000" s="2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</row>
  </sheetData>
  <mergeCells count="36">
    <mergeCell ref="F4:G4"/>
    <mergeCell ref="Y5:AA5"/>
    <mergeCell ref="Q5:S5"/>
    <mergeCell ref="B3:C3"/>
    <mergeCell ref="V33:W33"/>
    <mergeCell ref="N4:O4"/>
    <mergeCell ref="R4:S4"/>
    <mergeCell ref="F3:G3"/>
    <mergeCell ref="V4:W4"/>
    <mergeCell ref="AE3:AF3"/>
    <mergeCell ref="N3:O3"/>
    <mergeCell ref="A5:C5"/>
    <mergeCell ref="I5:K5"/>
    <mergeCell ref="F33:G33"/>
    <mergeCell ref="N33:O33"/>
    <mergeCell ref="AE33:AF33"/>
    <mergeCell ref="Z3:AA3"/>
    <mergeCell ref="J4:K4"/>
    <mergeCell ref="AJ3:AK3"/>
    <mergeCell ref="U5:W5"/>
    <mergeCell ref="AI5:AK5"/>
    <mergeCell ref="AJ33:AK33"/>
    <mergeCell ref="Z33:AA33"/>
    <mergeCell ref="R3:S3"/>
    <mergeCell ref="J3:K3"/>
    <mergeCell ref="AJ4:AK4"/>
    <mergeCell ref="Z4:AA4"/>
    <mergeCell ref="AD5:AF5"/>
    <mergeCell ref="B33:C33"/>
    <mergeCell ref="E5:G5"/>
    <mergeCell ref="M5:O5"/>
    <mergeCell ref="J33:K33"/>
    <mergeCell ref="R33:S33"/>
    <mergeCell ref="B4:C4"/>
    <mergeCell ref="V3:W3"/>
    <mergeCell ref="AE4:AF4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32.5" customWidth="1" style="220" min="1" max="1"/>
    <col width="76.13" customWidth="1" style="220" min="2" max="2"/>
    <col width="43.5" customWidth="1" style="220" min="3" max="3"/>
    <col width="23.5" customWidth="1" style="220" min="4" max="4"/>
    <col hidden="1" width="33" customWidth="1" style="220" min="5" max="5"/>
    <col hidden="1" width="56.75" customWidth="1" style="220" min="6" max="6"/>
    <col hidden="1" width="33.88" customWidth="1" style="220" min="7" max="7"/>
    <col hidden="1" width="28" customWidth="1" style="220" min="8" max="8"/>
    <col width="33" customWidth="1" style="220" min="9" max="9"/>
    <col width="56.75" customWidth="1" style="220" min="10" max="10"/>
    <col width="30.13" customWidth="1" style="220" min="11" max="11"/>
    <col width="28" customWidth="1" style="220" min="12" max="12"/>
    <col width="33.13" customWidth="1" style="220" min="13" max="13"/>
    <col width="56.75" customWidth="1" style="220" min="14" max="14"/>
    <col width="30.13" customWidth="1" style="220" min="15" max="15"/>
    <col width="41.75" customWidth="1" style="220" min="16" max="16"/>
    <col hidden="1" width="28.13" customWidth="1" style="220" min="17" max="17"/>
    <col hidden="1" width="56.75" customWidth="1" style="220" min="18" max="18"/>
    <col hidden="1" width="30.13" customWidth="1" style="220" min="19" max="19"/>
    <col hidden="1" width="27.38" customWidth="1" style="220" min="20" max="20"/>
    <col hidden="1" width="33.38" customWidth="1" style="220" min="21" max="21"/>
    <col hidden="1" width="56.75" customWidth="1" style="220" min="22" max="22"/>
    <col hidden="1" width="30.13" customWidth="1" style="220" min="23" max="23"/>
    <col hidden="1" width="47.63" customWidth="1" style="220" min="24" max="24"/>
    <col hidden="1" width="33.88" customWidth="1" style="220" min="25" max="25"/>
    <col hidden="1" width="56.75" customWidth="1" style="220" min="26" max="26"/>
    <col hidden="1" width="30.13" customWidth="1" style="220" min="27" max="27"/>
    <col hidden="1" width="22.88" customWidth="1" style="220" min="28" max="28"/>
    <col hidden="1" width="8" customWidth="1" style="220" min="29" max="29"/>
    <col hidden="1" width="32.75" customWidth="1" style="220" min="30" max="30"/>
    <col hidden="1" width="56.75" customWidth="1" style="220" min="31" max="31"/>
    <col hidden="1" width="30.13" customWidth="1" style="220" min="32" max="32"/>
    <col hidden="1" width="22.88" customWidth="1" style="220" min="33" max="33"/>
    <col width="8.880000000000001" customWidth="1" style="220" min="34" max="34"/>
    <col hidden="1" width="31.88" customWidth="1" style="220" min="35" max="35"/>
    <col hidden="1" width="52.63" customWidth="1" style="220" min="36" max="36"/>
    <col hidden="1" width="20" customWidth="1" style="220" min="37" max="37"/>
    <col hidden="1" width="19.25" customWidth="1" style="220" min="38" max="38"/>
    <col hidden="1" width="15.88" customWidth="1" style="220" min="39" max="39"/>
    <col hidden="1" width="31.88" customWidth="1" style="220" min="40" max="40"/>
    <col hidden="1" width="52.63" customWidth="1" style="220" min="41" max="41"/>
    <col hidden="1" width="24.5" customWidth="1" style="220" min="42" max="42"/>
    <col hidden="1" width="22.63" customWidth="1" style="220" min="43" max="43"/>
    <col hidden="1" width="8" customWidth="1" style="220" min="44" max="44"/>
    <col hidden="1" width="31.88" customWidth="1" style="220" min="45" max="45"/>
    <col hidden="1" width="52.63" customWidth="1" style="220" min="46" max="46"/>
    <col hidden="1" width="19.5" customWidth="1" style="220" min="47" max="47"/>
    <col hidden="1" width="11.5" customWidth="1" style="220" min="48" max="48"/>
    <col width="8.880000000000001" customWidth="1" style="220" min="49" max="49"/>
    <col hidden="1" width="31.88" customWidth="1" style="220" min="50" max="50"/>
    <col hidden="1" width="52.63" customWidth="1" style="220" min="51" max="51"/>
    <col hidden="1" width="19.5" customWidth="1" style="220" min="52" max="52"/>
    <col hidden="1" width="8" customWidth="1" style="220" min="53" max="53"/>
  </cols>
  <sheetData>
    <row r="1" ht="16.5" customHeight="1" s="220">
      <c r="A1" s="1" t="n"/>
      <c r="B1" s="1" t="n"/>
      <c r="C1" s="2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</row>
    <row r="2" ht="17.25" customHeight="1" s="220">
      <c r="A2" s="1" t="n"/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</row>
    <row r="3" ht="23.25" customHeight="1" s="220">
      <c r="A3" s="3" t="inlineStr">
        <is>
          <t>MONTH/YEAR:</t>
        </is>
      </c>
      <c r="B3" s="221" t="n">
        <v>46023</v>
      </c>
      <c r="C3" s="222" t="n"/>
      <c r="D3" s="1" t="n"/>
      <c r="E3" s="3" t="inlineStr">
        <is>
          <t>MONTH/YEAR:</t>
        </is>
      </c>
      <c r="F3" s="221">
        <f>B3</f>
        <v/>
      </c>
      <c r="G3" s="222" t="n"/>
      <c r="H3" s="1" t="n"/>
      <c r="I3" s="3" t="inlineStr">
        <is>
          <t>MONTH/YEAR:</t>
        </is>
      </c>
      <c r="J3" s="221">
        <f>B3</f>
        <v/>
      </c>
      <c r="K3" s="222" t="n"/>
      <c r="L3" s="1" t="n"/>
      <c r="M3" s="3" t="inlineStr">
        <is>
          <t>MONTH/YEAR:</t>
        </is>
      </c>
      <c r="N3" s="221">
        <f>B3</f>
        <v/>
      </c>
      <c r="O3" s="222" t="n"/>
      <c r="P3" s="1" t="n"/>
      <c r="Q3" s="3" t="inlineStr">
        <is>
          <t>MONTH/YEAR:</t>
        </is>
      </c>
      <c r="R3" s="221">
        <f>B3</f>
        <v/>
      </c>
      <c r="S3" s="222" t="n"/>
      <c r="T3" s="1" t="n"/>
      <c r="U3" s="3" t="inlineStr">
        <is>
          <t>MONTH/YEAR:</t>
        </is>
      </c>
      <c r="V3" s="221">
        <f>B3</f>
        <v/>
      </c>
      <c r="W3" s="222" t="n"/>
      <c r="X3" s="1" t="n"/>
      <c r="Y3" s="3" t="inlineStr">
        <is>
          <t>MONTH/YEAR:</t>
        </is>
      </c>
      <c r="Z3" s="221">
        <f>B3</f>
        <v/>
      </c>
      <c r="AA3" s="222" t="n"/>
      <c r="AB3" s="1" t="n"/>
      <c r="AC3" s="1" t="n"/>
      <c r="AD3" s="3" t="inlineStr">
        <is>
          <t>MONTH/YEAR:</t>
        </is>
      </c>
      <c r="AE3" s="221">
        <f>B3</f>
        <v/>
      </c>
      <c r="AF3" s="222" t="n"/>
      <c r="AG3" s="1" t="n"/>
      <c r="AH3" s="1" t="n"/>
      <c r="AI3" s="3" t="inlineStr">
        <is>
          <t>MONTH/YEAR:</t>
        </is>
      </c>
      <c r="AJ3" s="221">
        <f>AE3</f>
        <v/>
      </c>
      <c r="AK3" s="222" t="n"/>
      <c r="AL3" s="1" t="n"/>
      <c r="AM3" s="1" t="n"/>
      <c r="AN3" s="3" t="inlineStr">
        <is>
          <t>MONTH/YEAR:</t>
        </is>
      </c>
      <c r="AO3" s="221">
        <f>AE3</f>
        <v/>
      </c>
      <c r="AP3" s="222" t="n"/>
      <c r="AQ3" s="1" t="n"/>
      <c r="AR3" s="1" t="n"/>
      <c r="AS3" s="3" t="inlineStr">
        <is>
          <t>MONTH/YEAR:</t>
        </is>
      </c>
      <c r="AT3" s="221">
        <f>AO3</f>
        <v/>
      </c>
      <c r="AU3" s="222" t="n"/>
      <c r="AV3" s="1" t="n"/>
      <c r="AW3" s="1" t="n"/>
      <c r="AX3" s="3" t="inlineStr">
        <is>
          <t>MONTH/YEAR:</t>
        </is>
      </c>
      <c r="AY3" s="221">
        <f>V3</f>
        <v/>
      </c>
      <c r="AZ3" s="222" t="n"/>
      <c r="BA3" s="1" t="n"/>
    </row>
    <row r="4" ht="31.5" customHeight="1" s="220">
      <c r="A4" s="6" t="inlineStr">
        <is>
          <t>BRANCH:</t>
        </is>
      </c>
      <c r="B4" s="223" t="inlineStr">
        <is>
          <t>CASA DENTAL BOON KENG PTE LTD</t>
        </is>
      </c>
      <c r="C4" s="224" t="n"/>
      <c r="D4" s="1" t="n"/>
      <c r="E4" s="6" t="inlineStr">
        <is>
          <t>BRANCH:</t>
        </is>
      </c>
      <c r="F4" s="223">
        <f>B4</f>
        <v/>
      </c>
      <c r="G4" s="224" t="n"/>
      <c r="H4" s="1" t="n"/>
      <c r="I4" s="6" t="inlineStr">
        <is>
          <t>BRANCH:</t>
        </is>
      </c>
      <c r="J4" s="223">
        <f>B4</f>
        <v/>
      </c>
      <c r="K4" s="224" t="n"/>
      <c r="L4" s="1" t="n"/>
      <c r="M4" s="6" t="inlineStr">
        <is>
          <t>BRANCH:</t>
        </is>
      </c>
      <c r="N4" s="223">
        <f>B4</f>
        <v/>
      </c>
      <c r="O4" s="224" t="n"/>
      <c r="P4" s="1" t="n"/>
      <c r="Q4" s="6" t="inlineStr">
        <is>
          <t>BRANCH:</t>
        </is>
      </c>
      <c r="R4" s="223" t="inlineStr">
        <is>
          <t>CASA DENTAL AMK PTE LTD</t>
        </is>
      </c>
      <c r="S4" s="224" t="n"/>
      <c r="T4" s="1" t="n"/>
      <c r="U4" s="199" t="inlineStr">
        <is>
          <t>BRANCH:</t>
        </is>
      </c>
      <c r="V4" s="235">
        <f>B4</f>
        <v/>
      </c>
      <c r="W4" s="236" t="n"/>
      <c r="X4" s="1" t="n"/>
      <c r="Y4" s="6" t="inlineStr">
        <is>
          <t>BRANCH:</t>
        </is>
      </c>
      <c r="Z4" s="223">
        <f>B4</f>
        <v/>
      </c>
      <c r="AA4" s="224" t="n"/>
      <c r="AB4" s="1" t="n"/>
      <c r="AC4" s="1" t="n"/>
      <c r="AD4" s="6" t="inlineStr">
        <is>
          <t>BRANCH:</t>
        </is>
      </c>
      <c r="AE4" s="223">
        <f>B4</f>
        <v/>
      </c>
      <c r="AF4" s="224" t="n"/>
      <c r="AG4" s="1" t="n"/>
      <c r="AH4" s="1" t="n"/>
      <c r="AI4" s="6" t="inlineStr">
        <is>
          <t>BRANCH:</t>
        </is>
      </c>
      <c r="AJ4" s="223" t="inlineStr">
        <is>
          <t>CASA DENTAL AMK PTE LTD</t>
        </is>
      </c>
      <c r="AK4" s="224" t="n"/>
      <c r="AL4" s="1" t="n"/>
      <c r="AM4" s="1" t="n"/>
      <c r="AN4" s="6" t="inlineStr">
        <is>
          <t>BRANCH:</t>
        </is>
      </c>
      <c r="AO4" s="223">
        <f>AE4</f>
        <v/>
      </c>
      <c r="AP4" s="224" t="n"/>
      <c r="AQ4" s="1" t="n"/>
      <c r="AR4" s="1" t="n"/>
      <c r="AS4" s="6" t="inlineStr">
        <is>
          <t>BRANCH:</t>
        </is>
      </c>
      <c r="AT4" s="223">
        <f>AO4</f>
        <v/>
      </c>
      <c r="AU4" s="224" t="n"/>
      <c r="AV4" s="1" t="n"/>
      <c r="AW4" s="1" t="n"/>
      <c r="AX4" s="6" t="inlineStr">
        <is>
          <t>BRANCH:</t>
        </is>
      </c>
      <c r="AY4" s="223">
        <f>V4</f>
        <v/>
      </c>
      <c r="AZ4" s="224" t="n"/>
      <c r="BA4" s="1" t="n"/>
    </row>
    <row r="5" ht="34.5" customHeight="1" s="220">
      <c r="A5" s="225" t="inlineStr">
        <is>
          <t>ALL PROVIDERS SETTLEMENT</t>
        </is>
      </c>
      <c r="C5" s="226" t="n"/>
      <c r="D5" s="1" t="n"/>
      <c r="E5" s="227" t="inlineStr">
        <is>
          <t>DR CHAN KC</t>
        </is>
      </c>
      <c r="F5" s="228" t="n"/>
      <c r="G5" s="229" t="n"/>
      <c r="H5" s="1" t="n"/>
      <c r="I5" s="227" t="inlineStr">
        <is>
          <t>DR AMIT PATEL</t>
        </is>
      </c>
      <c r="J5" s="228" t="n"/>
      <c r="K5" s="229" t="n"/>
      <c r="L5" s="1" t="n"/>
      <c r="M5" s="227" t="inlineStr">
        <is>
          <t>DR ESTHER HOH</t>
        </is>
      </c>
      <c r="N5" s="228" t="n"/>
      <c r="O5" s="229" t="n"/>
      <c r="P5" s="1" t="n"/>
      <c r="Q5" s="227" t="inlineStr">
        <is>
          <t xml:space="preserve">DR KALIE </t>
        </is>
      </c>
      <c r="R5" s="228" t="n"/>
      <c r="S5" s="229" t="n"/>
      <c r="T5" s="1" t="n"/>
      <c r="U5" s="237" t="n"/>
      <c r="V5" s="238" t="n"/>
      <c r="W5" s="231" t="n"/>
      <c r="X5" s="1" t="n"/>
      <c r="Y5" s="227" t="n"/>
      <c r="Z5" s="228" t="n"/>
      <c r="AA5" s="229" t="n"/>
      <c r="AB5" s="1" t="n"/>
      <c r="AC5" s="1" t="n"/>
      <c r="AD5" s="227" t="n"/>
      <c r="AE5" s="228" t="n"/>
      <c r="AF5" s="229" t="n"/>
      <c r="AG5" s="1" t="n"/>
      <c r="AH5" s="1" t="n"/>
      <c r="AI5" s="227" t="inlineStr">
        <is>
          <t>DR ANDREW YIN</t>
        </is>
      </c>
      <c r="AJ5" s="228" t="n"/>
      <c r="AK5" s="229" t="n"/>
      <c r="AL5" s="1" t="n"/>
      <c r="AM5" s="1" t="n"/>
      <c r="AN5" s="233" t="inlineStr">
        <is>
          <t>DR YVETTE CHOW</t>
        </is>
      </c>
      <c r="AO5" s="228" t="n"/>
      <c r="AP5" s="229" t="n"/>
      <c r="AQ5" s="1" t="n"/>
      <c r="AR5" s="1" t="n"/>
      <c r="AS5" s="234" t="inlineStr">
        <is>
          <t>DR PETER KEITH</t>
        </is>
      </c>
      <c r="AT5" s="228" t="n"/>
      <c r="AU5" s="229" t="n"/>
      <c r="AV5" s="1" t="n"/>
      <c r="AW5" s="1" t="n"/>
      <c r="AX5" s="227" t="inlineStr">
        <is>
          <t>DR ROLAND FOO</t>
        </is>
      </c>
      <c r="AY5" s="228" t="n"/>
      <c r="AZ5" s="229" t="n"/>
      <c r="BA5" s="1" t="n"/>
    </row>
    <row r="6" ht="18.75" customHeight="1" s="220">
      <c r="A6" s="14" t="n"/>
      <c r="B6" s="15" t="n"/>
      <c r="C6" s="16" t="inlineStr">
        <is>
          <t>ADMIN CHARGES</t>
        </is>
      </c>
      <c r="D6" s="17" t="n"/>
      <c r="E6" s="18" t="n"/>
      <c r="F6" s="15" t="n"/>
      <c r="G6" s="16" t="inlineStr">
        <is>
          <t>ADMIN CHARGES</t>
        </is>
      </c>
      <c r="H6" s="17" t="n"/>
      <c r="I6" s="19" t="n"/>
      <c r="J6" s="15" t="inlineStr">
        <is>
          <t>TOTALS</t>
        </is>
      </c>
      <c r="K6" s="20" t="inlineStr">
        <is>
          <t>ADMIN CHARGES</t>
        </is>
      </c>
      <c r="L6" s="17" t="n"/>
      <c r="M6" s="21" t="n"/>
      <c r="N6" s="22" t="n"/>
      <c r="O6" s="16" t="inlineStr">
        <is>
          <t>ADMIN CHARGES</t>
        </is>
      </c>
      <c r="P6" s="1" t="n"/>
      <c r="Q6" s="23" t="n"/>
      <c r="R6" s="24" t="n"/>
      <c r="S6" s="25" t="inlineStr">
        <is>
          <t>ADMIN CHARGES</t>
        </is>
      </c>
      <c r="T6" s="1" t="n"/>
      <c r="U6" s="204" t="n"/>
      <c r="V6" s="164" t="n"/>
      <c r="W6" s="205" t="inlineStr">
        <is>
          <t>ADMIN CHARGES</t>
        </is>
      </c>
      <c r="X6" s="28" t="n"/>
      <c r="Y6" s="14" t="n"/>
      <c r="Z6" s="29" t="n"/>
      <c r="AA6" s="22" t="inlineStr">
        <is>
          <t>ADMIN CHARGES</t>
        </is>
      </c>
      <c r="AB6" s="1" t="n"/>
      <c r="AC6" s="1" t="n"/>
      <c r="AD6" s="26" t="n"/>
      <c r="AE6" s="27" t="n"/>
      <c r="AF6" s="27" t="inlineStr">
        <is>
          <t>ADMIN CHARGES</t>
        </is>
      </c>
      <c r="AG6" s="30" t="n"/>
      <c r="AH6" s="1" t="n"/>
      <c r="AI6" s="23" t="n"/>
      <c r="AJ6" s="25" t="n"/>
      <c r="AK6" s="25" t="inlineStr">
        <is>
          <t>ADMIN CHARGES</t>
        </is>
      </c>
      <c r="AL6" s="1" t="n"/>
      <c r="AM6" s="1" t="n"/>
      <c r="AN6" s="26" t="n"/>
      <c r="AO6" s="27" t="n"/>
      <c r="AP6" s="27" t="inlineStr">
        <is>
          <t>ADMIN CHARGES</t>
        </is>
      </c>
      <c r="AQ6" s="30" t="n"/>
      <c r="AR6" s="1" t="n"/>
      <c r="AS6" s="26" t="n"/>
      <c r="AT6" s="27" t="n"/>
      <c r="AU6" s="27" t="inlineStr">
        <is>
          <t>ADMIN CHARGES</t>
        </is>
      </c>
      <c r="AV6" s="30" t="n"/>
      <c r="AW6" s="1" t="n"/>
      <c r="AX6" s="26" t="n"/>
      <c r="AY6" s="27" t="n"/>
      <c r="AZ6" s="27" t="inlineStr">
        <is>
          <t>ADMIN CHARGES</t>
        </is>
      </c>
      <c r="BA6" s="30" t="n"/>
    </row>
    <row r="7" ht="27.75" customHeight="1" s="220">
      <c r="A7" s="31" t="inlineStr">
        <is>
          <t>AIA</t>
        </is>
      </c>
      <c r="B7" s="174" t="n"/>
      <c r="C7" s="33">
        <f>B7*0.05*1.09</f>
        <v/>
      </c>
      <c r="D7" s="34" t="n"/>
      <c r="E7" s="35" t="inlineStr">
        <is>
          <t>AIA</t>
        </is>
      </c>
      <c r="F7" s="36" t="n"/>
      <c r="G7" s="33">
        <f>F7*0.05*1.09</f>
        <v/>
      </c>
      <c r="H7" s="37" t="n"/>
      <c r="I7" s="35" t="inlineStr">
        <is>
          <t>AIA</t>
        </is>
      </c>
      <c r="J7" s="174" t="n"/>
      <c r="K7" s="33">
        <f>J7*0.05*1.09</f>
        <v/>
      </c>
      <c r="L7" s="37" t="n"/>
      <c r="M7" s="41" t="inlineStr">
        <is>
          <t>AIA</t>
        </is>
      </c>
      <c r="N7" s="173" t="n"/>
      <c r="O7" s="33">
        <f>N7*0.05*1.09</f>
        <v/>
      </c>
      <c r="P7" s="38" t="n"/>
      <c r="Q7" s="31" t="inlineStr">
        <is>
          <t>AIA</t>
        </is>
      </c>
      <c r="R7" s="39" t="n"/>
      <c r="S7" s="40">
        <f>R7*0.05*1.09</f>
        <v/>
      </c>
      <c r="T7" s="38" t="n"/>
      <c r="U7" s="41" t="inlineStr">
        <is>
          <t>AIA</t>
        </is>
      </c>
      <c r="V7" s="173" t="n"/>
      <c r="W7" s="43">
        <f>V7*0.05*1.09</f>
        <v/>
      </c>
      <c r="X7" s="193" t="n"/>
      <c r="Y7" s="35" t="inlineStr">
        <is>
          <t>AIA</t>
        </is>
      </c>
      <c r="Z7" s="174" t="n"/>
      <c r="AA7" s="45">
        <f>Z7*0.05*1.09</f>
        <v/>
      </c>
      <c r="AB7" s="46" t="n"/>
      <c r="AC7" s="46" t="n"/>
      <c r="AD7" s="41" t="inlineStr">
        <is>
          <t>AIA</t>
        </is>
      </c>
      <c r="AE7" s="174" t="n"/>
      <c r="AF7" s="43">
        <f>AE7*0.05*1.09</f>
        <v/>
      </c>
      <c r="AG7" s="48" t="n"/>
      <c r="AH7" s="46" t="n"/>
      <c r="AI7" s="31" t="inlineStr">
        <is>
          <t>AIA</t>
        </is>
      </c>
      <c r="AJ7" s="39" t="n"/>
      <c r="AK7" s="40">
        <f>AJ7*0.05*1.09</f>
        <v/>
      </c>
      <c r="AL7" s="46" t="n"/>
      <c r="AM7" s="46" t="n"/>
      <c r="AN7" s="41" t="inlineStr">
        <is>
          <t>AIA</t>
        </is>
      </c>
      <c r="AO7" s="174" t="n"/>
      <c r="AP7" s="43">
        <f>AO7*0.05*1.09</f>
        <v/>
      </c>
      <c r="AQ7" s="48" t="n"/>
      <c r="AR7" s="46" t="n"/>
      <c r="AS7" s="41" t="inlineStr">
        <is>
          <t>AIA</t>
        </is>
      </c>
      <c r="AT7" s="174" t="n"/>
      <c r="AU7" s="43">
        <f>AT7*0.05*1.09</f>
        <v/>
      </c>
      <c r="AV7" s="48" t="n"/>
      <c r="AW7" s="46" t="n"/>
      <c r="AX7" s="41" t="inlineStr">
        <is>
          <t>AIA</t>
        </is>
      </c>
      <c r="AY7" s="173" t="n"/>
      <c r="AZ7" s="43">
        <f>AY7*0.05*1.09</f>
        <v/>
      </c>
      <c r="BA7" s="48" t="n"/>
    </row>
    <row r="8" ht="27.75" customHeight="1" s="220">
      <c r="A8" s="31" t="inlineStr">
        <is>
          <t>ALLIANCE</t>
        </is>
      </c>
      <c r="B8" s="174" t="n"/>
      <c r="C8" s="33">
        <f>B8*0.05*1.09</f>
        <v/>
      </c>
      <c r="D8" s="34" t="n"/>
      <c r="E8" s="35" t="inlineStr">
        <is>
          <t>ALLIANCE</t>
        </is>
      </c>
      <c r="F8" s="36" t="n"/>
      <c r="G8" s="33">
        <f>F8*0.05*1.09</f>
        <v/>
      </c>
      <c r="H8" s="37" t="n"/>
      <c r="I8" s="35" t="inlineStr">
        <is>
          <t>ALLIANCE</t>
        </is>
      </c>
      <c r="J8" s="174" t="n"/>
      <c r="K8" s="33">
        <f>J8*0.05*1.09</f>
        <v/>
      </c>
      <c r="L8" s="37" t="n"/>
      <c r="M8" s="41" t="inlineStr">
        <is>
          <t>ALLIANCE</t>
        </is>
      </c>
      <c r="N8" s="173" t="n"/>
      <c r="O8" s="33">
        <f>N8*0.05*1.09</f>
        <v/>
      </c>
      <c r="P8" s="38" t="n"/>
      <c r="Q8" s="31" t="n"/>
      <c r="R8" s="39" t="n"/>
      <c r="S8" s="40" t="n"/>
      <c r="T8" s="38" t="n"/>
      <c r="U8" s="41" t="inlineStr">
        <is>
          <t>ALLIANCE</t>
        </is>
      </c>
      <c r="V8" s="173" t="n"/>
      <c r="W8" s="43">
        <f>V8*0.05*1.09</f>
        <v/>
      </c>
      <c r="X8" s="193" t="n"/>
      <c r="Y8" s="35" t="inlineStr">
        <is>
          <t>ALLIANCE</t>
        </is>
      </c>
      <c r="Z8" s="174" t="n"/>
      <c r="AA8" s="45">
        <f>Z8*0.05*1.09</f>
        <v/>
      </c>
      <c r="AB8" s="46" t="n"/>
      <c r="AC8" s="46" t="n"/>
      <c r="AD8" s="41" t="inlineStr">
        <is>
          <t>ALLIANCE</t>
        </is>
      </c>
      <c r="AE8" s="174" t="n"/>
      <c r="AF8" s="43">
        <f>AE8*0.05*1.09</f>
        <v/>
      </c>
      <c r="AG8" s="48" t="n"/>
      <c r="AH8" s="46" t="n"/>
      <c r="AI8" s="31" t="n"/>
      <c r="AJ8" s="39" t="n"/>
      <c r="AK8" s="40" t="n"/>
      <c r="AL8" s="46" t="n"/>
      <c r="AM8" s="46" t="n"/>
      <c r="AN8" s="41" t="inlineStr">
        <is>
          <t>ALLIANCE</t>
        </is>
      </c>
      <c r="AO8" s="174" t="n"/>
      <c r="AP8" s="43">
        <f>AO8*0.05*1.09</f>
        <v/>
      </c>
      <c r="AQ8" s="48" t="n"/>
      <c r="AR8" s="46" t="n"/>
      <c r="AS8" s="41" t="inlineStr">
        <is>
          <t>ALLIANCE</t>
        </is>
      </c>
      <c r="AT8" s="174" t="n"/>
      <c r="AU8" s="43">
        <f>AT8*0.05*1.09</f>
        <v/>
      </c>
      <c r="AV8" s="48" t="n"/>
      <c r="AW8" s="46" t="n"/>
      <c r="AX8" s="41" t="inlineStr">
        <is>
          <t>ALLIANCE</t>
        </is>
      </c>
      <c r="AY8" s="173" t="n"/>
      <c r="AZ8" s="43">
        <f>AY8*0.05*1.09</f>
        <v/>
      </c>
      <c r="BA8" s="48" t="n"/>
    </row>
    <row r="9" ht="27.75" customHeight="1" s="220">
      <c r="A9" s="31" t="inlineStr">
        <is>
          <t>AMEX</t>
        </is>
      </c>
      <c r="B9" s="174" t="n"/>
      <c r="C9" s="33">
        <f>B9*0.0195</f>
        <v/>
      </c>
      <c r="D9" s="34" t="n"/>
      <c r="E9" s="35" t="inlineStr">
        <is>
          <t>AMEX</t>
        </is>
      </c>
      <c r="F9" s="36" t="n"/>
      <c r="G9" s="33">
        <f>F9*0.0195</f>
        <v/>
      </c>
      <c r="H9" s="34" t="n"/>
      <c r="I9" s="35" t="inlineStr">
        <is>
          <t>AMEX</t>
        </is>
      </c>
      <c r="J9" s="174" t="n"/>
      <c r="K9" s="33">
        <f>J9*0.0195</f>
        <v/>
      </c>
      <c r="L9" s="34" t="n"/>
      <c r="M9" s="41" t="inlineStr">
        <is>
          <t>AMEX</t>
        </is>
      </c>
      <c r="N9" s="174" t="n"/>
      <c r="O9" s="33">
        <f>N9*0.0195</f>
        <v/>
      </c>
      <c r="P9" s="46" t="n"/>
      <c r="Q9" s="31" t="inlineStr">
        <is>
          <t>AMEX</t>
        </is>
      </c>
      <c r="R9" s="39" t="n"/>
      <c r="S9" s="40">
        <f>R9*0.0195</f>
        <v/>
      </c>
      <c r="T9" s="46" t="n"/>
      <c r="U9" s="41" t="inlineStr">
        <is>
          <t>AMEX</t>
        </is>
      </c>
      <c r="V9" s="173" t="n"/>
      <c r="W9" s="43">
        <f>V9*0.0195</f>
        <v/>
      </c>
      <c r="X9" s="48" t="n"/>
      <c r="Y9" s="35" t="inlineStr">
        <is>
          <t>AMEX</t>
        </is>
      </c>
      <c r="Z9" s="174" t="n"/>
      <c r="AA9" s="45">
        <f>Z9*0.0195</f>
        <v/>
      </c>
      <c r="AB9" s="46" t="n"/>
      <c r="AC9" s="46" t="n"/>
      <c r="AD9" s="41" t="inlineStr">
        <is>
          <t>AMEX</t>
        </is>
      </c>
      <c r="AE9" s="173" t="n"/>
      <c r="AF9" s="43">
        <f>AE9*0.0195</f>
        <v/>
      </c>
      <c r="AG9" s="48" t="n"/>
      <c r="AH9" s="46" t="n"/>
      <c r="AI9" s="31" t="inlineStr">
        <is>
          <t>AMEX</t>
        </is>
      </c>
      <c r="AJ9" s="39" t="n"/>
      <c r="AK9" s="40">
        <f>AJ9*0.0195</f>
        <v/>
      </c>
      <c r="AL9" s="46" t="n"/>
      <c r="AM9" s="46" t="n"/>
      <c r="AN9" s="41" t="inlineStr">
        <is>
          <t>AMEX</t>
        </is>
      </c>
      <c r="AO9" s="173" t="n"/>
      <c r="AP9" s="43">
        <f>AO9*0.0195</f>
        <v/>
      </c>
      <c r="AQ9" s="48" t="n"/>
      <c r="AR9" s="46" t="n"/>
      <c r="AS9" s="41" t="inlineStr">
        <is>
          <t>AMEX</t>
        </is>
      </c>
      <c r="AT9" s="173" t="n"/>
      <c r="AU9" s="43">
        <f>AT9*0.0195</f>
        <v/>
      </c>
      <c r="AV9" s="48" t="n"/>
      <c r="AW9" s="46" t="n"/>
      <c r="AX9" s="41" t="inlineStr">
        <is>
          <t>AMEX</t>
        </is>
      </c>
      <c r="AY9" s="173" t="n"/>
      <c r="AZ9" s="43">
        <f>AY9*0.0195</f>
        <v/>
      </c>
      <c r="BA9" s="48" t="n"/>
    </row>
    <row r="10" ht="27.75" customHeight="1" s="220">
      <c r="A10" s="31" t="inlineStr">
        <is>
          <t>BABYBONUS</t>
        </is>
      </c>
      <c r="B10" s="36" t="n"/>
      <c r="C10" s="33">
        <f>B10*0.008</f>
        <v/>
      </c>
      <c r="D10" s="34" t="n"/>
      <c r="E10" s="35" t="inlineStr">
        <is>
          <t>BABYBONUS</t>
        </is>
      </c>
      <c r="F10" s="50" t="n"/>
      <c r="G10" s="33">
        <f>F10*0.008</f>
        <v/>
      </c>
      <c r="H10" s="34" t="n"/>
      <c r="I10" s="35" t="inlineStr">
        <is>
          <t>BABYBONUS</t>
        </is>
      </c>
      <c r="J10" s="50" t="n"/>
      <c r="K10" s="33">
        <f>J10*0.008</f>
        <v/>
      </c>
      <c r="L10" s="34" t="n"/>
      <c r="M10" s="41" t="inlineStr">
        <is>
          <t>BABYBONUS</t>
        </is>
      </c>
      <c r="N10" s="36" t="n"/>
      <c r="O10" s="33">
        <f>N10*0.008</f>
        <v/>
      </c>
      <c r="P10" s="46" t="n"/>
      <c r="Q10" s="31" t="n"/>
      <c r="R10" s="39" t="n"/>
      <c r="S10" s="40" t="n"/>
      <c r="T10" s="46" t="n"/>
      <c r="U10" s="41" t="inlineStr">
        <is>
          <t>BABYBONUS</t>
        </is>
      </c>
      <c r="V10" s="51" t="n"/>
      <c r="W10" s="33">
        <f>V10*0.008</f>
        <v/>
      </c>
      <c r="X10" s="48" t="n"/>
      <c r="Y10" s="35" t="inlineStr">
        <is>
          <t>BABYBONUS</t>
        </is>
      </c>
      <c r="Z10" s="36" t="n"/>
      <c r="AA10" s="45">
        <f>Z10*0.008</f>
        <v/>
      </c>
      <c r="AB10" s="46" t="n"/>
      <c r="AC10" s="46" t="n"/>
      <c r="AD10" s="41" t="inlineStr">
        <is>
          <t>BABYBONUS</t>
        </is>
      </c>
      <c r="AE10" s="36" t="n"/>
      <c r="AF10" s="43">
        <f>AE10*0.008</f>
        <v/>
      </c>
      <c r="AG10" s="48" t="n"/>
      <c r="AH10" s="46" t="n"/>
      <c r="AI10" s="31" t="n"/>
      <c r="AJ10" s="39" t="n"/>
      <c r="AK10" s="40" t="n"/>
      <c r="AL10" s="46" t="n"/>
      <c r="AM10" s="46" t="n"/>
      <c r="AN10" s="41" t="inlineStr">
        <is>
          <t>BABYBONUS</t>
        </is>
      </c>
      <c r="AO10" s="36" t="n"/>
      <c r="AP10" s="43">
        <f>AO10*0.008</f>
        <v/>
      </c>
      <c r="AQ10" s="48" t="n"/>
      <c r="AR10" s="46" t="n"/>
      <c r="AS10" s="41" t="inlineStr">
        <is>
          <t>BABYBONUS</t>
        </is>
      </c>
      <c r="AT10" s="36" t="n"/>
      <c r="AU10" s="43">
        <f>AT10*0.008</f>
        <v/>
      </c>
      <c r="AV10" s="48" t="n"/>
      <c r="AW10" s="46" t="n"/>
      <c r="AX10" s="41" t="inlineStr">
        <is>
          <t>BABYBONUS</t>
        </is>
      </c>
      <c r="AY10" s="36" t="n"/>
      <c r="AZ10" s="43">
        <f>AY10*0.008</f>
        <v/>
      </c>
      <c r="BA10" s="48" t="n"/>
    </row>
    <row r="11" ht="27.75" customHeight="1" s="220">
      <c r="A11" s="31" t="inlineStr">
        <is>
          <t>CASH</t>
        </is>
      </c>
      <c r="B11" s="174" t="n"/>
      <c r="C11" s="33" t="n"/>
      <c r="D11" s="34" t="n"/>
      <c r="E11" s="35" t="inlineStr">
        <is>
          <t>CASH</t>
        </is>
      </c>
      <c r="F11" s="36" t="n"/>
      <c r="G11" s="33" t="n"/>
      <c r="H11" s="34" t="n"/>
      <c r="I11" s="35" t="inlineStr">
        <is>
          <t>CASH</t>
        </is>
      </c>
      <c r="J11" s="210" t="n"/>
      <c r="K11" s="33" t="n"/>
      <c r="L11" s="34" t="n"/>
      <c r="M11" s="41" t="inlineStr">
        <is>
          <t>CASH</t>
        </is>
      </c>
      <c r="N11" s="174" t="n"/>
      <c r="O11" s="33" t="n"/>
      <c r="P11" s="46" t="n"/>
      <c r="Q11" s="31" t="inlineStr">
        <is>
          <t>ALLIANCE</t>
        </is>
      </c>
      <c r="R11" s="39" t="n"/>
      <c r="S11" s="40">
        <f>R11*0.05*1.09</f>
        <v/>
      </c>
      <c r="T11" s="46" t="n"/>
      <c r="U11" s="41" t="inlineStr">
        <is>
          <t>CASH</t>
        </is>
      </c>
      <c r="V11" s="173" t="n"/>
      <c r="W11" s="33" t="n"/>
      <c r="X11" s="48" t="n"/>
      <c r="Y11" s="35" t="inlineStr">
        <is>
          <t>CASH</t>
        </is>
      </c>
      <c r="Z11" s="174" t="n"/>
      <c r="AA11" s="45" t="n"/>
      <c r="AB11" s="46" t="n"/>
      <c r="AC11" s="46" t="n"/>
      <c r="AD11" s="41" t="inlineStr">
        <is>
          <t>CASH</t>
        </is>
      </c>
      <c r="AE11" s="174" t="n"/>
      <c r="AF11" s="43" t="n"/>
      <c r="AG11" s="48" t="n"/>
      <c r="AH11" s="46" t="n"/>
      <c r="AI11" s="31" t="inlineStr">
        <is>
          <t>ALLIANCE</t>
        </is>
      </c>
      <c r="AJ11" s="39" t="n"/>
      <c r="AK11" s="40">
        <f>AJ11*0.05*1.09</f>
        <v/>
      </c>
      <c r="AL11" s="46" t="n"/>
      <c r="AM11" s="46" t="n"/>
      <c r="AN11" s="41" t="inlineStr">
        <is>
          <t>CASH</t>
        </is>
      </c>
      <c r="AO11" s="174" t="n"/>
      <c r="AP11" s="43" t="n"/>
      <c r="AQ11" s="48" t="n"/>
      <c r="AR11" s="46" t="n"/>
      <c r="AS11" s="41" t="inlineStr">
        <is>
          <t>CASH</t>
        </is>
      </c>
      <c r="AT11" s="173" t="n"/>
      <c r="AU11" s="43" t="n"/>
      <c r="AV11" s="48" t="n"/>
      <c r="AW11" s="46" t="n"/>
      <c r="AX11" s="41" t="inlineStr">
        <is>
          <t>CASH</t>
        </is>
      </c>
      <c r="AY11" s="173" t="n"/>
      <c r="AZ11" s="43" t="n"/>
      <c r="BA11" s="48" t="n"/>
    </row>
    <row r="12" ht="27.75" customHeight="1" s="220">
      <c r="A12" s="31" t="inlineStr">
        <is>
          <t>CASA VOUCHER</t>
        </is>
      </c>
      <c r="B12" s="36" t="n"/>
      <c r="C12" s="33" t="n"/>
      <c r="D12" s="34" t="n"/>
      <c r="E12" s="35" t="inlineStr">
        <is>
          <t>CASA VOUCHER</t>
        </is>
      </c>
      <c r="F12" s="36" t="n"/>
      <c r="G12" s="33" t="n"/>
      <c r="H12" s="34" t="n"/>
      <c r="I12" s="35" t="inlineStr">
        <is>
          <t>CASA VOUCHER</t>
        </is>
      </c>
      <c r="J12" s="36" t="n"/>
      <c r="K12" s="33" t="n"/>
      <c r="L12" s="34" t="n"/>
      <c r="M12" s="41" t="inlineStr">
        <is>
          <t>CASA VOUCHER</t>
        </is>
      </c>
      <c r="N12" s="36" t="n"/>
      <c r="O12" s="33" t="n"/>
      <c r="P12" s="46" t="n"/>
      <c r="Q12" s="31" t="inlineStr">
        <is>
          <t>CASH</t>
        </is>
      </c>
      <c r="R12" s="39" t="n"/>
      <c r="S12" s="40" t="n"/>
      <c r="T12" s="46" t="n"/>
      <c r="U12" s="41" t="inlineStr">
        <is>
          <t>CASA VOUCHER</t>
        </is>
      </c>
      <c r="V12" s="51" t="n"/>
      <c r="W12" s="33" t="n"/>
      <c r="X12" s="48" t="n"/>
      <c r="Y12" s="35" t="inlineStr">
        <is>
          <t>CASA VOUCHER</t>
        </is>
      </c>
      <c r="Z12" s="36" t="n"/>
      <c r="AA12" s="45" t="n"/>
      <c r="AB12" s="46" t="n"/>
      <c r="AC12" s="46" t="n"/>
      <c r="AD12" s="41" t="inlineStr">
        <is>
          <t>CASA VOUCHER</t>
        </is>
      </c>
      <c r="AE12" s="36" t="n"/>
      <c r="AF12" s="43" t="n"/>
      <c r="AG12" s="48" t="n"/>
      <c r="AH12" s="46" t="n"/>
      <c r="AI12" s="31" t="inlineStr">
        <is>
          <t>CASH</t>
        </is>
      </c>
      <c r="AJ12" s="39" t="n"/>
      <c r="AK12" s="40" t="n"/>
      <c r="AL12" s="46" t="n"/>
      <c r="AM12" s="46" t="n"/>
      <c r="AN12" s="41" t="inlineStr">
        <is>
          <t>CASA VOUCHER</t>
        </is>
      </c>
      <c r="AO12" s="36" t="n"/>
      <c r="AP12" s="43" t="n"/>
      <c r="AQ12" s="48" t="n"/>
      <c r="AR12" s="46" t="n"/>
      <c r="AS12" s="41" t="inlineStr">
        <is>
          <t>CASA VOUCHER</t>
        </is>
      </c>
      <c r="AT12" s="36" t="n"/>
      <c r="AU12" s="43" t="n"/>
      <c r="AV12" s="48" t="n"/>
      <c r="AW12" s="46" t="n"/>
      <c r="AX12" s="41" t="inlineStr">
        <is>
          <t>CASA VOUCHER</t>
        </is>
      </c>
      <c r="AY12" s="36" t="n"/>
      <c r="AZ12" s="43" t="n"/>
      <c r="BA12" s="48" t="n"/>
    </row>
    <row r="13" ht="27.75" customHeight="1" s="220">
      <c r="A13" s="52" t="inlineStr">
        <is>
          <t>CDC VOUCHER</t>
        </is>
      </c>
      <c r="B13" s="174" t="n"/>
      <c r="C13" s="54" t="n"/>
      <c r="D13" s="34" t="n"/>
      <c r="E13" s="35" t="inlineStr">
        <is>
          <t>CDC VOUCHER</t>
        </is>
      </c>
      <c r="F13" s="36" t="n"/>
      <c r="G13" s="33" t="n"/>
      <c r="H13" s="34" t="n"/>
      <c r="I13" s="35" t="inlineStr">
        <is>
          <t>CDC VOUCHER</t>
        </is>
      </c>
      <c r="J13" s="174" t="n"/>
      <c r="K13" s="33" t="n"/>
      <c r="L13" s="34" t="n"/>
      <c r="M13" s="41" t="inlineStr">
        <is>
          <t>CDC VOUCHER</t>
        </is>
      </c>
      <c r="N13" s="174" t="n"/>
      <c r="O13" s="33" t="n"/>
      <c r="P13" s="46" t="n"/>
      <c r="Q13" s="31" t="inlineStr">
        <is>
          <t>CASA VOUCHER</t>
        </is>
      </c>
      <c r="R13" s="39" t="n"/>
      <c r="S13" s="40" t="n"/>
      <c r="T13" s="46" t="n"/>
      <c r="U13" s="41" t="inlineStr">
        <is>
          <t>CDC VOUCHER</t>
        </is>
      </c>
      <c r="V13" s="173" t="n"/>
      <c r="W13" s="33" t="n"/>
      <c r="X13" s="48" t="n"/>
      <c r="Y13" s="35" t="inlineStr">
        <is>
          <t>CDC VOUCHER</t>
        </is>
      </c>
      <c r="Z13" s="174" t="n"/>
      <c r="AA13" s="56" t="n"/>
      <c r="AB13" s="46" t="n"/>
      <c r="AC13" s="46" t="n"/>
      <c r="AD13" s="187" t="inlineStr">
        <is>
          <t>CDC VOUCHER</t>
        </is>
      </c>
      <c r="AE13" s="173" t="n"/>
      <c r="AF13" s="59" t="n"/>
      <c r="AG13" s="48" t="n"/>
      <c r="AH13" s="46" t="n"/>
      <c r="AI13" s="31" t="inlineStr">
        <is>
          <t>CASA VOUCHER</t>
        </is>
      </c>
      <c r="AJ13" s="39" t="n"/>
      <c r="AK13" s="40" t="n"/>
      <c r="AL13" s="46" t="n"/>
      <c r="AM13" s="46" t="n"/>
      <c r="AN13" s="187" t="inlineStr">
        <is>
          <t>CDC VOUCHER</t>
        </is>
      </c>
      <c r="AO13" s="174" t="n"/>
      <c r="AP13" s="59" t="n"/>
      <c r="AQ13" s="48" t="n"/>
      <c r="AR13" s="46" t="n"/>
      <c r="AS13" s="57" t="inlineStr">
        <is>
          <t>CDC VOUCHER</t>
        </is>
      </c>
      <c r="AT13" s="174" t="n"/>
      <c r="AU13" s="59" t="n"/>
      <c r="AV13" s="48" t="n"/>
      <c r="AW13" s="46" t="n"/>
      <c r="AX13" s="187" t="inlineStr">
        <is>
          <t>CDC VOUCHER</t>
        </is>
      </c>
      <c r="AY13" s="173" t="n"/>
      <c r="AZ13" s="59" t="n"/>
      <c r="BA13" s="48" t="n"/>
    </row>
    <row r="14" ht="27.75" customHeight="1" s="220">
      <c r="A14" s="31" t="inlineStr">
        <is>
          <t>CHAS</t>
        </is>
      </c>
      <c r="B14" s="174" t="n"/>
      <c r="C14" s="33" t="n"/>
      <c r="D14" s="34" t="n"/>
      <c r="E14" s="35" t="inlineStr">
        <is>
          <t>CHAS</t>
        </is>
      </c>
      <c r="F14" s="36" t="n"/>
      <c r="G14" s="33" t="n"/>
      <c r="H14" s="34" t="n"/>
      <c r="I14" s="35" t="inlineStr">
        <is>
          <t>CHAS</t>
        </is>
      </c>
      <c r="J14" s="174" t="n"/>
      <c r="K14" s="33" t="n"/>
      <c r="L14" s="34" t="n"/>
      <c r="M14" s="41" t="inlineStr">
        <is>
          <t>CHAS</t>
        </is>
      </c>
      <c r="N14" s="174" t="n"/>
      <c r="O14" s="33" t="n"/>
      <c r="P14" s="46" t="n"/>
      <c r="Q14" s="31" t="n"/>
      <c r="R14" s="39" t="n"/>
      <c r="S14" s="40" t="n"/>
      <c r="T14" s="46" t="n"/>
      <c r="U14" s="41" t="inlineStr">
        <is>
          <t>CHAS</t>
        </is>
      </c>
      <c r="V14" s="173" t="n"/>
      <c r="W14" s="33" t="n"/>
      <c r="X14" s="48" t="n"/>
      <c r="Y14" s="35" t="inlineStr">
        <is>
          <t>CHAS</t>
        </is>
      </c>
      <c r="Z14" s="174" t="n"/>
      <c r="AA14" s="45" t="n"/>
      <c r="AB14" s="46" t="n"/>
      <c r="AC14" s="46" t="n"/>
      <c r="AD14" s="41" t="inlineStr">
        <is>
          <t>CHAS</t>
        </is>
      </c>
      <c r="AE14" s="174" t="n"/>
      <c r="AF14" s="43" t="n"/>
      <c r="AG14" s="48" t="n"/>
      <c r="AH14" s="46" t="n"/>
      <c r="AI14" s="31" t="n"/>
      <c r="AJ14" s="39" t="n"/>
      <c r="AK14" s="40" t="n"/>
      <c r="AL14" s="46" t="n"/>
      <c r="AM14" s="46" t="n"/>
      <c r="AN14" s="41" t="inlineStr">
        <is>
          <t>CHAS</t>
        </is>
      </c>
      <c r="AO14" s="174" t="n"/>
      <c r="AP14" s="43" t="n"/>
      <c r="AQ14" s="48" t="n"/>
      <c r="AR14" s="46" t="n"/>
      <c r="AS14" s="35" t="inlineStr">
        <is>
          <t>CHAS</t>
        </is>
      </c>
      <c r="AT14" s="174" t="n"/>
      <c r="AU14" s="43" t="n"/>
      <c r="AV14" s="48" t="n"/>
      <c r="AW14" s="46" t="n"/>
      <c r="AX14" s="41" t="inlineStr">
        <is>
          <t>CHAS</t>
        </is>
      </c>
      <c r="AY14" s="173" t="n"/>
      <c r="AZ14" s="43" t="n"/>
      <c r="BA14" s="48" t="n"/>
    </row>
    <row r="15" ht="27.75" customHeight="1" s="220">
      <c r="A15" s="31" t="inlineStr">
        <is>
          <t>CYNERGY</t>
        </is>
      </c>
      <c r="B15" s="174" t="n"/>
      <c r="C15" s="33" t="n"/>
      <c r="D15" s="34" t="n"/>
      <c r="E15" s="35" t="inlineStr">
        <is>
          <t>CYNERGY</t>
        </is>
      </c>
      <c r="F15" s="36" t="n"/>
      <c r="G15" s="33" t="n"/>
      <c r="H15" s="34" t="n"/>
      <c r="I15" s="35" t="inlineStr">
        <is>
          <t>CYNERGY</t>
        </is>
      </c>
      <c r="J15" s="174" t="n"/>
      <c r="K15" s="33" t="n"/>
      <c r="L15" s="34" t="n"/>
      <c r="M15" s="41" t="inlineStr">
        <is>
          <t>CYNERGY</t>
        </is>
      </c>
      <c r="N15" s="173" t="n"/>
      <c r="O15" s="33" t="n"/>
      <c r="P15" s="46" t="n"/>
      <c r="Q15" s="31" t="n"/>
      <c r="R15" s="39" t="n"/>
      <c r="S15" s="40" t="n"/>
      <c r="T15" s="46" t="n"/>
      <c r="U15" s="41" t="inlineStr">
        <is>
          <t>CYNERGY</t>
        </is>
      </c>
      <c r="V15" s="173" t="n"/>
      <c r="W15" s="33" t="n"/>
      <c r="X15" s="48" t="n"/>
      <c r="Y15" s="35" t="inlineStr">
        <is>
          <t>CYNERGY</t>
        </is>
      </c>
      <c r="Z15" s="36" t="n"/>
      <c r="AA15" s="45" t="n"/>
      <c r="AB15" s="46" t="n"/>
      <c r="AC15" s="46" t="n"/>
      <c r="AD15" s="41" t="inlineStr">
        <is>
          <t>CYNERGY</t>
        </is>
      </c>
      <c r="AE15" s="174" t="n"/>
      <c r="AF15" s="43" t="n"/>
      <c r="AG15" s="48" t="n"/>
      <c r="AH15" s="46" t="n"/>
      <c r="AI15" s="31" t="n"/>
      <c r="AJ15" s="39" t="n"/>
      <c r="AK15" s="40" t="n"/>
      <c r="AL15" s="46" t="n"/>
      <c r="AM15" s="46" t="n"/>
      <c r="AN15" s="41" t="inlineStr">
        <is>
          <t>CYNERGY</t>
        </is>
      </c>
      <c r="AO15" s="174" t="n"/>
      <c r="AP15" s="43" t="n"/>
      <c r="AQ15" s="48" t="n"/>
      <c r="AR15" s="46" t="n"/>
      <c r="AS15" s="35" t="inlineStr">
        <is>
          <t>CYNERGY</t>
        </is>
      </c>
      <c r="AT15" s="173" t="n"/>
      <c r="AU15" s="43" t="n"/>
      <c r="AV15" s="48" t="n"/>
      <c r="AW15" s="46" t="n"/>
      <c r="AX15" s="41" t="inlineStr">
        <is>
          <t>CYNERGY</t>
        </is>
      </c>
      <c r="AY15" s="173" t="n"/>
      <c r="AZ15" s="43" t="n"/>
      <c r="BA15" s="48" t="n"/>
    </row>
    <row r="16" ht="27.75" customHeight="1" s="220">
      <c r="A16" s="35" t="inlineStr">
        <is>
          <t>DA ADEPT HEALTH</t>
        </is>
      </c>
      <c r="B16" s="36" t="n"/>
      <c r="C16" s="33">
        <f>B16*8%</f>
        <v/>
      </c>
      <c r="D16" s="34" t="n"/>
      <c r="E16" s="35" t="inlineStr">
        <is>
          <t>DA ADEPT HEALTH</t>
        </is>
      </c>
      <c r="F16" s="36" t="n"/>
      <c r="G16" s="33">
        <f>F16*8%</f>
        <v/>
      </c>
      <c r="H16" s="34" t="n"/>
      <c r="I16" s="35" t="inlineStr">
        <is>
          <t>DA ADEPT HEALTH</t>
        </is>
      </c>
      <c r="J16" s="36" t="n"/>
      <c r="K16" s="33">
        <f>J16*8%</f>
        <v/>
      </c>
      <c r="L16" s="34" t="n"/>
      <c r="M16" s="41" t="inlineStr">
        <is>
          <t>DA ADEPT HEALTH</t>
        </is>
      </c>
      <c r="N16" s="36" t="n"/>
      <c r="O16" s="33">
        <f>N16*8%</f>
        <v/>
      </c>
      <c r="P16" s="46" t="n"/>
      <c r="Q16" s="31" t="n"/>
      <c r="R16" s="39" t="n"/>
      <c r="S16" s="40" t="n"/>
      <c r="T16" s="46" t="n"/>
      <c r="U16" s="41" t="inlineStr">
        <is>
          <t>DA ADEPT HEALTH</t>
        </is>
      </c>
      <c r="V16" s="51" t="n"/>
      <c r="W16" s="33">
        <f>V16*8%</f>
        <v/>
      </c>
      <c r="X16" s="48" t="n"/>
      <c r="Y16" s="35" t="inlineStr">
        <is>
          <t>DA ADEPT HEALTH</t>
        </is>
      </c>
      <c r="Z16" s="55" t="n"/>
      <c r="AA16" s="56">
        <f>Z16*8%</f>
        <v/>
      </c>
      <c r="AB16" s="46" t="n"/>
      <c r="AC16" s="46" t="n"/>
      <c r="AD16" s="57" t="inlineStr">
        <is>
          <t>DA ADEPT HEALTH</t>
        </is>
      </c>
      <c r="AE16" s="58" t="n"/>
      <c r="AF16" s="59">
        <f>AE16*8%</f>
        <v/>
      </c>
      <c r="AG16" s="48" t="n"/>
      <c r="AH16" s="46" t="n"/>
      <c r="AI16" s="31" t="n"/>
      <c r="AJ16" s="39" t="n"/>
      <c r="AK16" s="40" t="n"/>
      <c r="AL16" s="46" t="n"/>
      <c r="AM16" s="46" t="n"/>
      <c r="AN16" s="57" t="inlineStr">
        <is>
          <t>DA ADEPT HEALTH</t>
        </is>
      </c>
      <c r="AO16" s="58" t="n"/>
      <c r="AP16" s="59">
        <f>AO16*8%</f>
        <v/>
      </c>
      <c r="AQ16" s="48" t="n"/>
      <c r="AR16" s="46" t="n"/>
      <c r="AS16" s="57" t="inlineStr">
        <is>
          <t>DA ADEPT HEALTH</t>
        </is>
      </c>
      <c r="AT16" s="58" t="n"/>
      <c r="AU16" s="59">
        <f>AT16*8%</f>
        <v/>
      </c>
      <c r="AV16" s="48" t="n"/>
      <c r="AW16" s="46" t="n"/>
      <c r="AX16" s="57" t="inlineStr">
        <is>
          <t>DA ADEPT HEALTH</t>
        </is>
      </c>
      <c r="AY16" s="58" t="n"/>
      <c r="AZ16" s="59">
        <f>AY16*8%</f>
        <v/>
      </c>
      <c r="BA16" s="48" t="n"/>
    </row>
    <row r="17" ht="27.75" customHeight="1" s="220">
      <c r="A17" s="60" t="inlineStr">
        <is>
          <t>DEPOSIT</t>
        </is>
      </c>
      <c r="B17" s="174" t="n"/>
      <c r="C17" s="33">
        <f>K17+O17</f>
        <v/>
      </c>
      <c r="D17" s="34" t="n"/>
      <c r="E17" s="61" t="inlineStr">
        <is>
          <t>DEPOSIT</t>
        </is>
      </c>
      <c r="F17" s="36" t="n"/>
      <c r="G17" s="33" t="n"/>
      <c r="H17" s="34" t="n"/>
      <c r="I17" s="61" t="inlineStr">
        <is>
          <t>DEPOSIT</t>
        </is>
      </c>
      <c r="J17" s="174" t="n"/>
      <c r="K17" s="33" t="n"/>
      <c r="L17" s="34" t="n"/>
      <c r="M17" s="176" t="inlineStr">
        <is>
          <t>DEPOSIT</t>
        </is>
      </c>
      <c r="N17" s="174" t="n"/>
      <c r="O17" s="33" t="n"/>
      <c r="P17" s="46" t="n"/>
      <c r="Q17" s="31" t="inlineStr">
        <is>
          <t>DEPOSIT</t>
        </is>
      </c>
      <c r="R17" s="39" t="n"/>
      <c r="S17" s="40" t="n">
        <v>0</v>
      </c>
      <c r="T17" s="46" t="n"/>
      <c r="U17" s="176" t="inlineStr">
        <is>
          <t>DEPOSIT</t>
        </is>
      </c>
      <c r="V17" s="173" t="n"/>
      <c r="W17" s="33" t="n"/>
      <c r="X17" s="48" t="n"/>
      <c r="Y17" s="61" t="inlineStr">
        <is>
          <t>DEPOSIT</t>
        </is>
      </c>
      <c r="Z17" s="36" t="n"/>
      <c r="AA17" s="45" t="n"/>
      <c r="AB17" s="46" t="n"/>
      <c r="AC17" s="46" t="n"/>
      <c r="AD17" s="61" t="inlineStr">
        <is>
          <t>DEPOSIT</t>
        </is>
      </c>
      <c r="AE17" s="174" t="n"/>
      <c r="AF17" s="43" t="n"/>
      <c r="AG17" s="48" t="n"/>
      <c r="AH17" s="46" t="n"/>
      <c r="AI17" s="60" t="inlineStr">
        <is>
          <t>DEPOSIT</t>
        </is>
      </c>
      <c r="AJ17" s="39" t="n"/>
      <c r="AK17" s="40" t="n"/>
      <c r="AL17" s="46" t="n"/>
      <c r="AM17" s="46" t="n"/>
      <c r="AN17" s="61" t="inlineStr">
        <is>
          <t>DEPOSIT</t>
        </is>
      </c>
      <c r="AO17" s="174" t="n"/>
      <c r="AP17" s="43" t="n"/>
      <c r="AQ17" s="48" t="n"/>
      <c r="AR17" s="46" t="n"/>
      <c r="AS17" s="61" t="inlineStr">
        <is>
          <t>DEPOSIT</t>
        </is>
      </c>
      <c r="AT17" s="174" t="n"/>
      <c r="AU17" s="43" t="n"/>
      <c r="AV17" s="48" t="n"/>
      <c r="AW17" s="46" t="n"/>
      <c r="AX17" s="61" t="inlineStr">
        <is>
          <t>DEPOSIT</t>
        </is>
      </c>
      <c r="AY17" s="47" t="n"/>
      <c r="AZ17" s="43" t="n"/>
      <c r="BA17" s="48" t="n"/>
    </row>
    <row r="18" ht="27.75" customHeight="1" s="220">
      <c r="A18" s="31" t="inlineStr">
        <is>
          <t>IHP</t>
        </is>
      </c>
      <c r="B18" s="174" t="n"/>
      <c r="C18" s="33">
        <f>B18*0.051*1.09</f>
        <v/>
      </c>
      <c r="D18" s="34" t="n"/>
      <c r="E18" s="35" t="inlineStr">
        <is>
          <t>IHP</t>
        </is>
      </c>
      <c r="F18" s="36" t="n"/>
      <c r="G18" s="33">
        <f>F18*0.051*1.09</f>
        <v/>
      </c>
      <c r="H18" s="34" t="n"/>
      <c r="I18" s="35" t="inlineStr">
        <is>
          <t>IHP</t>
        </is>
      </c>
      <c r="J18" s="174" t="n"/>
      <c r="K18" s="33">
        <f>J18*0.051*1.09</f>
        <v/>
      </c>
      <c r="L18" s="34" t="n"/>
      <c r="M18" s="41" t="inlineStr">
        <is>
          <t>IHP</t>
        </is>
      </c>
      <c r="N18" s="174" t="n"/>
      <c r="O18" s="33">
        <f>N18*0.051*1.09</f>
        <v/>
      </c>
      <c r="P18" s="46" t="n"/>
      <c r="Q18" s="31" t="n"/>
      <c r="R18" s="39" t="n"/>
      <c r="S18" s="40" t="n"/>
      <c r="T18" s="46" t="n"/>
      <c r="U18" s="35" t="inlineStr">
        <is>
          <t>IHP</t>
        </is>
      </c>
      <c r="V18" s="175" t="n"/>
      <c r="W18" s="33">
        <f>V18*0.051*1.09</f>
        <v/>
      </c>
      <c r="X18" s="48" t="n"/>
      <c r="Y18" s="35" t="inlineStr">
        <is>
          <t>IHP</t>
        </is>
      </c>
      <c r="Z18" s="174" t="n"/>
      <c r="AA18" s="45">
        <f>Z18*0.051*1.09</f>
        <v/>
      </c>
      <c r="AB18" s="46" t="n"/>
      <c r="AC18" s="46" t="n"/>
      <c r="AD18" s="35" t="inlineStr">
        <is>
          <t>IHP</t>
        </is>
      </c>
      <c r="AE18" s="174" t="n"/>
      <c r="AF18" s="43">
        <f>AE18*0.051*1.09</f>
        <v/>
      </c>
      <c r="AG18" s="48" t="n"/>
      <c r="AH18" s="46" t="n"/>
      <c r="AI18" s="60" t="n"/>
      <c r="AJ18" s="39" t="n"/>
      <c r="AK18" s="40" t="n"/>
      <c r="AL18" s="46" t="n"/>
      <c r="AM18" s="46" t="n"/>
      <c r="AN18" s="35" t="inlineStr">
        <is>
          <t>IHP</t>
        </is>
      </c>
      <c r="AO18" s="174" t="n"/>
      <c r="AP18" s="43">
        <f>AO18*0.051*1.09</f>
        <v/>
      </c>
      <c r="AQ18" s="48" t="n"/>
      <c r="AR18" s="46" t="n"/>
      <c r="AS18" s="35" t="inlineStr">
        <is>
          <t>IHP</t>
        </is>
      </c>
      <c r="AT18" s="174" t="n"/>
      <c r="AU18" s="43">
        <f>AT18*0.051*1.09</f>
        <v/>
      </c>
      <c r="AV18" s="48" t="n"/>
      <c r="AW18" s="46" t="n"/>
      <c r="AX18" s="35" t="inlineStr">
        <is>
          <t>IHP</t>
        </is>
      </c>
      <c r="AY18" s="174" t="n"/>
      <c r="AZ18" s="43">
        <f>AY18*0.051*1.09</f>
        <v/>
      </c>
      <c r="BA18" s="48" t="n"/>
    </row>
    <row r="19" ht="27.75" customHeight="1" s="220">
      <c r="A19" s="31" t="inlineStr">
        <is>
          <t>JCB</t>
        </is>
      </c>
      <c r="B19" s="50" t="n"/>
      <c r="C19" s="33">
        <f>B19*0.15*1.09</f>
        <v/>
      </c>
      <c r="D19" s="34" t="n"/>
      <c r="E19" s="35" t="inlineStr">
        <is>
          <t>JCB</t>
        </is>
      </c>
      <c r="F19" s="50" t="n"/>
      <c r="G19" s="33">
        <f>F19*0.15*1.09</f>
        <v/>
      </c>
      <c r="H19" s="34" t="n"/>
      <c r="I19" s="35" t="inlineStr">
        <is>
          <t>JCB</t>
        </is>
      </c>
      <c r="J19" s="50" t="n"/>
      <c r="K19" s="33">
        <f>J19*0.15*1.09</f>
        <v/>
      </c>
      <c r="L19" s="34" t="n"/>
      <c r="M19" s="41" t="inlineStr">
        <is>
          <t>JCB</t>
        </is>
      </c>
      <c r="N19" s="50" t="n"/>
      <c r="O19" s="33">
        <f>N19*0.15*1.09</f>
        <v/>
      </c>
      <c r="P19" s="46" t="n"/>
      <c r="Q19" s="31" t="n"/>
      <c r="R19" s="39" t="n"/>
      <c r="S19" s="40" t="n"/>
      <c r="T19" s="46" t="n"/>
      <c r="U19" s="35" t="inlineStr">
        <is>
          <t>JCB</t>
        </is>
      </c>
      <c r="V19" s="50" t="n"/>
      <c r="W19" s="33">
        <f>V19*0.15*1.09</f>
        <v/>
      </c>
      <c r="X19" s="48" t="n"/>
      <c r="Y19" s="35" t="inlineStr">
        <is>
          <t>JCB</t>
        </is>
      </c>
      <c r="Z19" s="50" t="n"/>
      <c r="AA19" s="45">
        <f>Z19*0.15*1.09</f>
        <v/>
      </c>
      <c r="AB19" s="46" t="n"/>
      <c r="AC19" s="46" t="n"/>
      <c r="AD19" s="35" t="inlineStr">
        <is>
          <t>JCB</t>
        </is>
      </c>
      <c r="AE19" s="62" t="n"/>
      <c r="AF19" s="43">
        <f>AE19*0.15*1.09</f>
        <v/>
      </c>
      <c r="AG19" s="48" t="n"/>
      <c r="AH19" s="46" t="n"/>
      <c r="AI19" s="60" t="n"/>
      <c r="AJ19" s="39" t="n"/>
      <c r="AK19" s="40" t="n"/>
      <c r="AL19" s="46" t="n"/>
      <c r="AM19" s="46" t="n"/>
      <c r="AN19" s="35" t="inlineStr">
        <is>
          <t>JCB</t>
        </is>
      </c>
      <c r="AO19" s="62" t="n"/>
      <c r="AP19" s="43">
        <f>AO19*0.15*1.09</f>
        <v/>
      </c>
      <c r="AQ19" s="48" t="n"/>
      <c r="AR19" s="46" t="n"/>
      <c r="AS19" s="35" t="inlineStr">
        <is>
          <t>JCB</t>
        </is>
      </c>
      <c r="AT19" s="62" t="n"/>
      <c r="AU19" s="43">
        <f>AT19*0.15*1.09</f>
        <v/>
      </c>
      <c r="AV19" s="48" t="n"/>
      <c r="AW19" s="46" t="n"/>
      <c r="AX19" s="35" t="inlineStr">
        <is>
          <t>JCB</t>
        </is>
      </c>
      <c r="AY19" s="62" t="n"/>
      <c r="AZ19" s="43">
        <f>AY19*0.15*1.09</f>
        <v/>
      </c>
      <c r="BA19" s="48" t="n"/>
    </row>
    <row r="20" ht="27.75" customHeight="1" s="220">
      <c r="A20" s="31" t="inlineStr">
        <is>
          <t>MASTER</t>
        </is>
      </c>
      <c r="B20" s="174" t="n"/>
      <c r="C20" s="33">
        <f>B20*0.0225</f>
        <v/>
      </c>
      <c r="D20" s="34" t="n"/>
      <c r="E20" s="35" t="inlineStr">
        <is>
          <t>MASTER</t>
        </is>
      </c>
      <c r="F20" s="36" t="n"/>
      <c r="G20" s="33">
        <f>F20*0.021</f>
        <v/>
      </c>
      <c r="H20" s="34" t="n"/>
      <c r="I20" s="35" t="inlineStr">
        <is>
          <t>MASTER</t>
        </is>
      </c>
      <c r="J20" s="174" t="n"/>
      <c r="K20" s="33">
        <f>J20*0.0225</f>
        <v/>
      </c>
      <c r="L20" s="34" t="n"/>
      <c r="M20" s="41" t="inlineStr">
        <is>
          <t>MASTER</t>
        </is>
      </c>
      <c r="N20" s="174" t="n"/>
      <c r="O20" s="33">
        <f>N20*0.0225</f>
        <v/>
      </c>
      <c r="P20" s="46" t="n"/>
      <c r="Q20" s="31" t="n"/>
      <c r="R20" s="39" t="n"/>
      <c r="S20" s="40" t="n"/>
      <c r="T20" s="46" t="n"/>
      <c r="U20" s="35" t="inlineStr">
        <is>
          <t>MASTER</t>
        </is>
      </c>
      <c r="V20" s="174" t="n"/>
      <c r="W20" s="33">
        <f>V20*0.0225</f>
        <v/>
      </c>
      <c r="X20" s="48" t="n"/>
      <c r="Y20" s="35" t="inlineStr">
        <is>
          <t>MASTER</t>
        </is>
      </c>
      <c r="Z20" s="174" t="n"/>
      <c r="AA20" s="45">
        <f>Z20*0.0225</f>
        <v/>
      </c>
      <c r="AB20" s="46" t="n"/>
      <c r="AC20" s="46" t="n"/>
      <c r="AD20" s="35" t="inlineStr">
        <is>
          <t>MASTER</t>
        </is>
      </c>
      <c r="AE20" s="174" t="n"/>
      <c r="AF20" s="43">
        <f>AE20*0.0225</f>
        <v/>
      </c>
      <c r="AG20" s="48" t="n"/>
      <c r="AH20" s="46" t="n"/>
      <c r="AI20" s="60" t="n"/>
      <c r="AJ20" s="39" t="n"/>
      <c r="AK20" s="40" t="n"/>
      <c r="AL20" s="46" t="n"/>
      <c r="AM20" s="46" t="n"/>
      <c r="AN20" s="35" t="inlineStr">
        <is>
          <t>MASTER</t>
        </is>
      </c>
      <c r="AO20" s="174" t="n"/>
      <c r="AP20" s="43">
        <f>AO20*0.0225</f>
        <v/>
      </c>
      <c r="AQ20" s="48" t="n"/>
      <c r="AR20" s="46" t="n"/>
      <c r="AS20" s="35" t="inlineStr">
        <is>
          <t>MASTER</t>
        </is>
      </c>
      <c r="AT20" s="174" t="n"/>
      <c r="AU20" s="43">
        <f>AT20*0.0225</f>
        <v/>
      </c>
      <c r="AV20" s="48" t="n"/>
      <c r="AW20" s="46" t="n"/>
      <c r="AX20" s="35" t="inlineStr">
        <is>
          <t>MASTER</t>
        </is>
      </c>
      <c r="AY20" s="174" t="n"/>
      <c r="AZ20" s="43">
        <f>AY20*0.021</f>
        <v/>
      </c>
      <c r="BA20" s="48" t="n"/>
    </row>
    <row r="21" ht="27.75" customHeight="1" s="220">
      <c r="A21" s="31" t="inlineStr">
        <is>
          <t>MEDISAVE</t>
        </is>
      </c>
      <c r="B21" s="174" t="n"/>
      <c r="C21" s="33" t="n"/>
      <c r="D21" s="34" t="n"/>
      <c r="E21" s="35" t="inlineStr">
        <is>
          <t>MEDISAVE</t>
        </is>
      </c>
      <c r="F21" s="36" t="n"/>
      <c r="G21" s="33" t="n"/>
      <c r="H21" s="34" t="n"/>
      <c r="I21" s="35" t="inlineStr">
        <is>
          <t>MEDISAVE</t>
        </is>
      </c>
      <c r="J21" s="174" t="n"/>
      <c r="K21" s="33" t="n"/>
      <c r="L21" s="34" t="n"/>
      <c r="M21" s="41" t="inlineStr">
        <is>
          <t>MEDISAVE</t>
        </is>
      </c>
      <c r="N21" s="174" t="n"/>
      <c r="O21" s="33" t="n"/>
      <c r="P21" s="46" t="n"/>
      <c r="Q21" s="31" t="n"/>
      <c r="R21" s="39" t="n"/>
      <c r="S21" s="40" t="n"/>
      <c r="T21" s="46" t="n"/>
      <c r="U21" s="35" t="inlineStr">
        <is>
          <t>MEDISAVE</t>
        </is>
      </c>
      <c r="V21" s="174" t="n"/>
      <c r="W21" s="33" t="n"/>
      <c r="X21" s="48" t="n"/>
      <c r="Y21" s="35" t="inlineStr">
        <is>
          <t>MEDISAVE</t>
        </is>
      </c>
      <c r="Z21" s="174" t="n"/>
      <c r="AA21" s="45" t="n"/>
      <c r="AB21" s="46" t="n"/>
      <c r="AC21" s="46" t="n"/>
      <c r="AD21" s="35" t="inlineStr">
        <is>
          <t>MEDISAVE</t>
        </is>
      </c>
      <c r="AE21" s="174" t="n"/>
      <c r="AF21" s="43" t="n"/>
      <c r="AG21" s="48" t="n"/>
      <c r="AH21" s="46" t="n"/>
      <c r="AI21" s="60" t="n"/>
      <c r="AJ21" s="39" t="n"/>
      <c r="AK21" s="40" t="n"/>
      <c r="AL21" s="46" t="n"/>
      <c r="AM21" s="46" t="n"/>
      <c r="AN21" s="35" t="inlineStr">
        <is>
          <t>MEDISAVE</t>
        </is>
      </c>
      <c r="AO21" s="174" t="n"/>
      <c r="AP21" s="43" t="n"/>
      <c r="AQ21" s="48" t="n"/>
      <c r="AR21" s="46" t="n"/>
      <c r="AS21" s="35" t="inlineStr">
        <is>
          <t>MEDISAVE</t>
        </is>
      </c>
      <c r="AT21" s="174" t="n"/>
      <c r="AU21" s="43" t="n"/>
      <c r="AV21" s="48" t="n"/>
      <c r="AW21" s="46" t="n"/>
      <c r="AX21" s="35" t="inlineStr">
        <is>
          <t>MEDISAVE</t>
        </is>
      </c>
      <c r="AY21" s="174" t="n"/>
      <c r="AZ21" s="43" t="n"/>
      <c r="BA21" s="48" t="n"/>
    </row>
    <row r="22" ht="27.75" customHeight="1" s="220">
      <c r="A22" s="52" t="inlineStr">
        <is>
          <t>mednefits</t>
        </is>
      </c>
      <c r="B22" s="50" t="n"/>
      <c r="C22" s="54">
        <f>B22*20%</f>
        <v/>
      </c>
      <c r="D22" s="34" t="n"/>
      <c r="E22" s="35" t="inlineStr">
        <is>
          <t>mednefits</t>
        </is>
      </c>
      <c r="F22" s="50" t="n"/>
      <c r="G22" s="33">
        <f>F22*20%</f>
        <v/>
      </c>
      <c r="H22" s="34" t="n"/>
      <c r="I22" s="35" t="inlineStr">
        <is>
          <t>mednefits</t>
        </is>
      </c>
      <c r="J22" s="50" t="n"/>
      <c r="K22" s="33">
        <f>J22*20%</f>
        <v/>
      </c>
      <c r="L22" s="34" t="n"/>
      <c r="M22" s="41" t="inlineStr">
        <is>
          <t>mednefits</t>
        </is>
      </c>
      <c r="N22" s="173" t="n"/>
      <c r="O22" s="33">
        <f>N22*20%</f>
        <v/>
      </c>
      <c r="P22" s="46" t="n"/>
      <c r="Q22" s="31" t="n"/>
      <c r="R22" s="39" t="n"/>
      <c r="S22" s="40" t="n"/>
      <c r="T22" s="46" t="n"/>
      <c r="U22" s="35" t="inlineStr">
        <is>
          <t>mednefits</t>
        </is>
      </c>
      <c r="V22" s="51" t="n"/>
      <c r="W22" s="33">
        <f>V22*20%</f>
        <v/>
      </c>
      <c r="X22" s="48" t="n"/>
      <c r="Y22" s="35" t="inlineStr">
        <is>
          <t>mednefits</t>
        </is>
      </c>
      <c r="Z22" s="55" t="n"/>
      <c r="AA22" s="56">
        <f>Z22*20%</f>
        <v/>
      </c>
      <c r="AB22" s="46" t="n"/>
      <c r="AC22" s="46" t="n"/>
      <c r="AD22" s="57" t="inlineStr">
        <is>
          <t>mednefits</t>
        </is>
      </c>
      <c r="AE22" s="58" t="n"/>
      <c r="AF22" s="59">
        <f>AE22*20%</f>
        <v/>
      </c>
      <c r="AG22" s="48" t="n"/>
      <c r="AH22" s="46" t="n"/>
      <c r="AI22" s="60" t="n"/>
      <c r="AJ22" s="39" t="n"/>
      <c r="AK22" s="40" t="n"/>
      <c r="AL22" s="46" t="n"/>
      <c r="AM22" s="46" t="n"/>
      <c r="AN22" s="57" t="inlineStr">
        <is>
          <t>mednefits</t>
        </is>
      </c>
      <c r="AO22" s="58" t="n"/>
      <c r="AP22" s="59">
        <f>AO22*20%</f>
        <v/>
      </c>
      <c r="AQ22" s="48" t="n"/>
      <c r="AR22" s="46" t="n"/>
      <c r="AS22" s="57" t="inlineStr">
        <is>
          <t>mednefits</t>
        </is>
      </c>
      <c r="AT22" s="58" t="n"/>
      <c r="AU22" s="59">
        <f>AT22*20%</f>
        <v/>
      </c>
      <c r="AV22" s="48" t="n"/>
      <c r="AW22" s="46" t="n"/>
      <c r="AX22" s="57" t="inlineStr">
        <is>
          <t>mednefits</t>
        </is>
      </c>
      <c r="AY22" s="58" t="n"/>
      <c r="AZ22" s="59">
        <f>AY22*20%</f>
        <v/>
      </c>
      <c r="BA22" s="48" t="n"/>
    </row>
    <row r="23" ht="27.75" customHeight="1" s="220">
      <c r="A23" s="35" t="inlineStr">
        <is>
          <t>MHC</t>
        </is>
      </c>
      <c r="B23" s="174" t="n"/>
      <c r="C23" s="33">
        <f>B23*0.15*1.09</f>
        <v/>
      </c>
      <c r="D23" s="34" t="n"/>
      <c r="E23" s="35" t="inlineStr">
        <is>
          <t>MHC</t>
        </is>
      </c>
      <c r="F23" s="36" t="n"/>
      <c r="G23" s="33">
        <f>F23*0.15*1.09</f>
        <v/>
      </c>
      <c r="H23" s="34" t="n"/>
      <c r="I23" s="35" t="inlineStr">
        <is>
          <t>MHC</t>
        </is>
      </c>
      <c r="J23" s="174" t="n"/>
      <c r="K23" s="33">
        <f>J23*0.15*1.09</f>
        <v/>
      </c>
      <c r="L23" s="34" t="n"/>
      <c r="M23" s="41" t="inlineStr">
        <is>
          <t>MHC</t>
        </is>
      </c>
      <c r="N23" s="173" t="n"/>
      <c r="O23" s="33">
        <f>N23*0.15*1.09</f>
        <v/>
      </c>
      <c r="P23" s="46" t="n"/>
      <c r="Q23" s="31" t="n"/>
      <c r="R23" s="39" t="n"/>
      <c r="S23" s="40" t="n"/>
      <c r="T23" s="46" t="n"/>
      <c r="U23" s="35" t="inlineStr">
        <is>
          <t>MHC</t>
        </is>
      </c>
      <c r="V23" s="174" t="n"/>
      <c r="W23" s="33">
        <f>V23*0.15*1.09</f>
        <v/>
      </c>
      <c r="X23" s="48" t="n"/>
      <c r="Y23" s="35" t="inlineStr">
        <is>
          <t>MHC</t>
        </is>
      </c>
      <c r="Z23" s="174" t="n"/>
      <c r="AA23" s="33">
        <f>Z23*0.15*1.09</f>
        <v/>
      </c>
      <c r="AB23" s="46" t="n"/>
      <c r="AC23" s="46" t="n"/>
      <c r="AD23" s="35" t="inlineStr">
        <is>
          <t>MHC</t>
        </is>
      </c>
      <c r="AE23" s="174" t="n"/>
      <c r="AF23" s="33">
        <f>AE23*0.15*1.09</f>
        <v/>
      </c>
      <c r="AG23" s="48" t="n"/>
      <c r="AH23" s="46" t="n"/>
      <c r="AI23" s="60" t="n"/>
      <c r="AJ23" s="39" t="n"/>
      <c r="AK23" s="40" t="n"/>
      <c r="AL23" s="46" t="n"/>
      <c r="AM23" s="46" t="n"/>
      <c r="AN23" s="35" t="inlineStr">
        <is>
          <t>MHC</t>
        </is>
      </c>
      <c r="AO23" s="174" t="n"/>
      <c r="AP23" s="33">
        <f>AO23*0.15*1.09</f>
        <v/>
      </c>
      <c r="AQ23" s="48" t="n"/>
      <c r="AR23" s="46" t="n"/>
      <c r="AS23" s="35" t="inlineStr">
        <is>
          <t>MHC</t>
        </is>
      </c>
      <c r="AT23" s="174" t="n"/>
      <c r="AU23" s="33">
        <f>AT23*0.15*1.09</f>
        <v/>
      </c>
      <c r="AV23" s="48" t="n"/>
      <c r="AW23" s="46" t="n"/>
      <c r="AX23" s="35" t="inlineStr">
        <is>
          <t>MHC</t>
        </is>
      </c>
      <c r="AY23" s="173" t="n"/>
      <c r="AZ23" s="33">
        <f>AY23*0.15*1.09</f>
        <v/>
      </c>
      <c r="BA23" s="48" t="n"/>
    </row>
    <row r="24" ht="27.75" customHeight="1" s="220">
      <c r="A24" s="31" t="inlineStr">
        <is>
          <t>NETS</t>
        </is>
      </c>
      <c r="B24" s="174" t="n"/>
      <c r="C24" s="33">
        <f>B24*0.008</f>
        <v/>
      </c>
      <c r="D24" s="34" t="n"/>
      <c r="E24" s="35" t="inlineStr">
        <is>
          <t>NETS</t>
        </is>
      </c>
      <c r="F24" s="36" t="n"/>
      <c r="G24" s="33">
        <f>F24*0.008</f>
        <v/>
      </c>
      <c r="H24" s="34" t="n"/>
      <c r="I24" s="35" t="inlineStr">
        <is>
          <t>NETS</t>
        </is>
      </c>
      <c r="J24" s="174" t="n"/>
      <c r="K24" s="33">
        <f>J24*0.008</f>
        <v/>
      </c>
      <c r="L24" s="34" t="n"/>
      <c r="M24" s="41" t="inlineStr">
        <is>
          <t>NETS</t>
        </is>
      </c>
      <c r="N24" s="174" t="n"/>
      <c r="O24" s="33">
        <f>N24*0.008</f>
        <v/>
      </c>
      <c r="P24" s="46" t="n"/>
      <c r="Q24" s="31" t="n"/>
      <c r="R24" s="39" t="n"/>
      <c r="S24" s="40" t="n"/>
      <c r="T24" s="46" t="n"/>
      <c r="U24" s="35" t="inlineStr">
        <is>
          <t>NETS</t>
        </is>
      </c>
      <c r="V24" s="174" t="n"/>
      <c r="W24" s="33">
        <f>V24*0.008</f>
        <v/>
      </c>
      <c r="X24" s="48" t="n"/>
      <c r="Y24" s="35" t="inlineStr">
        <is>
          <t>NETS</t>
        </is>
      </c>
      <c r="Z24" s="173" t="n"/>
      <c r="AA24" s="33">
        <f>Z24*0.008</f>
        <v/>
      </c>
      <c r="AB24" s="46" t="n"/>
      <c r="AC24" s="46" t="n"/>
      <c r="AD24" s="35" t="inlineStr">
        <is>
          <t>NETS</t>
        </is>
      </c>
      <c r="AE24" s="174" t="n"/>
      <c r="AF24" s="33">
        <f>AE24*0.008</f>
        <v/>
      </c>
      <c r="AG24" s="48" t="n"/>
      <c r="AH24" s="46" t="n"/>
      <c r="AI24" s="60" t="n"/>
      <c r="AJ24" s="39" t="n"/>
      <c r="AK24" s="40" t="n"/>
      <c r="AL24" s="46" t="n"/>
      <c r="AM24" s="46" t="n"/>
      <c r="AN24" s="35" t="inlineStr">
        <is>
          <t>NETS</t>
        </is>
      </c>
      <c r="AO24" s="174" t="n"/>
      <c r="AP24" s="33">
        <f>AO24*0.008</f>
        <v/>
      </c>
      <c r="AQ24" s="48" t="n"/>
      <c r="AR24" s="46" t="n"/>
      <c r="AS24" s="35" t="inlineStr">
        <is>
          <t>NETS</t>
        </is>
      </c>
      <c r="AT24" s="174" t="n"/>
      <c r="AU24" s="33">
        <f>AT24*0.008</f>
        <v/>
      </c>
      <c r="AV24" s="48" t="n"/>
      <c r="AW24" s="46" t="n"/>
      <c r="AX24" s="35" t="inlineStr">
        <is>
          <t>NETS</t>
        </is>
      </c>
      <c r="AY24" s="174" t="n"/>
      <c r="AZ24" s="33">
        <f>AY24*0.008</f>
        <v/>
      </c>
      <c r="BA24" s="48" t="n"/>
    </row>
    <row r="25" ht="27.75" customHeight="1" s="220">
      <c r="A25" s="35" t="inlineStr">
        <is>
          <t>PARKWAY</t>
        </is>
      </c>
      <c r="B25" s="36" t="n"/>
      <c r="C25" s="33">
        <f>B25*10%</f>
        <v/>
      </c>
      <c r="D25" s="34" t="n"/>
      <c r="E25" s="35" t="inlineStr">
        <is>
          <t>PARKWAY</t>
        </is>
      </c>
      <c r="F25" s="36" t="n"/>
      <c r="G25" s="61">
        <f>F25*10%</f>
        <v/>
      </c>
      <c r="H25" s="34" t="n"/>
      <c r="I25" s="35" t="inlineStr">
        <is>
          <t>PARKWAY</t>
        </is>
      </c>
      <c r="J25" s="36" t="n"/>
      <c r="K25" s="61">
        <f>J25*10%</f>
        <v/>
      </c>
      <c r="L25" s="34" t="n"/>
      <c r="M25" s="41" t="inlineStr">
        <is>
          <t>PARKWAY</t>
        </is>
      </c>
      <c r="N25" s="36" t="n"/>
      <c r="O25" s="61">
        <f>N25*10%</f>
        <v/>
      </c>
      <c r="P25" s="46" t="n"/>
      <c r="Q25" s="31" t="n"/>
      <c r="R25" s="39" t="n"/>
      <c r="S25" s="40" t="n"/>
      <c r="T25" s="46" t="n"/>
      <c r="U25" s="35" t="inlineStr">
        <is>
          <t>PARKWAY</t>
        </is>
      </c>
      <c r="V25" s="36" t="n"/>
      <c r="W25" s="61">
        <f>V25*10%</f>
        <v/>
      </c>
      <c r="X25" s="48" t="n"/>
      <c r="Y25" s="35" t="inlineStr">
        <is>
          <t>PARKWAY</t>
        </is>
      </c>
      <c r="Z25" s="174" t="n"/>
      <c r="AA25" s="33">
        <f>Z25*10%</f>
        <v/>
      </c>
      <c r="AB25" s="46" t="n"/>
      <c r="AC25" s="46" t="n"/>
      <c r="AD25" s="35" t="inlineStr">
        <is>
          <t>PARKWAY</t>
        </is>
      </c>
      <c r="AE25" s="174" t="n"/>
      <c r="AF25" s="33">
        <f>AE25*10%</f>
        <v/>
      </c>
      <c r="AG25" s="48" t="n"/>
      <c r="AH25" s="46" t="n"/>
      <c r="AI25" s="60" t="n"/>
      <c r="AJ25" s="39" t="n"/>
      <c r="AK25" s="40" t="n"/>
      <c r="AL25" s="46" t="n"/>
      <c r="AM25" s="46" t="n"/>
      <c r="AN25" s="35" t="inlineStr">
        <is>
          <t>PARKWAY</t>
        </is>
      </c>
      <c r="AO25" s="36" t="n"/>
      <c r="AP25" s="33">
        <f>AO25*10%</f>
        <v/>
      </c>
      <c r="AQ25" s="48" t="n"/>
      <c r="AR25" s="46" t="n"/>
      <c r="AS25" s="35" t="inlineStr">
        <is>
          <t>PARKWAY</t>
        </is>
      </c>
      <c r="AT25" s="36" t="n"/>
      <c r="AU25" s="33">
        <f>AT25*10%</f>
        <v/>
      </c>
      <c r="AV25" s="48" t="n"/>
      <c r="AW25" s="46" t="n"/>
      <c r="AX25" s="35" t="inlineStr">
        <is>
          <t>PARKWAY</t>
        </is>
      </c>
      <c r="AY25" s="36" t="n"/>
      <c r="AZ25" s="33">
        <f>AY25*10%</f>
        <v/>
      </c>
      <c r="BA25" s="48" t="n"/>
    </row>
    <row r="26" ht="27.75" customHeight="1" s="220">
      <c r="A26" s="31" t="inlineStr">
        <is>
          <t>PAYNOW</t>
        </is>
      </c>
      <c r="B26" s="174" t="n"/>
      <c r="C26" s="33" t="n"/>
      <c r="D26" s="34" t="n"/>
      <c r="E26" s="35" t="inlineStr">
        <is>
          <t>PAYNOW</t>
        </is>
      </c>
      <c r="F26" s="36" t="n"/>
      <c r="G26" s="33" t="n"/>
      <c r="H26" s="34" t="n"/>
      <c r="I26" s="35" t="inlineStr">
        <is>
          <t>PAYNOW</t>
        </is>
      </c>
      <c r="J26" s="174" t="n"/>
      <c r="K26" s="33" t="n"/>
      <c r="L26" s="34" t="n"/>
      <c r="M26" s="41" t="inlineStr">
        <is>
          <t>PAYNOW</t>
        </is>
      </c>
      <c r="N26" s="173" t="n"/>
      <c r="O26" s="33" t="n"/>
      <c r="P26" s="46" t="n"/>
      <c r="Q26" s="31" t="n"/>
      <c r="R26" s="39" t="n"/>
      <c r="S26" s="40" t="n"/>
      <c r="T26" s="46" t="n"/>
      <c r="U26" s="35" t="inlineStr">
        <is>
          <t>PAYNOW</t>
        </is>
      </c>
      <c r="V26" s="174" t="n"/>
      <c r="W26" s="33" t="n"/>
      <c r="X26" s="48" t="n"/>
      <c r="Y26" s="35" t="inlineStr">
        <is>
          <t>PAYNOW</t>
        </is>
      </c>
      <c r="Z26" s="174" t="n"/>
      <c r="AA26" s="33" t="n"/>
      <c r="AB26" s="46" t="n"/>
      <c r="AC26" s="46" t="n"/>
      <c r="AD26" s="35" t="inlineStr">
        <is>
          <t>PAYNOW</t>
        </is>
      </c>
      <c r="AE26" s="174" t="n"/>
      <c r="AF26" s="33" t="n"/>
      <c r="AG26" s="48" t="n"/>
      <c r="AH26" s="46" t="n"/>
      <c r="AI26" s="60" t="n"/>
      <c r="AJ26" s="39" t="n"/>
      <c r="AK26" s="40" t="n"/>
      <c r="AL26" s="46" t="n"/>
      <c r="AM26" s="46" t="n"/>
      <c r="AN26" s="35" t="inlineStr">
        <is>
          <t>PAYNOW</t>
        </is>
      </c>
      <c r="AO26" s="174" t="n"/>
      <c r="AP26" s="33" t="n"/>
      <c r="AQ26" s="48" t="n"/>
      <c r="AR26" s="46" t="n"/>
      <c r="AS26" s="35" t="inlineStr">
        <is>
          <t>PAYNOW</t>
        </is>
      </c>
      <c r="AT26" s="36" t="n"/>
      <c r="AU26" s="33" t="n"/>
      <c r="AV26" s="48" t="n"/>
      <c r="AW26" s="46" t="n"/>
      <c r="AX26" s="35" t="inlineStr">
        <is>
          <t>PAYNOW</t>
        </is>
      </c>
      <c r="AY26" s="36" t="n"/>
      <c r="AZ26" s="33" t="n"/>
      <c r="BA26" s="48" t="n"/>
    </row>
    <row r="27" ht="27.75" customHeight="1" s="220">
      <c r="A27" s="63" t="inlineStr">
        <is>
          <t>RHI</t>
        </is>
      </c>
      <c r="B27" s="36" t="n"/>
      <c r="C27" s="65" t="n"/>
      <c r="D27" s="34" t="n"/>
      <c r="E27" s="35" t="inlineStr">
        <is>
          <t>RHI</t>
        </is>
      </c>
      <c r="F27" s="36" t="n"/>
      <c r="G27" s="33" t="n"/>
      <c r="H27" s="34" t="n"/>
      <c r="I27" s="35" t="inlineStr">
        <is>
          <t>RHI</t>
        </is>
      </c>
      <c r="J27" s="36" t="n"/>
      <c r="K27" s="33" t="n"/>
      <c r="L27" s="34" t="n"/>
      <c r="M27" s="41" t="inlineStr">
        <is>
          <t>RHI</t>
        </is>
      </c>
      <c r="N27" s="173" t="n"/>
      <c r="O27" s="33" t="n"/>
      <c r="P27" s="46" t="n"/>
      <c r="Q27" s="31" t="n"/>
      <c r="R27" s="39" t="n"/>
      <c r="S27" s="40" t="n"/>
      <c r="T27" s="46" t="n"/>
      <c r="U27" s="35" t="inlineStr">
        <is>
          <t>RHI</t>
        </is>
      </c>
      <c r="V27" s="51" t="n"/>
      <c r="W27" s="33" t="n"/>
      <c r="X27" s="48" t="n"/>
      <c r="Y27" s="35" t="inlineStr">
        <is>
          <t>RHI</t>
        </is>
      </c>
      <c r="Z27" s="36" t="n"/>
      <c r="AA27" s="33" t="n"/>
      <c r="AB27" s="46" t="n"/>
      <c r="AC27" s="46" t="n"/>
      <c r="AD27" s="35" t="inlineStr">
        <is>
          <t>RHI</t>
        </is>
      </c>
      <c r="AE27" s="36" t="n"/>
      <c r="AF27" s="33" t="n"/>
      <c r="AG27" s="48" t="n"/>
      <c r="AH27" s="46" t="n"/>
      <c r="AI27" s="60" t="n"/>
      <c r="AJ27" s="39" t="n"/>
      <c r="AK27" s="40" t="n"/>
      <c r="AL27" s="46" t="n"/>
      <c r="AM27" s="46" t="n"/>
      <c r="AN27" s="35" t="inlineStr">
        <is>
          <t>RHI</t>
        </is>
      </c>
      <c r="AO27" s="36" t="n"/>
      <c r="AP27" s="33" t="n"/>
      <c r="AQ27" s="48" t="n"/>
      <c r="AR27" s="46" t="n"/>
      <c r="AS27" s="35" t="inlineStr">
        <is>
          <t>RHI</t>
        </is>
      </c>
      <c r="AT27" s="36" t="n"/>
      <c r="AU27" s="33" t="n"/>
      <c r="AV27" s="48" t="n"/>
      <c r="AW27" s="46" t="n"/>
      <c r="AX27" s="35" t="inlineStr">
        <is>
          <t>RHI</t>
        </is>
      </c>
      <c r="AY27" s="36" t="n"/>
      <c r="AZ27" s="33" t="n"/>
      <c r="BA27" s="48" t="n"/>
    </row>
    <row r="28" ht="27.75" customHeight="1" s="220">
      <c r="A28" s="35" t="inlineStr">
        <is>
          <t>SAH</t>
        </is>
      </c>
      <c r="B28" s="36" t="n"/>
      <c r="C28" s="61">
        <f>B28*8%</f>
        <v/>
      </c>
      <c r="D28" s="34" t="n"/>
      <c r="E28" s="35" t="inlineStr">
        <is>
          <t>SAH</t>
        </is>
      </c>
      <c r="F28" s="36" t="n"/>
      <c r="G28" s="61">
        <f>F28*8%</f>
        <v/>
      </c>
      <c r="H28" s="34" t="n"/>
      <c r="I28" s="35" t="inlineStr">
        <is>
          <t>SAH</t>
        </is>
      </c>
      <c r="J28" s="36" t="n"/>
      <c r="K28" s="61">
        <f>J28*8%</f>
        <v/>
      </c>
      <c r="L28" s="34" t="n"/>
      <c r="M28" s="35" t="inlineStr">
        <is>
          <t>SAH</t>
        </is>
      </c>
      <c r="N28" s="36" t="n"/>
      <c r="O28" s="61">
        <f>N28*8%</f>
        <v/>
      </c>
      <c r="P28" s="46" t="n"/>
      <c r="Q28" s="31" t="n"/>
      <c r="R28" s="39" t="n"/>
      <c r="S28" s="40" t="n"/>
      <c r="T28" s="46" t="n"/>
      <c r="U28" s="35" t="inlineStr">
        <is>
          <t>SAH</t>
        </is>
      </c>
      <c r="V28" s="36" t="n"/>
      <c r="W28" s="61">
        <f>V28*8%</f>
        <v/>
      </c>
      <c r="X28" s="48" t="n"/>
      <c r="Y28" s="35" t="inlineStr">
        <is>
          <t>SAH</t>
        </is>
      </c>
      <c r="Z28" s="36" t="n"/>
      <c r="AA28" s="61">
        <f>Z28*8%</f>
        <v/>
      </c>
      <c r="AB28" s="46" t="n"/>
      <c r="AC28" s="46" t="n"/>
      <c r="AD28" s="35" t="inlineStr">
        <is>
          <t>SAH</t>
        </is>
      </c>
      <c r="AE28" s="36" t="n"/>
      <c r="AF28" s="61">
        <f>AE28*8%</f>
        <v/>
      </c>
      <c r="AG28" s="48" t="n"/>
      <c r="AH28" s="46" t="n"/>
      <c r="AI28" s="60" t="n"/>
      <c r="AJ28" s="39" t="n"/>
      <c r="AK28" s="40" t="n"/>
      <c r="AL28" s="46" t="n"/>
      <c r="AM28" s="46" t="n"/>
      <c r="AN28" s="35" t="inlineStr">
        <is>
          <t>SAH</t>
        </is>
      </c>
      <c r="AO28" s="36" t="n"/>
      <c r="AP28" s="61">
        <f>AO28*8%</f>
        <v/>
      </c>
      <c r="AQ28" s="48" t="n"/>
      <c r="AR28" s="46" t="n"/>
      <c r="AS28" s="35" t="inlineStr">
        <is>
          <t>SAH</t>
        </is>
      </c>
      <c r="AT28" s="36" t="n"/>
      <c r="AU28" s="61">
        <f>AT28*8%</f>
        <v/>
      </c>
      <c r="AV28" s="48" t="n"/>
      <c r="AW28" s="46" t="n"/>
      <c r="AX28" s="35" t="inlineStr">
        <is>
          <t>SAH</t>
        </is>
      </c>
      <c r="AY28" s="36" t="n"/>
      <c r="AZ28" s="61">
        <f>AY28*8%</f>
        <v/>
      </c>
      <c r="BA28" s="48" t="n"/>
    </row>
    <row r="29" ht="27.75" customHeight="1" s="220">
      <c r="A29" s="52" t="inlineStr">
        <is>
          <t>UNION PAY</t>
        </is>
      </c>
      <c r="B29" s="36" t="n"/>
      <c r="C29" s="54">
        <f>B29*2.5%</f>
        <v/>
      </c>
      <c r="D29" s="34" t="n"/>
      <c r="E29" s="35" t="inlineStr">
        <is>
          <t>UNION PAY</t>
        </is>
      </c>
      <c r="F29" s="36" t="n"/>
      <c r="G29" s="33">
        <f>F29*2.5%</f>
        <v/>
      </c>
      <c r="H29" s="34" t="n"/>
      <c r="I29" s="35" t="inlineStr">
        <is>
          <t>UNION PAY</t>
        </is>
      </c>
      <c r="J29" s="36" t="n"/>
      <c r="K29" s="33">
        <f>J29*2.5%</f>
        <v/>
      </c>
      <c r="L29" s="34" t="n"/>
      <c r="M29" s="35" t="inlineStr">
        <is>
          <t>UNION PAY</t>
        </is>
      </c>
      <c r="N29" s="174" t="n"/>
      <c r="O29" s="33">
        <f>N29*2.5%</f>
        <v/>
      </c>
      <c r="P29" s="46" t="n"/>
      <c r="Q29" s="31" t="n"/>
      <c r="R29" s="39" t="n"/>
      <c r="S29" s="40" t="n"/>
      <c r="T29" s="46" t="n"/>
      <c r="U29" s="35" t="inlineStr">
        <is>
          <t>UNION PAY</t>
        </is>
      </c>
      <c r="V29" s="36" t="n"/>
      <c r="W29" s="33">
        <f>V29*2.5%</f>
        <v/>
      </c>
      <c r="X29" s="48" t="n"/>
      <c r="Y29" s="35" t="inlineStr">
        <is>
          <t>UNION PAY</t>
        </is>
      </c>
      <c r="Z29" s="36" t="n"/>
      <c r="AA29" s="33">
        <f>Z29*2.5%</f>
        <v/>
      </c>
      <c r="AB29" s="46" t="n"/>
      <c r="AC29" s="46" t="n"/>
      <c r="AD29" s="35" t="inlineStr">
        <is>
          <t>UNION PAY</t>
        </is>
      </c>
      <c r="AE29" s="36" t="n"/>
      <c r="AF29" s="33">
        <f>AE29*2.5%</f>
        <v/>
      </c>
      <c r="AG29" s="48" t="n"/>
      <c r="AH29" s="46" t="n"/>
      <c r="AI29" s="60" t="n"/>
      <c r="AJ29" s="39" t="n"/>
      <c r="AK29" s="40" t="n"/>
      <c r="AL29" s="46" t="n"/>
      <c r="AM29" s="46" t="n"/>
      <c r="AN29" s="35" t="inlineStr">
        <is>
          <t>UNION PAY</t>
        </is>
      </c>
      <c r="AO29" s="36" t="n"/>
      <c r="AP29" s="33">
        <f>AO29*2.5%</f>
        <v/>
      </c>
      <c r="AQ29" s="48" t="n"/>
      <c r="AR29" s="46" t="n"/>
      <c r="AS29" s="35" t="inlineStr">
        <is>
          <t>UNION PAY</t>
        </is>
      </c>
      <c r="AT29" s="36" t="n"/>
      <c r="AU29" s="33">
        <f>AT29*2.5%</f>
        <v/>
      </c>
      <c r="AV29" s="48" t="n"/>
      <c r="AW29" s="46" t="n"/>
      <c r="AX29" s="35" t="inlineStr">
        <is>
          <t>UNION PAY</t>
        </is>
      </c>
      <c r="AY29" s="36" t="n"/>
      <c r="AZ29" s="33">
        <f>AY29*2.5%</f>
        <v/>
      </c>
      <c r="BA29" s="48" t="n"/>
    </row>
    <row r="30" ht="28.5" customHeight="1" s="220">
      <c r="A30" s="66" t="inlineStr">
        <is>
          <t>VISA</t>
        </is>
      </c>
      <c r="B30" s="70" t="n"/>
      <c r="C30" s="68">
        <f>B30*0.0225</f>
        <v/>
      </c>
      <c r="D30" s="34" t="n"/>
      <c r="E30" s="69" t="inlineStr">
        <is>
          <t>VISA</t>
        </is>
      </c>
      <c r="F30" s="70" t="n"/>
      <c r="G30" s="68">
        <f>F30*0.021</f>
        <v/>
      </c>
      <c r="H30" s="34" t="n"/>
      <c r="I30" s="69" t="inlineStr">
        <is>
          <t>VISA</t>
        </is>
      </c>
      <c r="J30" s="70" t="n"/>
      <c r="K30" s="68">
        <f>J30*0.0225</f>
        <v/>
      </c>
      <c r="L30" s="34" t="n"/>
      <c r="M30" s="69" t="inlineStr">
        <is>
          <t>VISA</t>
        </is>
      </c>
      <c r="N30" s="70" t="n"/>
      <c r="O30" s="68">
        <f>N30*0.0225</f>
        <v/>
      </c>
      <c r="P30" s="46" t="n"/>
      <c r="Q30" s="31" t="n"/>
      <c r="R30" s="39" t="n"/>
      <c r="S30" s="40" t="n"/>
      <c r="T30" s="46" t="n"/>
      <c r="U30" s="69" t="inlineStr">
        <is>
          <t>VISA</t>
        </is>
      </c>
      <c r="V30" s="70" t="n"/>
      <c r="W30" s="68">
        <f>V30*0.0225</f>
        <v/>
      </c>
      <c r="X30" s="48" t="n"/>
      <c r="Y30" s="69" t="inlineStr">
        <is>
          <t>VISA</t>
        </is>
      </c>
      <c r="Z30" s="70" t="n"/>
      <c r="AA30" s="68">
        <f>Z30*0.0225</f>
        <v/>
      </c>
      <c r="AB30" s="46" t="n"/>
      <c r="AC30" s="46" t="n"/>
      <c r="AD30" s="69" t="inlineStr">
        <is>
          <t>VISA</t>
        </is>
      </c>
      <c r="AE30" s="70" t="n"/>
      <c r="AF30" s="68">
        <f>AE30*0.0225</f>
        <v/>
      </c>
      <c r="AG30" s="48" t="n"/>
      <c r="AH30" s="46" t="n"/>
      <c r="AI30" s="60" t="n"/>
      <c r="AJ30" s="39" t="n"/>
      <c r="AK30" s="40" t="n"/>
      <c r="AL30" s="46" t="n"/>
      <c r="AM30" s="46" t="n"/>
      <c r="AN30" s="69" t="inlineStr">
        <is>
          <t>VISA</t>
        </is>
      </c>
      <c r="AO30" s="70" t="n"/>
      <c r="AP30" s="68">
        <f>AO30*0.0225</f>
        <v/>
      </c>
      <c r="AQ30" s="48" t="n"/>
      <c r="AR30" s="46" t="n"/>
      <c r="AS30" s="69" t="inlineStr">
        <is>
          <t>VISA</t>
        </is>
      </c>
      <c r="AT30" s="70" t="n"/>
      <c r="AU30" s="68">
        <f>AT30*0.0225</f>
        <v/>
      </c>
      <c r="AV30" s="48" t="n"/>
      <c r="AW30" s="46" t="n"/>
      <c r="AX30" s="69" t="inlineStr">
        <is>
          <t>VISA</t>
        </is>
      </c>
      <c r="AY30" s="70" t="n"/>
      <c r="AZ30" s="68">
        <f>AY30*0.021</f>
        <v/>
      </c>
      <c r="BA30" s="48" t="n"/>
    </row>
    <row r="31" ht="32.25" customHeight="1" s="220">
      <c r="A31" s="72" t="inlineStr">
        <is>
          <t>TOTAL INCOME</t>
        </is>
      </c>
      <c r="B31" s="188">
        <f>SUM(B7:B30)</f>
        <v/>
      </c>
      <c r="C31" s="74">
        <f>SUM(C7:C30)</f>
        <v/>
      </c>
      <c r="D31" s="34" t="n"/>
      <c r="E31" s="75" t="inlineStr">
        <is>
          <t>DR TOTAL INCOME</t>
        </is>
      </c>
      <c r="F31" s="75">
        <f>SUM(F7:F30)</f>
        <v/>
      </c>
      <c r="G31" s="76">
        <f>SUM(G7:G30)</f>
        <v/>
      </c>
      <c r="H31" s="34" t="n"/>
      <c r="I31" s="77" t="inlineStr">
        <is>
          <t>DR TOTAL INCOME</t>
        </is>
      </c>
      <c r="J31" s="189">
        <f>SUM(J7:J30)</f>
        <v/>
      </c>
      <c r="K31" s="79">
        <f>SUM(K7:K30)</f>
        <v/>
      </c>
      <c r="L31" s="34" t="n"/>
      <c r="M31" s="77" t="inlineStr">
        <is>
          <t>DR TOTAL INCOME</t>
        </is>
      </c>
      <c r="N31" s="189">
        <f>SUM(N7:N30)</f>
        <v/>
      </c>
      <c r="O31" s="80">
        <f>SUM(O7:O30)</f>
        <v/>
      </c>
      <c r="P31" s="46" t="n"/>
      <c r="Q31" s="31" t="n"/>
      <c r="R31" s="39" t="n"/>
      <c r="S31" s="40" t="n"/>
      <c r="T31" s="46" t="n"/>
      <c r="U31" s="75" t="inlineStr">
        <is>
          <t>DR TOTAL INCOME</t>
        </is>
      </c>
      <c r="V31" s="190">
        <f>SUM(V7:V30)</f>
        <v/>
      </c>
      <c r="W31" s="82">
        <f>SUM(W7:W30)</f>
        <v/>
      </c>
      <c r="X31" s="49" t="n"/>
      <c r="Y31" s="77" t="inlineStr">
        <is>
          <t>DR TOTAL INCOME</t>
        </is>
      </c>
      <c r="Z31" s="191">
        <f>SUM(Z7:Z30)</f>
        <v/>
      </c>
      <c r="AA31" s="79">
        <f>SUM(AA7:AA30)</f>
        <v/>
      </c>
      <c r="AB31" s="46" t="n"/>
      <c r="AC31" s="46" t="n"/>
      <c r="AD31" s="84" t="inlineStr">
        <is>
          <t>DR TOTAL INCOME</t>
        </is>
      </c>
      <c r="AE31" s="192">
        <f>SUM(AE7:AE30)</f>
        <v/>
      </c>
      <c r="AF31" s="82">
        <f>SUM(AF7:AF30)</f>
        <v/>
      </c>
      <c r="AG31" s="48" t="n"/>
      <c r="AH31" s="46" t="n"/>
      <c r="AI31" s="60" t="n"/>
      <c r="AJ31" s="39" t="n"/>
      <c r="AK31" s="40" t="n"/>
      <c r="AL31" s="46" t="n"/>
      <c r="AM31" s="46" t="n"/>
      <c r="AN31" s="84" t="inlineStr">
        <is>
          <t>DR TOTAL INCOME</t>
        </is>
      </c>
      <c r="AO31" s="192">
        <f>SUM(AO7:AO30)</f>
        <v/>
      </c>
      <c r="AP31" s="82">
        <f>SUM(AP7:AP30)</f>
        <v/>
      </c>
      <c r="AQ31" s="48" t="n"/>
      <c r="AR31" s="46" t="n"/>
      <c r="AS31" s="84" t="inlineStr">
        <is>
          <t>DR TOTAL INCOME</t>
        </is>
      </c>
      <c r="AT31" s="192">
        <f>SUM(AT7:AT30)</f>
        <v/>
      </c>
      <c r="AU31" s="82">
        <f>SUM(AU7:AU30)</f>
        <v/>
      </c>
      <c r="AV31" s="48" t="n"/>
      <c r="AW31" s="46" t="n"/>
      <c r="AX31" s="84" t="inlineStr">
        <is>
          <t>DR TOTAL INCOME</t>
        </is>
      </c>
      <c r="AY31" s="192">
        <f>SUM(AY7:AY30)</f>
        <v/>
      </c>
      <c r="AZ31" s="82">
        <f>SUM(AZ7:AZ30)</f>
        <v/>
      </c>
      <c r="BA31" s="48" t="n"/>
    </row>
    <row r="32" ht="29.25" customHeight="1" s="220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31" t="n"/>
      <c r="R32" s="39" t="n"/>
      <c r="S32" s="40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8" t="n"/>
      <c r="AH32" s="46" t="n"/>
      <c r="AI32" s="60" t="n"/>
      <c r="AJ32" s="39" t="n"/>
      <c r="AK32" s="40" t="n"/>
      <c r="AL32" s="46" t="n"/>
      <c r="AM32" s="46" t="n"/>
      <c r="AN32" s="46" t="n"/>
      <c r="AO32" s="46" t="n"/>
      <c r="AP32" s="46" t="n"/>
      <c r="AQ32" s="48" t="n"/>
      <c r="AR32" s="46" t="n"/>
      <c r="AS32" s="46" t="n"/>
      <c r="AT32" s="46" t="n"/>
      <c r="AU32" s="46" t="n"/>
      <c r="AV32" s="48" t="n"/>
      <c r="AW32" s="46" t="n"/>
      <c r="AX32" s="46" t="n"/>
      <c r="AY32" s="46" t="n"/>
      <c r="AZ32" s="46" t="n"/>
      <c r="BA32" s="48" t="n"/>
    </row>
    <row r="33" ht="23.25" customHeight="1" s="220">
      <c r="A33" s="86" t="n"/>
      <c r="B33" s="230" t="inlineStr">
        <is>
          <t>EXPENSES</t>
        </is>
      </c>
      <c r="C33" s="231" t="n"/>
      <c r="D33" s="86" t="n"/>
      <c r="E33" s="86" t="n"/>
      <c r="F33" s="232" t="inlineStr">
        <is>
          <t>DEDUCTIONS</t>
        </is>
      </c>
      <c r="G33" s="222" t="n"/>
      <c r="H33" s="90" t="inlineStr">
        <is>
          <t>REMARKS</t>
        </is>
      </c>
      <c r="I33" s="86" t="n"/>
      <c r="J33" s="230" t="inlineStr">
        <is>
          <t>DEDUCTIONS</t>
        </is>
      </c>
      <c r="K33" s="231" t="n"/>
      <c r="L33" s="90" t="inlineStr">
        <is>
          <t>REMARKS</t>
        </is>
      </c>
      <c r="M33" s="86" t="n"/>
      <c r="N33" s="230" t="inlineStr">
        <is>
          <t>DEDUCTIONS</t>
        </is>
      </c>
      <c r="O33" s="231" t="n"/>
      <c r="P33" s="90" t="inlineStr">
        <is>
          <t>REMARKS</t>
        </is>
      </c>
      <c r="Q33" s="86" t="n"/>
      <c r="R33" s="232" t="inlineStr">
        <is>
          <t>DEDUCTIONS</t>
        </is>
      </c>
      <c r="S33" s="222" t="n"/>
      <c r="T33" s="90" t="inlineStr">
        <is>
          <t>REMARKS</t>
        </is>
      </c>
      <c r="U33" s="86" t="n"/>
      <c r="V33" s="230" t="inlineStr">
        <is>
          <t>DEDUCTIONS</t>
        </is>
      </c>
      <c r="W33" s="231" t="n"/>
      <c r="X33" s="90" t="inlineStr">
        <is>
          <t>REMARKS</t>
        </is>
      </c>
      <c r="Y33" s="86" t="n"/>
      <c r="Z33" s="230" t="inlineStr">
        <is>
          <t>DEDUCTIONS</t>
        </is>
      </c>
      <c r="AA33" s="231" t="n"/>
      <c r="AB33" s="90" t="inlineStr">
        <is>
          <t>REMARKS</t>
        </is>
      </c>
      <c r="AC33" s="86" t="n"/>
      <c r="AD33" s="86" t="n"/>
      <c r="AE33" s="230" t="inlineStr">
        <is>
          <t>DEDUCTIONS</t>
        </is>
      </c>
      <c r="AF33" s="231" t="n"/>
      <c r="AG33" s="90" t="inlineStr">
        <is>
          <t>REMARKS</t>
        </is>
      </c>
      <c r="AH33" s="86" t="n"/>
      <c r="AI33" s="86" t="n"/>
      <c r="AJ33" s="232" t="inlineStr">
        <is>
          <t>DEDUCTIONS</t>
        </is>
      </c>
      <c r="AK33" s="222" t="n"/>
      <c r="AL33" s="90" t="inlineStr">
        <is>
          <t>REMARKS</t>
        </is>
      </c>
      <c r="AM33" s="86" t="n"/>
      <c r="AN33" s="86" t="n"/>
      <c r="AO33" s="230" t="inlineStr">
        <is>
          <t>DEDUCTIONS</t>
        </is>
      </c>
      <c r="AP33" s="231" t="n"/>
      <c r="AQ33" s="90" t="inlineStr">
        <is>
          <t>REMARKS</t>
        </is>
      </c>
      <c r="AR33" s="86" t="n"/>
      <c r="AS33" s="86" t="n"/>
      <c r="AT33" s="230" t="inlineStr">
        <is>
          <t>DEDUCTIONS</t>
        </is>
      </c>
      <c r="AU33" s="231" t="n"/>
      <c r="AV33" s="90" t="inlineStr">
        <is>
          <t>REMARKS</t>
        </is>
      </c>
      <c r="AW33" s="86" t="n"/>
      <c r="AX33" s="86" t="n"/>
      <c r="AY33" s="230" t="inlineStr">
        <is>
          <t>DEDUCTIONS</t>
        </is>
      </c>
      <c r="AZ33" s="231" t="n"/>
      <c r="BA33" s="90" t="inlineStr">
        <is>
          <t>REMARKS</t>
        </is>
      </c>
    </row>
    <row r="34" ht="30.75" customHeight="1" s="220">
      <c r="A34" s="1" t="n"/>
      <c r="B34" s="96" t="inlineStr">
        <is>
          <t>ADMIN FEE</t>
        </is>
      </c>
      <c r="C34" s="97">
        <f>SUM(C7:C30)</f>
        <v/>
      </c>
      <c r="D34" s="1" t="n"/>
      <c r="E34" s="1" t="n"/>
      <c r="F34" s="31" t="inlineStr">
        <is>
          <t>ADMIN CHARGES</t>
        </is>
      </c>
      <c r="G34" s="93">
        <f>G31</f>
        <v/>
      </c>
      <c r="H34" s="90" t="n"/>
      <c r="I34" s="1" t="n"/>
      <c r="J34" s="35" t="inlineStr">
        <is>
          <t>ADMIN CHARGES</t>
        </is>
      </c>
      <c r="K34" s="94">
        <f>K31</f>
        <v/>
      </c>
      <c r="L34" s="90" t="n"/>
      <c r="M34" s="1" t="n"/>
      <c r="N34" s="35" t="inlineStr">
        <is>
          <t>ADMIN CHARGES</t>
        </is>
      </c>
      <c r="O34" s="94">
        <f>O31</f>
        <v/>
      </c>
      <c r="P34" s="90" t="n"/>
      <c r="Q34" s="1" t="n"/>
      <c r="R34" s="31" t="inlineStr">
        <is>
          <t>ADMIN CHARGES</t>
        </is>
      </c>
      <c r="S34" s="93">
        <f>#REF!</f>
        <v/>
      </c>
      <c r="T34" s="90" t="n"/>
      <c r="U34" s="1" t="n"/>
      <c r="V34" s="35" t="inlineStr">
        <is>
          <t>ADMIN CHARGES</t>
        </is>
      </c>
      <c r="W34" s="94">
        <f>W31</f>
        <v/>
      </c>
      <c r="X34" s="90" t="n"/>
      <c r="Y34" s="1" t="n"/>
      <c r="Z34" s="35" t="inlineStr">
        <is>
          <t>ADMIN CHARGES</t>
        </is>
      </c>
      <c r="AA34" s="94">
        <f>AA31</f>
        <v/>
      </c>
      <c r="AB34" s="90" t="n"/>
      <c r="AC34" s="1" t="n"/>
      <c r="AD34" s="1" t="n"/>
      <c r="AE34" s="35" t="inlineStr">
        <is>
          <t>ADMIN CHARGES</t>
        </is>
      </c>
      <c r="AF34" s="94">
        <f>AF31</f>
        <v/>
      </c>
      <c r="AG34" s="90" t="n"/>
      <c r="AH34" s="1" t="n"/>
      <c r="AI34" s="1" t="n"/>
      <c r="AJ34" s="31" t="inlineStr">
        <is>
          <t>ADMIN CHARGES</t>
        </is>
      </c>
      <c r="AK34" s="93">
        <f>#REF!</f>
        <v/>
      </c>
      <c r="AL34" s="90" t="n"/>
      <c r="AM34" s="1" t="n"/>
      <c r="AN34" s="1" t="n"/>
      <c r="AO34" s="35" t="inlineStr">
        <is>
          <t>ADMIN CHARGES</t>
        </is>
      </c>
      <c r="AP34" s="94">
        <f>AP31</f>
        <v/>
      </c>
      <c r="AQ34" s="90" t="n"/>
      <c r="AR34" s="1" t="n"/>
      <c r="AS34" s="1" t="n"/>
      <c r="AT34" s="35" t="inlineStr">
        <is>
          <t>ADMIN CHARGES</t>
        </is>
      </c>
      <c r="AU34" s="94">
        <f>AU31</f>
        <v/>
      </c>
      <c r="AV34" s="90" t="n"/>
      <c r="AW34" s="1" t="n"/>
      <c r="AX34" s="1" t="n"/>
      <c r="AY34" s="35" t="inlineStr">
        <is>
          <t>ADMIN CHARGES</t>
        </is>
      </c>
      <c r="AZ34" s="94">
        <f>AZ31</f>
        <v/>
      </c>
      <c r="BA34" s="90" t="n"/>
    </row>
    <row r="35" ht="30.75" customHeight="1" s="220">
      <c r="A35" s="1" t="n"/>
      <c r="B35" s="96" t="inlineStr">
        <is>
          <t>GST</t>
        </is>
      </c>
      <c r="C35" s="179">
        <f>K35+O35+AA35+AF35+AM35+AP35+T35+W35+AU35+AZ35</f>
        <v/>
      </c>
      <c r="D35" s="1" t="n"/>
      <c r="E35" s="1" t="n"/>
      <c r="F35" s="31" t="inlineStr">
        <is>
          <t>GST</t>
        </is>
      </c>
      <c r="G35" s="100" t="n"/>
      <c r="H35" s="90" t="n"/>
      <c r="I35" s="1" t="n"/>
      <c r="J35" s="35" t="inlineStr">
        <is>
          <t>GST</t>
        </is>
      </c>
      <c r="K35" s="51" t="n"/>
      <c r="L35" s="90" t="n"/>
      <c r="M35" s="1" t="n"/>
      <c r="N35" s="35" t="inlineStr">
        <is>
          <t>GST</t>
        </is>
      </c>
      <c r="O35" s="51" t="n"/>
      <c r="P35" s="90" t="n"/>
      <c r="Q35" s="1" t="n"/>
      <c r="R35" s="31" t="inlineStr">
        <is>
          <t>GST</t>
        </is>
      </c>
      <c r="S35" s="100" t="n"/>
      <c r="T35" s="90" t="n"/>
      <c r="U35" s="1" t="n"/>
      <c r="V35" s="35" t="inlineStr">
        <is>
          <t>GST</t>
        </is>
      </c>
      <c r="W35" s="51" t="n"/>
      <c r="X35" s="90" t="n"/>
      <c r="Y35" s="1" t="n"/>
      <c r="Z35" s="35" t="inlineStr">
        <is>
          <t>GST</t>
        </is>
      </c>
      <c r="AA35" s="51" t="n"/>
      <c r="AB35" s="90" t="n"/>
      <c r="AC35" s="1" t="n"/>
      <c r="AD35" s="1" t="n"/>
      <c r="AE35" s="35" t="inlineStr">
        <is>
          <t>GST</t>
        </is>
      </c>
      <c r="AF35" s="51" t="n"/>
      <c r="AG35" s="90" t="n"/>
      <c r="AH35" s="1" t="n"/>
      <c r="AI35" s="1" t="n"/>
      <c r="AJ35" s="31" t="inlineStr">
        <is>
          <t>GST</t>
        </is>
      </c>
      <c r="AK35" s="100" t="n"/>
      <c r="AL35" s="90" t="n"/>
      <c r="AM35" s="1" t="n"/>
      <c r="AN35" s="1" t="n"/>
      <c r="AO35" s="35" t="inlineStr">
        <is>
          <t>GST</t>
        </is>
      </c>
      <c r="AP35" s="51" t="n"/>
      <c r="AQ35" s="90" t="n"/>
      <c r="AR35" s="1" t="n"/>
      <c r="AS35" s="1" t="n"/>
      <c r="AT35" s="35" t="inlineStr">
        <is>
          <t>GST</t>
        </is>
      </c>
      <c r="AU35" s="51" t="n"/>
      <c r="AV35" s="90" t="n"/>
      <c r="AW35" s="1" t="n"/>
      <c r="AX35" s="1" t="n"/>
      <c r="AY35" s="35" t="inlineStr">
        <is>
          <t>GST</t>
        </is>
      </c>
      <c r="AZ35" s="51" t="n"/>
      <c r="BA35" s="90" t="n"/>
    </row>
    <row r="36" ht="30.75" customHeight="1" s="220">
      <c r="A36" s="1" t="n"/>
      <c r="B36" s="96" t="inlineStr">
        <is>
          <t>RENTAL</t>
        </is>
      </c>
      <c r="C36" s="97" t="n"/>
      <c r="D36" s="1" t="n"/>
      <c r="E36" s="1" t="n"/>
      <c r="F36" s="31" t="inlineStr">
        <is>
          <t>ICC-5</t>
        </is>
      </c>
      <c r="G36" s="100" t="n"/>
      <c r="H36" s="90" t="n"/>
      <c r="I36" s="1" t="n"/>
      <c r="J36" s="35" t="inlineStr">
        <is>
          <t>ICC-5</t>
        </is>
      </c>
      <c r="K36" s="51" t="n"/>
      <c r="L36" s="90" t="n"/>
      <c r="M36" s="1" t="n"/>
      <c r="N36" s="35" t="inlineStr">
        <is>
          <t>ICC-5</t>
        </is>
      </c>
      <c r="O36" s="51" t="n"/>
      <c r="P36" s="90" t="n"/>
      <c r="Q36" s="1" t="n"/>
      <c r="R36" s="31" t="n"/>
      <c r="S36" s="100" t="n"/>
      <c r="T36" s="90" t="n"/>
      <c r="U36" s="1" t="n"/>
      <c r="V36" s="35" t="inlineStr">
        <is>
          <t>ICC-5</t>
        </is>
      </c>
      <c r="W36" s="51" t="n"/>
      <c r="X36" s="90" t="n"/>
      <c r="Y36" s="1" t="n"/>
      <c r="Z36" s="35" t="inlineStr">
        <is>
          <t>ICC-5</t>
        </is>
      </c>
      <c r="AA36" s="51" t="n"/>
      <c r="AB36" s="90" t="n"/>
      <c r="AC36" s="1" t="n"/>
      <c r="AD36" s="1" t="n"/>
      <c r="AE36" s="35" t="inlineStr">
        <is>
          <t>ICC-5</t>
        </is>
      </c>
      <c r="AF36" s="51" t="n">
        <v>0</v>
      </c>
      <c r="AG36" s="90" t="n"/>
      <c r="AH36" s="1" t="n"/>
      <c r="AI36" s="1" t="n"/>
      <c r="AJ36" s="31" t="n"/>
      <c r="AK36" s="100" t="n"/>
      <c r="AL36" s="90" t="n"/>
      <c r="AM36" s="1" t="n"/>
      <c r="AN36" s="1" t="n"/>
      <c r="AO36" s="35" t="inlineStr">
        <is>
          <t>ICC-5</t>
        </is>
      </c>
      <c r="AP36" s="51" t="n"/>
      <c r="AQ36" s="90" t="n"/>
      <c r="AR36" s="1" t="n"/>
      <c r="AS36" s="1" t="n"/>
      <c r="AT36" s="35" t="inlineStr">
        <is>
          <t>ICC-5</t>
        </is>
      </c>
      <c r="AU36" s="51" t="n"/>
      <c r="AV36" s="90" t="n"/>
      <c r="AW36" s="1" t="n"/>
      <c r="AX36" s="1" t="n"/>
      <c r="AY36" s="35" t="inlineStr">
        <is>
          <t>ICC-5</t>
        </is>
      </c>
      <c r="AZ36" s="51" t="n"/>
      <c r="BA36" s="90" t="n"/>
    </row>
    <row r="37" ht="30.75" customHeight="1" s="220">
      <c r="A37" s="1" t="n"/>
      <c r="B37" s="96" t="inlineStr">
        <is>
          <t>LOAN INTEREST</t>
        </is>
      </c>
      <c r="C37" s="97" t="n"/>
      <c r="D37" s="1" t="n"/>
      <c r="E37" s="1" t="n"/>
      <c r="F37" s="31" t="inlineStr">
        <is>
          <t>PRODUCTS</t>
        </is>
      </c>
      <c r="G37" s="100" t="n"/>
      <c r="H37" s="90" t="n"/>
      <c r="I37" s="1" t="n"/>
      <c r="J37" s="35" t="inlineStr">
        <is>
          <t>PRODUCTS</t>
        </is>
      </c>
      <c r="K37" s="51" t="n"/>
      <c r="L37" s="90" t="n"/>
      <c r="M37" s="1" t="n"/>
      <c r="N37" s="35" t="inlineStr">
        <is>
          <t>PRODUCTS</t>
        </is>
      </c>
      <c r="O37" s="51" t="n"/>
      <c r="P37" s="90" t="n"/>
      <c r="Q37" s="1" t="n"/>
      <c r="R37" s="31" t="n"/>
      <c r="S37" s="100" t="n"/>
      <c r="T37" s="90" t="n"/>
      <c r="U37" s="1" t="n"/>
      <c r="V37" s="35" t="inlineStr">
        <is>
          <t>PRODUCTS</t>
        </is>
      </c>
      <c r="W37" s="51" t="n"/>
      <c r="X37" s="90" t="n"/>
      <c r="Y37" s="1" t="n"/>
      <c r="Z37" s="35" t="inlineStr">
        <is>
          <t>PRODUCTS</t>
        </is>
      </c>
      <c r="AA37" s="51" t="n"/>
      <c r="AB37" s="90" t="n"/>
      <c r="AC37" s="1" t="n"/>
      <c r="AD37" s="1" t="n"/>
      <c r="AE37" s="35" t="inlineStr">
        <is>
          <t>PRODUCTS</t>
        </is>
      </c>
      <c r="AF37" s="51" t="n"/>
      <c r="AG37" s="90" t="n"/>
      <c r="AH37" s="1" t="n"/>
      <c r="AI37" s="1" t="n"/>
      <c r="AJ37" s="31" t="n"/>
      <c r="AK37" s="100" t="n"/>
      <c r="AL37" s="90" t="n"/>
      <c r="AM37" s="1" t="n"/>
      <c r="AN37" s="1" t="n"/>
      <c r="AO37" s="35" t="inlineStr">
        <is>
          <t>PRODUCTS</t>
        </is>
      </c>
      <c r="AP37" s="51" t="n"/>
      <c r="AQ37" s="90" t="n"/>
      <c r="AR37" s="1" t="n"/>
      <c r="AS37" s="1" t="n"/>
      <c r="AT37" s="35" t="inlineStr">
        <is>
          <t>PRODUCTS</t>
        </is>
      </c>
      <c r="AU37" s="51" t="n"/>
      <c r="AV37" s="90" t="n"/>
      <c r="AW37" s="1" t="n"/>
      <c r="AX37" s="1" t="n"/>
      <c r="AY37" s="35" t="inlineStr">
        <is>
          <t>PRODUCTS</t>
        </is>
      </c>
      <c r="AZ37" s="51" t="n"/>
      <c r="BA37" s="90" t="n"/>
    </row>
    <row r="38" ht="30.75" customHeight="1" s="220">
      <c r="A38" s="1" t="n"/>
      <c r="B38" s="96" t="inlineStr">
        <is>
          <t xml:space="preserve">IRAS TAX </t>
        </is>
      </c>
      <c r="C38" s="97" t="n"/>
      <c r="D38" s="1" t="n"/>
      <c r="E38" s="1" t="n"/>
      <c r="F38" s="31" t="inlineStr">
        <is>
          <t>ORTHO (B+B)</t>
        </is>
      </c>
      <c r="G38" s="100" t="n"/>
      <c r="H38" s="90" t="n"/>
      <c r="I38" s="1" t="n"/>
      <c r="J38" s="35" t="inlineStr">
        <is>
          <t>ORTHO (B+B)</t>
        </is>
      </c>
      <c r="K38" s="51" t="n"/>
      <c r="L38" s="90" t="n"/>
      <c r="M38" s="1" t="n"/>
      <c r="N38" s="35" t="inlineStr">
        <is>
          <t>ORTHO (B+B)</t>
        </is>
      </c>
      <c r="O38" s="51" t="n"/>
      <c r="P38" s="90" t="n"/>
      <c r="Q38" s="1" t="n"/>
      <c r="R38" s="31" t="n"/>
      <c r="S38" s="100" t="n"/>
      <c r="T38" s="90" t="n"/>
      <c r="U38" s="1" t="n"/>
      <c r="V38" s="35" t="inlineStr">
        <is>
          <t>ORTHO (B+B)</t>
        </is>
      </c>
      <c r="W38" s="51" t="n"/>
      <c r="X38" s="90" t="n"/>
      <c r="Y38" s="1" t="n"/>
      <c r="Z38" s="35" t="inlineStr">
        <is>
          <t>ORTHO (B+B)</t>
        </is>
      </c>
      <c r="AA38" s="51" t="n"/>
      <c r="AB38" s="90" t="n"/>
      <c r="AC38" s="1" t="n"/>
      <c r="AD38" s="1" t="n"/>
      <c r="AE38" s="35" t="inlineStr">
        <is>
          <t>ORTHO (B+B)</t>
        </is>
      </c>
      <c r="AF38" s="51" t="n"/>
      <c r="AG38" s="90" t="n"/>
      <c r="AH38" s="1" t="n"/>
      <c r="AI38" s="1" t="n"/>
      <c r="AJ38" s="31" t="n"/>
      <c r="AK38" s="100" t="n"/>
      <c r="AL38" s="90" t="n"/>
      <c r="AM38" s="1" t="n"/>
      <c r="AN38" s="1" t="n"/>
      <c r="AO38" s="35" t="inlineStr">
        <is>
          <t>ORTHO (B+B)</t>
        </is>
      </c>
      <c r="AP38" s="51" t="n"/>
      <c r="AQ38" s="90" t="n"/>
      <c r="AR38" s="1" t="n"/>
      <c r="AS38" s="1" t="n"/>
      <c r="AT38" s="35" t="inlineStr">
        <is>
          <t>ORTHO (B+B)</t>
        </is>
      </c>
      <c r="AU38" s="51" t="n"/>
      <c r="AV38" s="90" t="n"/>
      <c r="AW38" s="1" t="n"/>
      <c r="AX38" s="1" t="n"/>
      <c r="AY38" s="35" t="inlineStr">
        <is>
          <t>ORTHO (B+B)</t>
        </is>
      </c>
      <c r="AZ38" s="51" t="n"/>
      <c r="BA38" s="90" t="n"/>
    </row>
    <row r="39" ht="30.75" customHeight="1" s="220">
      <c r="A39" s="1" t="n"/>
      <c r="B39" s="96" t="inlineStr">
        <is>
          <t>CK SECRETARIAL / ACCOUNTS SERVICES</t>
        </is>
      </c>
      <c r="C39" s="97" t="n"/>
      <c r="D39" s="1" t="n"/>
      <c r="E39" s="1" t="n"/>
      <c r="F39" s="31" t="inlineStr">
        <is>
          <t>ABUTMENTS</t>
        </is>
      </c>
      <c r="G39" s="100" t="n"/>
      <c r="H39" s="98" t="n"/>
      <c r="I39" s="1" t="n"/>
      <c r="J39" s="35" t="inlineStr">
        <is>
          <t>ABUTMENTS</t>
        </is>
      </c>
      <c r="K39" s="51" t="n"/>
      <c r="L39" s="90" t="n"/>
      <c r="M39" s="1" t="n"/>
      <c r="N39" s="35" t="inlineStr">
        <is>
          <t>ABUTMENTS</t>
        </is>
      </c>
      <c r="O39" s="51" t="n"/>
      <c r="P39" s="90" t="n"/>
      <c r="Q39" s="1" t="n"/>
      <c r="R39" s="31" t="n"/>
      <c r="S39" s="100" t="n"/>
      <c r="T39" s="90" t="n"/>
      <c r="U39" s="1" t="n"/>
      <c r="V39" s="35" t="inlineStr">
        <is>
          <t>ABUTMENTS</t>
        </is>
      </c>
      <c r="W39" s="51" t="n"/>
      <c r="X39" s="90" t="n"/>
      <c r="Y39" s="1" t="n"/>
      <c r="Z39" s="35" t="inlineStr">
        <is>
          <t>ABUTMENTS</t>
        </is>
      </c>
      <c r="AA39" s="51" t="n"/>
      <c r="AB39" s="90" t="n"/>
      <c r="AC39" s="1" t="n"/>
      <c r="AD39" s="1" t="n"/>
      <c r="AE39" s="35" t="inlineStr">
        <is>
          <t>ABUTMENTS</t>
        </is>
      </c>
      <c r="AF39" s="51" t="n"/>
      <c r="AG39" s="90" t="n"/>
      <c r="AH39" s="1" t="n"/>
      <c r="AI39" s="1" t="n"/>
      <c r="AJ39" s="31" t="n"/>
      <c r="AK39" s="100" t="n"/>
      <c r="AL39" s="90" t="n"/>
      <c r="AM39" s="1" t="n"/>
      <c r="AN39" s="1" t="n"/>
      <c r="AO39" s="35" t="inlineStr">
        <is>
          <t>ABUTMENTS</t>
        </is>
      </c>
      <c r="AP39" s="51" t="n"/>
      <c r="AQ39" s="90" t="n"/>
      <c r="AR39" s="1" t="n"/>
      <c r="AS39" s="1" t="n"/>
      <c r="AT39" s="35" t="inlineStr">
        <is>
          <t>ABUTMENTS</t>
        </is>
      </c>
      <c r="AU39" s="51" t="n"/>
      <c r="AV39" s="90" t="n"/>
      <c r="AW39" s="1" t="n"/>
      <c r="AX39" s="1" t="n"/>
      <c r="AY39" s="35" t="inlineStr">
        <is>
          <t>ABUTMENTS</t>
        </is>
      </c>
      <c r="AZ39" s="51" t="n"/>
      <c r="BA39" s="90" t="n"/>
    </row>
    <row r="40" ht="30.75" customHeight="1" s="220">
      <c r="A40" s="1" t="n"/>
      <c r="B40" s="96" t="inlineStr">
        <is>
          <t>TOWN COUNCIL</t>
        </is>
      </c>
      <c r="C40" s="97" t="n"/>
      <c r="D40" s="1" t="n"/>
      <c r="E40" s="1" t="n"/>
      <c r="F40" s="31" t="inlineStr">
        <is>
          <t>IMPLANT</t>
        </is>
      </c>
      <c r="G40" s="99" t="n"/>
      <c r="H40" s="90" t="n"/>
      <c r="I40" s="1" t="n"/>
      <c r="J40" s="35" t="inlineStr">
        <is>
          <t>IMPLANT</t>
        </is>
      </c>
      <c r="K40" s="51" t="n"/>
      <c r="L40" s="90" t="n"/>
      <c r="M40" s="1" t="n"/>
      <c r="N40" s="35" t="inlineStr">
        <is>
          <t>IMPLANT</t>
        </is>
      </c>
      <c r="O40" s="51" t="n"/>
      <c r="P40" s="90" t="n"/>
      <c r="Q40" s="1" t="n"/>
      <c r="R40" s="31" t="n"/>
      <c r="S40" s="100" t="n"/>
      <c r="T40" s="90" t="n"/>
      <c r="U40" s="1" t="n"/>
      <c r="V40" s="35" t="inlineStr">
        <is>
          <t>IMPLANT</t>
        </is>
      </c>
      <c r="W40" s="51" t="n"/>
      <c r="X40" s="90" t="n"/>
      <c r="Y40" s="1" t="n"/>
      <c r="Z40" s="35" t="inlineStr">
        <is>
          <t>IMPLANT</t>
        </is>
      </c>
      <c r="AA40" s="51" t="n"/>
      <c r="AB40" s="90" t="n"/>
      <c r="AC40" s="1" t="n"/>
      <c r="AD40" s="1" t="n"/>
      <c r="AE40" s="35" t="inlineStr">
        <is>
          <t>IMPLANT</t>
        </is>
      </c>
      <c r="AF40" s="51" t="n"/>
      <c r="AG40" s="90" t="n"/>
      <c r="AH40" s="1" t="n"/>
      <c r="AI40" s="1" t="n"/>
      <c r="AJ40" s="31" t="n"/>
      <c r="AK40" s="100" t="n"/>
      <c r="AL40" s="90" t="n"/>
      <c r="AM40" s="1" t="n"/>
      <c r="AN40" s="1" t="n"/>
      <c r="AO40" s="35" t="inlineStr">
        <is>
          <t>IMPLANT</t>
        </is>
      </c>
      <c r="AP40" s="51" t="n"/>
      <c r="AQ40" s="90" t="n"/>
      <c r="AR40" s="1" t="n"/>
      <c r="AS40" s="1" t="n"/>
      <c r="AT40" s="35" t="inlineStr">
        <is>
          <t>IMPLANT</t>
        </is>
      </c>
      <c r="AU40" s="51" t="n"/>
      <c r="AV40" s="90" t="n"/>
      <c r="AW40" s="1" t="n"/>
      <c r="AX40" s="1" t="n"/>
      <c r="AY40" s="35" t="inlineStr">
        <is>
          <t>IMPLANT</t>
        </is>
      </c>
      <c r="AZ40" s="51" t="n"/>
      <c r="BA40" s="90" t="n"/>
    </row>
    <row r="41" ht="30.75" customHeight="1" s="220">
      <c r="A41" s="1" t="n"/>
      <c r="B41" s="96" t="inlineStr">
        <is>
          <t>SERVICE &amp; CONSERVANCY CHARGES</t>
        </is>
      </c>
      <c r="C41" s="97" t="n"/>
      <c r="D41" s="1" t="n"/>
      <c r="E41" s="1" t="n"/>
      <c r="F41" s="31" t="inlineStr">
        <is>
          <t>SKY LAB</t>
        </is>
      </c>
      <c r="G41" s="100" t="n"/>
      <c r="H41" s="90" t="n"/>
      <c r="I41" s="1" t="n"/>
      <c r="J41" s="35" t="inlineStr">
        <is>
          <t>SKY LAB</t>
        </is>
      </c>
      <c r="K41" s="51" t="n"/>
      <c r="L41" s="90" t="n"/>
      <c r="M41" s="1" t="n"/>
      <c r="N41" s="35" t="inlineStr">
        <is>
          <t>SKY LAB</t>
        </is>
      </c>
      <c r="O41" s="51" t="n"/>
      <c r="P41" s="90" t="n"/>
      <c r="Q41" s="1" t="n"/>
      <c r="R41" s="31" t="n"/>
      <c r="S41" s="100" t="n"/>
      <c r="T41" s="90" t="n"/>
      <c r="U41" s="1" t="n"/>
      <c r="V41" s="35" t="inlineStr">
        <is>
          <t>SKY LAB</t>
        </is>
      </c>
      <c r="W41" s="51" t="n"/>
      <c r="X41" s="90" t="n"/>
      <c r="Y41" s="1" t="n"/>
      <c r="Z41" s="35" t="inlineStr">
        <is>
          <t>SKY LAB</t>
        </is>
      </c>
      <c r="AA41" s="51" t="n"/>
      <c r="AB41" s="90" t="n"/>
      <c r="AC41" s="1" t="n"/>
      <c r="AD41" s="1" t="n"/>
      <c r="AE41" s="35" t="inlineStr">
        <is>
          <t>SKY LAB</t>
        </is>
      </c>
      <c r="AF41" s="51" t="n"/>
      <c r="AG41" s="90" t="n"/>
      <c r="AH41" s="1" t="n"/>
      <c r="AI41" s="1" t="n"/>
      <c r="AJ41" s="31" t="n"/>
      <c r="AK41" s="100" t="n"/>
      <c r="AL41" s="90" t="n"/>
      <c r="AM41" s="1" t="n"/>
      <c r="AN41" s="1" t="n"/>
      <c r="AO41" s="35" t="inlineStr">
        <is>
          <t>SKY LAB</t>
        </is>
      </c>
      <c r="AP41" s="51" t="n"/>
      <c r="AQ41" s="90" t="n"/>
      <c r="AR41" s="1" t="n"/>
      <c r="AS41" s="1" t="n"/>
      <c r="AT41" s="35" t="inlineStr">
        <is>
          <t>SKY LAB</t>
        </is>
      </c>
      <c r="AU41" s="51" t="n"/>
      <c r="AV41" s="90" t="n"/>
      <c r="AW41" s="1" t="n"/>
      <c r="AX41" s="1" t="n"/>
      <c r="AY41" s="35" t="inlineStr">
        <is>
          <t>SKY LAB</t>
        </is>
      </c>
      <c r="AZ41" s="51" t="n"/>
      <c r="BA41" s="90" t="n"/>
    </row>
    <row r="42" ht="30.75" customHeight="1" s="220">
      <c r="A42" s="1" t="n"/>
      <c r="B42" s="96" t="inlineStr">
        <is>
          <t>SP</t>
        </is>
      </c>
      <c r="C42" s="97" t="n"/>
      <c r="D42" s="1" t="n"/>
      <c r="E42" s="1" t="n"/>
      <c r="F42" s="31" t="inlineStr">
        <is>
          <t>DIGICADCAM</t>
        </is>
      </c>
      <c r="G42" s="100" t="n"/>
      <c r="H42" s="90" t="n"/>
      <c r="I42" s="1" t="n"/>
      <c r="J42" s="35" t="inlineStr">
        <is>
          <t>DIGICADCAM</t>
        </is>
      </c>
      <c r="K42" s="51" t="n"/>
      <c r="L42" s="90" t="n"/>
      <c r="M42" s="1" t="n"/>
      <c r="N42" s="35" t="inlineStr">
        <is>
          <t>DIGICADCAM</t>
        </is>
      </c>
      <c r="O42" s="51" t="n"/>
      <c r="P42" s="90" t="n"/>
      <c r="Q42" s="1" t="n"/>
      <c r="R42" s="31" t="n"/>
      <c r="S42" s="100" t="n"/>
      <c r="T42" s="90" t="n"/>
      <c r="U42" s="1" t="n"/>
      <c r="V42" s="35" t="inlineStr">
        <is>
          <t>DIGICADCAM</t>
        </is>
      </c>
      <c r="W42" s="51" t="n"/>
      <c r="X42" s="90" t="n"/>
      <c r="Y42" s="1" t="n"/>
      <c r="Z42" s="35" t="inlineStr">
        <is>
          <t>DIGICADCAM</t>
        </is>
      </c>
      <c r="AA42" s="51" t="n"/>
      <c r="AB42" s="90" t="n"/>
      <c r="AC42" s="1" t="n"/>
      <c r="AD42" s="1" t="n"/>
      <c r="AE42" s="35" t="inlineStr">
        <is>
          <t>DIGICADCAM</t>
        </is>
      </c>
      <c r="AF42" s="51" t="n"/>
      <c r="AG42" s="90" t="n"/>
      <c r="AH42" s="1" t="n"/>
      <c r="AI42" s="1" t="n"/>
      <c r="AJ42" s="31" t="n"/>
      <c r="AK42" s="100" t="n"/>
      <c r="AL42" s="90" t="n"/>
      <c r="AM42" s="1" t="n"/>
      <c r="AN42" s="1" t="n"/>
      <c r="AO42" s="35" t="inlineStr">
        <is>
          <t>DIGICADCAM</t>
        </is>
      </c>
      <c r="AP42" s="51" t="n"/>
      <c r="AQ42" s="90" t="n"/>
      <c r="AR42" s="1" t="n"/>
      <c r="AS42" s="1" t="n"/>
      <c r="AT42" s="35" t="inlineStr">
        <is>
          <t>DIGICADCAM</t>
        </is>
      </c>
      <c r="AU42" s="51" t="n"/>
      <c r="AV42" s="90" t="n"/>
      <c r="AW42" s="1" t="n"/>
      <c r="AX42" s="1" t="n"/>
      <c r="AY42" s="35" t="inlineStr">
        <is>
          <t>DIGICADCAM</t>
        </is>
      </c>
      <c r="AZ42" s="51" t="n"/>
      <c r="BA42" s="90" t="n"/>
    </row>
    <row r="43" ht="30.75" customHeight="1" s="220">
      <c r="A43" s="1" t="n"/>
      <c r="B43" s="96" t="inlineStr">
        <is>
          <t>SINGTEL</t>
        </is>
      </c>
      <c r="C43" s="97" t="n"/>
      <c r="D43" s="1" t="n"/>
      <c r="E43" s="1" t="n"/>
      <c r="F43" s="31" t="inlineStr">
        <is>
          <t>OTHER LAB</t>
        </is>
      </c>
      <c r="G43" s="100" t="n"/>
      <c r="H43" s="101" t="n"/>
      <c r="I43" s="1" t="n"/>
      <c r="J43" s="35" t="inlineStr">
        <is>
          <t>OTHER LAB</t>
        </is>
      </c>
      <c r="K43" s="51" t="n"/>
      <c r="L43" s="101" t="n"/>
      <c r="M43" s="1" t="n"/>
      <c r="N43" s="35" t="inlineStr">
        <is>
          <t>OTHER LAB</t>
        </is>
      </c>
      <c r="O43" s="51" t="n"/>
      <c r="P43" s="101" t="n"/>
      <c r="Q43" s="1" t="n"/>
      <c r="R43" s="31" t="n"/>
      <c r="S43" s="100" t="n"/>
      <c r="T43" s="90" t="n"/>
      <c r="U43" s="1" t="n"/>
      <c r="V43" s="35" t="inlineStr">
        <is>
          <t>OTHER LAB</t>
        </is>
      </c>
      <c r="W43" s="51" t="n"/>
      <c r="X43" s="90" t="n"/>
      <c r="Y43" s="1" t="n"/>
      <c r="Z43" s="35" t="inlineStr">
        <is>
          <t>OTHER LAB</t>
        </is>
      </c>
      <c r="AA43" s="51" t="n"/>
      <c r="AB43" s="90" t="n"/>
      <c r="AC43" s="1" t="n"/>
      <c r="AD43" s="1" t="n"/>
      <c r="AE43" s="35" t="inlineStr">
        <is>
          <t>OTHER LAB</t>
        </is>
      </c>
      <c r="AF43" s="51" t="n"/>
      <c r="AG43" s="90" t="n"/>
      <c r="AH43" s="1" t="n"/>
      <c r="AI43" s="1" t="n"/>
      <c r="AJ43" s="31" t="n"/>
      <c r="AK43" s="100" t="n"/>
      <c r="AL43" s="90" t="n"/>
      <c r="AM43" s="1" t="n"/>
      <c r="AN43" s="1" t="n"/>
      <c r="AO43" s="35" t="inlineStr">
        <is>
          <t>OTHER LAB</t>
        </is>
      </c>
      <c r="AP43" s="51" t="n"/>
      <c r="AQ43" s="90" t="n"/>
      <c r="AR43" s="1" t="n"/>
      <c r="AS43" s="1" t="n"/>
      <c r="AT43" s="35" t="inlineStr">
        <is>
          <t>OTHER LAB</t>
        </is>
      </c>
      <c r="AU43" s="51" t="n"/>
      <c r="AV43" s="90" t="n"/>
      <c r="AW43" s="1" t="n"/>
      <c r="AX43" s="1" t="n"/>
      <c r="AY43" s="35" t="inlineStr">
        <is>
          <t>OTHER LAB</t>
        </is>
      </c>
      <c r="AZ43" s="51" t="n"/>
      <c r="BA43" s="90" t="n"/>
    </row>
    <row r="44" ht="30.75" customHeight="1" s="220">
      <c r="A44" s="1" t="n"/>
      <c r="B44" s="96" t="inlineStr">
        <is>
          <t>PRODUCTS</t>
        </is>
      </c>
      <c r="C44" s="97">
        <f>G37+K37+O37+S59+W37+AA37+AF37+AK59+AP37+AU37+AZ37</f>
        <v/>
      </c>
      <c r="D44" s="1" t="n"/>
      <c r="E44" s="1" t="n"/>
      <c r="F44" s="31" t="inlineStr">
        <is>
          <t>INVISALIGN</t>
        </is>
      </c>
      <c r="G44" s="100" t="n"/>
      <c r="H44" s="101" t="n"/>
      <c r="I44" s="1" t="n"/>
      <c r="J44" s="35" t="inlineStr">
        <is>
          <t>INVISALIGN</t>
        </is>
      </c>
      <c r="K44" s="51" t="n"/>
      <c r="L44" s="101" t="n"/>
      <c r="M44" s="1" t="n"/>
      <c r="N44" s="35" t="inlineStr">
        <is>
          <t>INVISALIGN</t>
        </is>
      </c>
      <c r="O44" s="51" t="n"/>
      <c r="P44" s="90" t="n"/>
      <c r="Q44" s="1" t="n"/>
      <c r="R44" s="31" t="n"/>
      <c r="S44" s="100" t="n"/>
      <c r="T44" s="90" t="n"/>
      <c r="U44" s="1" t="n"/>
      <c r="V44" s="35" t="inlineStr">
        <is>
          <t>INVISALIGN</t>
        </is>
      </c>
      <c r="W44" s="51" t="n"/>
      <c r="X44" s="101" t="n"/>
      <c r="Y44" s="1" t="n"/>
      <c r="Z44" s="35" t="inlineStr">
        <is>
          <t>INVISALIGN</t>
        </is>
      </c>
      <c r="AA44" s="51" t="n"/>
      <c r="AB44" s="90" t="n"/>
      <c r="AC44" s="1" t="n"/>
      <c r="AD44" s="1" t="n"/>
      <c r="AE44" s="35" t="inlineStr">
        <is>
          <t>INVISALIGN</t>
        </is>
      </c>
      <c r="AF44" s="51" t="n"/>
      <c r="AG44" s="90" t="n"/>
      <c r="AH44" s="1" t="n"/>
      <c r="AI44" s="1" t="n"/>
      <c r="AJ44" s="31" t="n"/>
      <c r="AK44" s="100" t="n"/>
      <c r="AL44" s="90" t="n"/>
      <c r="AM44" s="1" t="n"/>
      <c r="AN44" s="1" t="n"/>
      <c r="AO44" s="35" t="inlineStr">
        <is>
          <t>INVISALIGN</t>
        </is>
      </c>
      <c r="AP44" s="51" t="n"/>
      <c r="AQ44" s="90" t="n"/>
      <c r="AR44" s="1" t="n"/>
      <c r="AS44" s="1" t="n"/>
      <c r="AT44" s="35" t="inlineStr">
        <is>
          <t>INVISALIGN</t>
        </is>
      </c>
      <c r="AU44" s="51" t="n"/>
      <c r="AV44" s="90" t="n"/>
      <c r="AW44" s="1" t="n"/>
      <c r="AX44" s="1" t="n"/>
      <c r="AY44" s="35" t="inlineStr">
        <is>
          <t>INVISALIGN</t>
        </is>
      </c>
      <c r="AZ44" s="51" t="n"/>
      <c r="BA44" s="90" t="n"/>
    </row>
    <row r="45" ht="30.75" customHeight="1" s="220">
      <c r="A45" s="1" t="n"/>
      <c r="B45" s="96" t="inlineStr">
        <is>
          <t>ADMIN STAFF &amp; OFFICE RENTAL</t>
        </is>
      </c>
      <c r="C45" s="97" t="n">
        <v>0</v>
      </c>
      <c r="D45" s="1" t="inlineStr">
        <is>
          <t>NOT UNTIL APRIL 2026</t>
        </is>
      </c>
      <c r="E45" s="1" t="n"/>
      <c r="F45" s="31" t="inlineStr">
        <is>
          <t>TRANSFER (+)</t>
        </is>
      </c>
      <c r="G45" s="100" t="n"/>
      <c r="H45" s="98" t="n"/>
      <c r="I45" s="1" t="n"/>
      <c r="J45" s="35" t="inlineStr">
        <is>
          <t>TRANSFER (+)</t>
        </is>
      </c>
      <c r="K45" s="51" t="n"/>
      <c r="L45" s="98" t="n"/>
      <c r="M45" s="1" t="n"/>
      <c r="N45" s="35" t="inlineStr">
        <is>
          <t>TRANSFER (+)</t>
        </is>
      </c>
      <c r="O45" s="51" t="n"/>
      <c r="P45" s="90" t="n"/>
      <c r="Q45" s="1" t="n"/>
      <c r="R45" s="31" t="n"/>
      <c r="S45" s="100" t="n"/>
      <c r="T45" s="90" t="n"/>
      <c r="U45" s="1" t="n"/>
      <c r="V45" s="35" t="inlineStr">
        <is>
          <t>TRANSFER (+)</t>
        </is>
      </c>
      <c r="W45" s="51" t="n"/>
      <c r="X45" s="102" t="n"/>
      <c r="Y45" s="1" t="n"/>
      <c r="Z45" s="35" t="inlineStr">
        <is>
          <t>TRANSFER (+)</t>
        </is>
      </c>
      <c r="AA45" s="51" t="n"/>
      <c r="AB45" s="98" t="n"/>
      <c r="AC45" s="1" t="n"/>
      <c r="AD45" s="1" t="n"/>
      <c r="AE45" s="35" t="inlineStr">
        <is>
          <t>TRANSFER (+)</t>
        </is>
      </c>
      <c r="AF45" s="51" t="n"/>
      <c r="AG45" s="98" t="n"/>
      <c r="AH45" s="1" t="n"/>
      <c r="AI45" s="1" t="n"/>
      <c r="AJ45" s="31" t="n"/>
      <c r="AK45" s="100" t="n"/>
      <c r="AL45" s="90" t="n"/>
      <c r="AM45" s="1" t="n"/>
      <c r="AN45" s="1" t="n"/>
      <c r="AO45" s="35" t="inlineStr">
        <is>
          <t>TRANSFER (+)</t>
        </is>
      </c>
      <c r="AP45" s="51" t="n"/>
      <c r="AQ45" s="98" t="n"/>
      <c r="AR45" s="1" t="n"/>
      <c r="AS45" s="1" t="n"/>
      <c r="AT45" s="35" t="inlineStr">
        <is>
          <t>TRANSFER (+)</t>
        </is>
      </c>
      <c r="AU45" s="51" t="n"/>
      <c r="AV45" s="98" t="n"/>
      <c r="AW45" s="1" t="n"/>
      <c r="AX45" s="1" t="n"/>
      <c r="AY45" s="35" t="inlineStr">
        <is>
          <t>TRANSFER (+)</t>
        </is>
      </c>
      <c r="AZ45" s="51" t="n"/>
      <c r="BA45" s="98" t="n"/>
    </row>
    <row r="46" ht="30.75" customHeight="1" s="220">
      <c r="A46" s="1" t="n"/>
      <c r="B46" s="96" t="inlineStr">
        <is>
          <t>SUPPLIERS</t>
        </is>
      </c>
      <c r="C46" s="97" t="n"/>
      <c r="D46" s="1" t="n"/>
      <c r="E46" s="1" t="n"/>
      <c r="F46" s="31" t="inlineStr">
        <is>
          <t>TRANSFER (-)</t>
        </is>
      </c>
      <c r="G46" s="100" t="n"/>
      <c r="H46" s="98" t="n"/>
      <c r="I46" s="1" t="n"/>
      <c r="J46" s="35" t="inlineStr">
        <is>
          <t>TRANSFER (-)</t>
        </is>
      </c>
      <c r="K46" s="51" t="n"/>
      <c r="L46" s="90" t="n"/>
      <c r="M46" s="1" t="n"/>
      <c r="N46" s="35" t="inlineStr">
        <is>
          <t>TRANSFER (-)</t>
        </is>
      </c>
      <c r="O46" s="51" t="n"/>
      <c r="P46" s="90" t="n"/>
      <c r="Q46" s="1" t="n"/>
      <c r="R46" s="31" t="n"/>
      <c r="S46" s="100" t="n"/>
      <c r="T46" s="90" t="n"/>
      <c r="U46" s="1" t="n"/>
      <c r="V46" s="35" t="inlineStr">
        <is>
          <t>TRANSFER (-)</t>
        </is>
      </c>
      <c r="W46" s="51" t="n"/>
      <c r="X46" s="103" t="n"/>
      <c r="Y46" s="1" t="n"/>
      <c r="Z46" s="35" t="inlineStr">
        <is>
          <t>TRANSFER (-)</t>
        </is>
      </c>
      <c r="AA46" s="51" t="n"/>
      <c r="AB46" s="102" t="n"/>
      <c r="AC46" s="1" t="n"/>
      <c r="AD46" s="1" t="n"/>
      <c r="AE46" s="35" t="inlineStr">
        <is>
          <t>TRANSFER (-)</t>
        </is>
      </c>
      <c r="AF46" s="51" t="n"/>
      <c r="AG46" s="102" t="n"/>
      <c r="AH46" s="1" t="n"/>
      <c r="AI46" s="1" t="n"/>
      <c r="AJ46" s="31" t="n"/>
      <c r="AK46" s="100" t="n"/>
      <c r="AL46" s="90" t="n"/>
      <c r="AM46" s="1" t="n"/>
      <c r="AN46" s="1" t="n"/>
      <c r="AO46" s="35" t="inlineStr">
        <is>
          <t>TRANSFER (-)</t>
        </is>
      </c>
      <c r="AP46" s="51" t="n"/>
      <c r="AQ46" s="102" t="n"/>
      <c r="AR46" s="1" t="n"/>
      <c r="AS46" s="1" t="n"/>
      <c r="AT46" s="35" t="inlineStr">
        <is>
          <t>TRANSFER (-)</t>
        </is>
      </c>
      <c r="AU46" s="51" t="n"/>
      <c r="AV46" s="102" t="n"/>
      <c r="AW46" s="1" t="n"/>
      <c r="AX46" s="1" t="n"/>
      <c r="AY46" s="35" t="inlineStr">
        <is>
          <t>TRANSFER (-)</t>
        </is>
      </c>
      <c r="AZ46" s="51" t="n"/>
      <c r="BA46" s="102" t="n"/>
    </row>
    <row r="47" ht="30.75" customHeight="1" s="220">
      <c r="A47" s="1" t="n"/>
      <c r="B47" s="104" t="inlineStr">
        <is>
          <t>VOUCHER</t>
        </is>
      </c>
      <c r="C47" s="97">
        <f>B12</f>
        <v/>
      </c>
      <c r="D47" s="1" t="n"/>
      <c r="E47" s="1" t="n"/>
      <c r="F47" s="52" t="inlineStr">
        <is>
          <t>REFUND/REFERRAL</t>
        </is>
      </c>
      <c r="G47" s="105" t="n"/>
      <c r="H47" s="90" t="n"/>
      <c r="I47" s="1" t="n"/>
      <c r="J47" s="35" t="inlineStr">
        <is>
          <t>REFUND/REFERRAL</t>
        </is>
      </c>
      <c r="K47" s="51" t="n"/>
      <c r="L47" s="90" t="n"/>
      <c r="M47" s="1" t="n"/>
      <c r="N47" s="35" t="inlineStr">
        <is>
          <t>REFUND/REFERRAL</t>
        </is>
      </c>
      <c r="O47" s="51" t="n"/>
      <c r="P47" s="98" t="n"/>
      <c r="Q47" s="1" t="n"/>
      <c r="R47" s="31" t="n"/>
      <c r="S47" s="100" t="n"/>
      <c r="T47" s="90" t="n"/>
      <c r="U47" s="1" t="n"/>
      <c r="V47" s="35" t="inlineStr">
        <is>
          <t>REFUND</t>
        </is>
      </c>
      <c r="W47" s="51" t="n"/>
      <c r="X47" s="90" t="n"/>
      <c r="Y47" s="1" t="n"/>
      <c r="Z47" s="35" t="inlineStr">
        <is>
          <t>REFUND</t>
        </is>
      </c>
      <c r="AA47" s="51" t="n"/>
      <c r="AB47" s="90" t="n"/>
      <c r="AC47" s="1" t="n"/>
      <c r="AD47" s="1" t="n"/>
      <c r="AE47" s="35" t="inlineStr">
        <is>
          <t>REFUND</t>
        </is>
      </c>
      <c r="AF47" s="51" t="n"/>
      <c r="AG47" s="90" t="n"/>
      <c r="AH47" s="1" t="n"/>
      <c r="AI47" s="1" t="n"/>
      <c r="AJ47" s="31" t="n"/>
      <c r="AK47" s="100" t="n"/>
      <c r="AL47" s="90" t="n"/>
      <c r="AM47" s="1" t="n"/>
      <c r="AN47" s="1" t="n"/>
      <c r="AO47" s="35" t="inlineStr">
        <is>
          <t>REFUND</t>
        </is>
      </c>
      <c r="AP47" s="51" t="n"/>
      <c r="AQ47" s="90" t="n"/>
      <c r="AR47" s="1" t="n"/>
      <c r="AS47" s="1" t="n"/>
      <c r="AT47" s="35" t="inlineStr">
        <is>
          <t>REFUND</t>
        </is>
      </c>
      <c r="AU47" s="51" t="n"/>
      <c r="AV47" s="90" t="n"/>
      <c r="AW47" s="1" t="n"/>
      <c r="AX47" s="1" t="n"/>
      <c r="AY47" s="35" t="inlineStr">
        <is>
          <t>REFUND</t>
        </is>
      </c>
      <c r="AZ47" s="51" t="n"/>
      <c r="BA47" s="90" t="n"/>
    </row>
    <row r="48" ht="30.75" customHeight="1" s="220">
      <c r="A48" s="1" t="n"/>
      <c r="B48" s="96" t="inlineStr">
        <is>
          <t>PETTY CASH</t>
        </is>
      </c>
      <c r="C48" s="97" t="n"/>
      <c r="D48" s="1" t="n"/>
      <c r="E48" s="1" t="n"/>
      <c r="F48" s="52" t="inlineStr">
        <is>
          <t>VOUCHER</t>
        </is>
      </c>
      <c r="G48" s="105">
        <f>F12</f>
        <v/>
      </c>
      <c r="H48" s="90" t="n"/>
      <c r="I48" s="1" t="n"/>
      <c r="J48" s="35" t="inlineStr">
        <is>
          <t>VOUCHER</t>
        </is>
      </c>
      <c r="K48" s="51" t="n"/>
      <c r="L48" s="90" t="n"/>
      <c r="M48" s="1" t="n"/>
      <c r="N48" s="35" t="inlineStr">
        <is>
          <t>VOUCHER</t>
        </is>
      </c>
      <c r="O48" s="51" t="n"/>
      <c r="P48" s="90" t="n"/>
      <c r="Q48" s="1" t="n"/>
      <c r="R48" s="31" t="n"/>
      <c r="S48" s="100" t="n"/>
      <c r="T48" s="90" t="n"/>
      <c r="U48" s="1" t="n"/>
      <c r="V48" s="35" t="inlineStr">
        <is>
          <t>VOUCHER</t>
        </is>
      </c>
      <c r="W48" s="51" t="n"/>
      <c r="X48" s="90" t="n"/>
      <c r="Y48" s="1" t="n"/>
      <c r="Z48" s="35" t="inlineStr">
        <is>
          <t>VOUCHER</t>
        </is>
      </c>
      <c r="AA48" s="51" t="n"/>
      <c r="AB48" s="90" t="n"/>
      <c r="AC48" s="1" t="n"/>
      <c r="AD48" s="1" t="n"/>
      <c r="AE48" s="35" t="inlineStr">
        <is>
          <t>SEDATION</t>
        </is>
      </c>
      <c r="AF48" s="51" t="n"/>
      <c r="AG48" s="90" t="n"/>
      <c r="AH48" s="1" t="n"/>
      <c r="AI48" s="1" t="n"/>
      <c r="AJ48" s="31" t="n"/>
      <c r="AK48" s="100" t="n"/>
      <c r="AL48" s="90" t="n"/>
      <c r="AM48" s="1" t="n"/>
      <c r="AN48" s="1" t="n"/>
      <c r="AO48" s="35" t="inlineStr">
        <is>
          <t>SEDATION</t>
        </is>
      </c>
      <c r="AP48" s="51" t="n"/>
      <c r="AQ48" s="90" t="n"/>
      <c r="AR48" s="1" t="n"/>
      <c r="AS48" s="1" t="n"/>
      <c r="AT48" s="35" t="inlineStr">
        <is>
          <t>SEDATION</t>
        </is>
      </c>
      <c r="AU48" s="51" t="n"/>
      <c r="AV48" s="90" t="n"/>
      <c r="AW48" s="1" t="n"/>
      <c r="AX48" s="1" t="n"/>
      <c r="AY48" s="35" t="inlineStr">
        <is>
          <t>SEDATION</t>
        </is>
      </c>
      <c r="AZ48" s="51" t="n"/>
      <c r="BA48" s="90" t="n"/>
    </row>
    <row r="49" ht="30.75" customHeight="1" s="220">
      <c r="A49" s="1" t="n"/>
      <c r="B49" s="96" t="inlineStr">
        <is>
          <t>STOCKS / CONSUMABLES FEES</t>
        </is>
      </c>
      <c r="C49" s="97" t="n"/>
      <c r="D49" s="1" t="n"/>
      <c r="E49" s="1" t="n"/>
      <c r="F49" s="31" t="inlineStr">
        <is>
          <t>RETAINERS/BT/SPLINT</t>
        </is>
      </c>
      <c r="G49" s="105" t="n"/>
      <c r="H49" s="90" t="n"/>
      <c r="I49" s="1" t="n"/>
      <c r="J49" s="35" t="inlineStr">
        <is>
          <t>RETAINERS/BT/SPLINT</t>
        </is>
      </c>
      <c r="K49" s="51" t="n"/>
      <c r="L49" s="90" t="n"/>
      <c r="M49" s="1" t="n"/>
      <c r="N49" s="35" t="inlineStr">
        <is>
          <t>RETAINERS/BT/SPLINT</t>
        </is>
      </c>
      <c r="O49" s="51" t="n"/>
      <c r="P49" s="90" t="n"/>
      <c r="Q49" s="1" t="n"/>
      <c r="R49" s="31" t="n"/>
      <c r="S49" s="100" t="n"/>
      <c r="T49" s="90" t="n"/>
      <c r="U49" s="1" t="n"/>
      <c r="V49" s="35" t="inlineStr">
        <is>
          <t>RETAINERS/BT/SPLINT</t>
        </is>
      </c>
      <c r="W49" s="51" t="n"/>
      <c r="X49" s="90" t="n"/>
      <c r="Y49" s="1" t="n"/>
      <c r="Z49" s="35" t="inlineStr">
        <is>
          <t>RETAINERS/BT/SPLINT</t>
        </is>
      </c>
      <c r="AA49" s="51" t="n"/>
      <c r="AB49" s="90" t="n"/>
      <c r="AC49" s="1" t="n"/>
      <c r="AD49" s="1" t="n"/>
      <c r="AE49" s="35" t="inlineStr">
        <is>
          <t>RETAINERS/BT/SPLINT</t>
        </is>
      </c>
      <c r="AF49" s="51" t="n"/>
      <c r="AG49" s="90" t="n"/>
      <c r="AH49" s="1" t="n"/>
      <c r="AI49" s="1" t="n"/>
      <c r="AJ49" s="31" t="n"/>
      <c r="AK49" s="100" t="n"/>
      <c r="AL49" s="90" t="n"/>
      <c r="AM49" s="1" t="n"/>
      <c r="AN49" s="1" t="n"/>
      <c r="AO49" s="35" t="inlineStr">
        <is>
          <t>RETAINERS/BT/SPLINT</t>
        </is>
      </c>
      <c r="AP49" s="51" t="n"/>
      <c r="AQ49" s="90" t="n"/>
      <c r="AR49" s="1" t="n"/>
      <c r="AS49" s="1" t="n"/>
      <c r="AT49" s="35" t="inlineStr">
        <is>
          <t>RETAINERS/BT/SPLINT</t>
        </is>
      </c>
      <c r="AU49" s="51" t="n"/>
      <c r="AV49" s="90" t="n"/>
      <c r="AW49" s="1" t="n"/>
      <c r="AX49" s="1" t="n"/>
      <c r="AY49" s="35" t="inlineStr">
        <is>
          <t>RETAINERS/BT/SPLINT</t>
        </is>
      </c>
      <c r="AZ49" s="51" t="n"/>
      <c r="BA49" s="90" t="n"/>
    </row>
    <row r="50" ht="30.75" customHeight="1" s="220">
      <c r="A50" s="1" t="n"/>
      <c r="B50" s="96" t="inlineStr">
        <is>
          <t xml:space="preserve">MARKETING FEE </t>
        </is>
      </c>
      <c r="C50" s="97" t="n"/>
      <c r="D50" s="1" t="n"/>
      <c r="E50" s="1" t="n"/>
      <c r="F50" s="31" t="inlineStr">
        <is>
          <t>INSTALLMENT</t>
        </is>
      </c>
      <c r="G50" s="105" t="n"/>
      <c r="H50" s="106" t="n"/>
      <c r="I50" s="1" t="n"/>
      <c r="J50" s="35" t="inlineStr">
        <is>
          <t>INSTALLMENT</t>
        </is>
      </c>
      <c r="K50" s="51" t="n"/>
      <c r="L50" s="106" t="n"/>
      <c r="M50" s="1" t="n"/>
      <c r="N50" s="35" t="inlineStr">
        <is>
          <t>INSTALLMENT</t>
        </is>
      </c>
      <c r="O50" s="51" t="n"/>
      <c r="P50" s="90" t="n"/>
      <c r="Q50" s="1" t="n"/>
      <c r="R50" s="31" t="n"/>
      <c r="S50" s="100" t="n"/>
      <c r="T50" s="90" t="n"/>
      <c r="U50" s="1" t="n"/>
      <c r="V50" s="35" t="inlineStr">
        <is>
          <t>INSTALLMENT</t>
        </is>
      </c>
      <c r="W50" s="51" t="n"/>
      <c r="X50" s="90" t="n"/>
      <c r="Y50" s="1" t="n"/>
      <c r="Z50" s="35" t="inlineStr">
        <is>
          <t>INSTALLMENT</t>
        </is>
      </c>
      <c r="AA50" s="51" t="n"/>
      <c r="AB50" s="90" t="n"/>
      <c r="AC50" s="1" t="n"/>
      <c r="AD50" s="1" t="n"/>
      <c r="AE50" s="35" t="inlineStr">
        <is>
          <t>INSTALLMENT</t>
        </is>
      </c>
      <c r="AF50" s="51" t="n"/>
      <c r="AG50" s="90" t="n"/>
      <c r="AH50" s="1" t="n"/>
      <c r="AI50" s="1" t="n"/>
      <c r="AJ50" s="31" t="n"/>
      <c r="AK50" s="100" t="n"/>
      <c r="AL50" s="90" t="n"/>
      <c r="AM50" s="1" t="n"/>
      <c r="AN50" s="1" t="n"/>
      <c r="AO50" s="35" t="inlineStr">
        <is>
          <t>INSTALLMENT</t>
        </is>
      </c>
      <c r="AP50" s="51" t="n"/>
      <c r="AQ50" s="90" t="n"/>
      <c r="AR50" s="1" t="n"/>
      <c r="AS50" s="1" t="n"/>
      <c r="AT50" s="35" t="inlineStr">
        <is>
          <t>INSTALLMENT</t>
        </is>
      </c>
      <c r="AU50" s="51" t="n"/>
      <c r="AV50" s="90" t="n"/>
      <c r="AW50" s="1" t="n"/>
      <c r="AX50" s="1" t="n"/>
      <c r="AY50" s="35" t="inlineStr">
        <is>
          <t>INSTALLMENT</t>
        </is>
      </c>
      <c r="AZ50" s="51" t="n"/>
      <c r="BA50" s="90" t="n"/>
    </row>
    <row r="51" ht="30.75" customHeight="1" s="220">
      <c r="A51" s="1" t="n"/>
      <c r="B51" s="96" t="inlineStr">
        <is>
          <t>INVISALIGN</t>
        </is>
      </c>
      <c r="C51" s="97">
        <f>G44+K44+O44+S66+W44+AA44+AF44+AK66+AP44+AU44</f>
        <v/>
      </c>
      <c r="D51" s="1" t="n"/>
      <c r="E51" s="1" t="n"/>
      <c r="F51" s="35" t="inlineStr">
        <is>
          <t>DEDUCTIONS</t>
        </is>
      </c>
      <c r="G51" s="51" t="n"/>
      <c r="H51" s="101" t="n"/>
      <c r="I51" s="1" t="n"/>
      <c r="J51" s="35" t="inlineStr">
        <is>
          <t>DEDUCTIONS</t>
        </is>
      </c>
      <c r="K51" s="51" t="n"/>
      <c r="L51" s="90" t="n"/>
      <c r="M51" s="1" t="n"/>
      <c r="N51" s="35" t="inlineStr">
        <is>
          <t>DEDUCTIONS</t>
        </is>
      </c>
      <c r="O51" s="51" t="n"/>
      <c r="P51" s="90" t="n"/>
      <c r="Q51" s="1" t="n"/>
      <c r="R51" s="31" t="n"/>
      <c r="S51" s="100" t="n"/>
      <c r="T51" s="90" t="n"/>
      <c r="U51" s="1" t="n"/>
      <c r="V51" s="35" t="inlineStr">
        <is>
          <t>DEDUCTIONS</t>
        </is>
      </c>
      <c r="W51" s="51" t="n"/>
      <c r="X51" s="106" t="n"/>
      <c r="Y51" s="1" t="n"/>
      <c r="Z51" s="35" t="inlineStr">
        <is>
          <t>DEDUCTIONS</t>
        </is>
      </c>
      <c r="AA51" s="51" t="n"/>
      <c r="AB51" s="102" t="n"/>
      <c r="AC51" s="1" t="n"/>
      <c r="AD51" s="1" t="n"/>
      <c r="AE51" s="35" t="inlineStr">
        <is>
          <t>DEDUCTIONS</t>
        </is>
      </c>
      <c r="AF51" s="51" t="n"/>
      <c r="AG51" s="102" t="n"/>
      <c r="AH51" s="1" t="n"/>
      <c r="AI51" s="1" t="n"/>
      <c r="AJ51" s="31" t="n"/>
      <c r="AK51" s="100" t="n"/>
      <c r="AL51" s="90" t="n"/>
      <c r="AM51" s="1" t="n"/>
      <c r="AN51" s="1" t="n"/>
      <c r="AO51" s="35" t="inlineStr">
        <is>
          <t>DEDUCTIONS</t>
        </is>
      </c>
      <c r="AP51" s="51" t="n"/>
      <c r="AQ51" s="102" t="n"/>
      <c r="AR51" s="1" t="n"/>
      <c r="AS51" s="1" t="n"/>
      <c r="AT51" s="35" t="inlineStr">
        <is>
          <t>DEDUCTIONS</t>
        </is>
      </c>
      <c r="AU51" s="51" t="n"/>
      <c r="AV51" s="102" t="n"/>
      <c r="AW51" s="1" t="n"/>
      <c r="AX51" s="1" t="n"/>
      <c r="AY51" s="35" t="inlineStr">
        <is>
          <t>DEDUCTIONS</t>
        </is>
      </c>
      <c r="AZ51" s="51" t="n"/>
      <c r="BA51" s="102" t="n"/>
    </row>
    <row r="52" ht="30.75" customHeight="1" s="220">
      <c r="A52" s="1" t="n"/>
      <c r="B52" s="96" t="inlineStr">
        <is>
          <t>IMPLANT</t>
        </is>
      </c>
      <c r="C52" s="97">
        <f>G40+O40+S62+W40+AA40+AF40+K40+AK62</f>
        <v/>
      </c>
      <c r="D52" s="1" t="n"/>
      <c r="E52" s="1" t="n"/>
      <c r="F52" s="107" t="n"/>
      <c r="G52" s="108" t="n"/>
      <c r="H52" s="1" t="n"/>
      <c r="I52" s="1" t="n"/>
      <c r="J52" s="107" t="n"/>
      <c r="K52" s="108" t="n"/>
      <c r="L52" s="1" t="n"/>
      <c r="M52" s="1" t="n"/>
      <c r="N52" s="107" t="n"/>
      <c r="O52" s="108" t="n"/>
      <c r="P52" s="1" t="n"/>
      <c r="Q52" s="1" t="n"/>
      <c r="R52" s="31" t="n"/>
      <c r="S52" s="100" t="n"/>
      <c r="T52" s="90" t="n"/>
      <c r="U52" s="1" t="n"/>
      <c r="V52" s="107" t="n"/>
      <c r="W52" s="108" t="n"/>
      <c r="X52" s="1" t="n"/>
      <c r="Y52" s="1" t="n"/>
      <c r="Z52" s="107" t="n"/>
      <c r="AA52" s="108" t="n"/>
      <c r="AB52" s="1" t="n"/>
      <c r="AC52" s="1" t="n"/>
      <c r="AD52" s="1" t="n"/>
      <c r="AE52" s="107" t="n"/>
      <c r="AF52" s="108" t="n"/>
      <c r="AG52" s="1" t="n"/>
      <c r="AH52" s="1" t="n"/>
      <c r="AI52" s="1" t="n"/>
      <c r="AJ52" s="31" t="n"/>
      <c r="AK52" s="100" t="n"/>
      <c r="AL52" s="90" t="n"/>
      <c r="AM52" s="1" t="n"/>
      <c r="AN52" s="1" t="n"/>
      <c r="AO52" s="107" t="n"/>
      <c r="AP52" s="108" t="n"/>
      <c r="AQ52" s="1" t="n"/>
      <c r="AR52" s="1" t="n"/>
      <c r="AS52" s="1" t="n"/>
      <c r="AT52" s="107" t="n"/>
      <c r="AU52" s="108" t="n"/>
      <c r="AV52" s="1" t="n"/>
      <c r="AW52" s="1" t="n"/>
      <c r="AX52" s="1" t="n"/>
      <c r="AY52" s="107" t="n"/>
      <c r="AZ52" s="108" t="n"/>
      <c r="BA52" s="1" t="n"/>
    </row>
    <row r="53" ht="30.75" customHeight="1" s="220">
      <c r="A53" s="1" t="n"/>
      <c r="B53" s="96" t="inlineStr">
        <is>
          <t>SKYLAB</t>
        </is>
      </c>
      <c r="C53" s="97">
        <f>G41+O41+W41+S63+K41+AA41+AF41+AK63</f>
        <v/>
      </c>
      <c r="D53" s="1" t="n"/>
      <c r="E53" s="1" t="n"/>
      <c r="F53" s="61" t="inlineStr">
        <is>
          <t>TOTAL</t>
        </is>
      </c>
      <c r="G53" s="109">
        <f>F31-G34-G35-G37-G36-G38-G39-G40-G41-G42-G43-G44+G45-G46-G47-G48-G49-G50-G51</f>
        <v/>
      </c>
      <c r="H53" s="90" t="n"/>
      <c r="I53" s="1" t="n"/>
      <c r="J53" s="61" t="inlineStr">
        <is>
          <t>TOTAL</t>
        </is>
      </c>
      <c r="K53" s="109">
        <f>J31-K34-K35-K36-K37-K38-K39-K40-K41-K42-K43-K44+K45-K46-K47-K48-K49-K50-K51</f>
        <v/>
      </c>
      <c r="L53" s="90" t="n"/>
      <c r="M53" s="1" t="n"/>
      <c r="N53" s="61" t="inlineStr">
        <is>
          <t>TOTAL</t>
        </is>
      </c>
      <c r="O53" s="109">
        <f>N31-O34-O35-O36-O37-O38-O39-O40-O41-O42-O43-O44+O45-O46-O47-O48-O49-O50-O51</f>
        <v/>
      </c>
      <c r="P53" s="90" t="n"/>
      <c r="Q53" s="1" t="n"/>
      <c r="R53" s="31" t="n"/>
      <c r="S53" s="100" t="n"/>
      <c r="T53" s="90" t="n"/>
      <c r="U53" s="1" t="n"/>
      <c r="V53" s="61" t="inlineStr">
        <is>
          <t>TOTAL</t>
        </is>
      </c>
      <c r="W53" s="109">
        <f>V31-W34-W35-W36-W37-W38-W39-W40-W41-W42-W43-W44+W45-W46-W47-W48-W49-W50-W51</f>
        <v/>
      </c>
      <c r="X53" s="90" t="n"/>
      <c r="Y53" s="1" t="n"/>
      <c r="Z53" s="61" t="inlineStr">
        <is>
          <t>TOTAL</t>
        </is>
      </c>
      <c r="AA53" s="109">
        <f>Z31-AA34-AA35-AA36-AA37-AA38-AA39-AA40-AA41-AA42-AA43-AA44+AA45-AA46-AA47-AA48-AA49-AA50-AA51</f>
        <v/>
      </c>
      <c r="AB53" s="182" t="n"/>
      <c r="AC53" s="1" t="n"/>
      <c r="AD53" s="1" t="n"/>
      <c r="AE53" s="61" t="inlineStr">
        <is>
          <t>TOTAL</t>
        </is>
      </c>
      <c r="AF53" s="109">
        <f>AE31-AF34-AF35-AF36-AF37-AF38-AF39-AF40-AF41-AF42-AF43-AF44+AF45-AF46-AF47-AF48-AF49-AF50-AF51</f>
        <v/>
      </c>
      <c r="AG53" s="90" t="n"/>
      <c r="AH53" s="1" t="n"/>
      <c r="AI53" s="1" t="n"/>
      <c r="AJ53" s="31" t="n"/>
      <c r="AK53" s="100" t="n"/>
      <c r="AL53" s="90" t="n"/>
      <c r="AM53" s="1" t="n"/>
      <c r="AN53" s="1" t="n"/>
      <c r="AO53" s="61" t="inlineStr">
        <is>
          <t>TOTAL</t>
        </is>
      </c>
      <c r="AP53" s="109">
        <f>AO31-AP34-AP35-AP36-AP37-AP38-AP39-AP40-AP41-AP42-AP43-AP44+AP45-AP46-AP47-AP48-AP49-AP50-AP51</f>
        <v/>
      </c>
      <c r="AQ53" s="90" t="n"/>
      <c r="AR53" s="1" t="n"/>
      <c r="AS53" s="1" t="n"/>
      <c r="AT53" s="61" t="inlineStr">
        <is>
          <t>TOTAL</t>
        </is>
      </c>
      <c r="AU53" s="109">
        <f>AT31-AU34-AU35-AU36-AU37-AU38-AU39-AU40-AU41-AU42-AU43-AU44+AU45-AU46-AU47-AU48-AU49-AU50-AU51</f>
        <v/>
      </c>
      <c r="AV53" s="90" t="n"/>
      <c r="AW53" s="1" t="n"/>
      <c r="AX53" s="1" t="n"/>
      <c r="AY53" s="61" t="inlineStr">
        <is>
          <t>TOTAL</t>
        </is>
      </c>
      <c r="AZ53" s="109">
        <f>AY31-AZ34-AZ35-AZ36-AZ37-AZ38-AZ39-AZ40-AZ41-AZ42-AZ43-AZ44+AZ45-AZ46-AZ47-AZ48-AZ49-AZ50-AZ51</f>
        <v/>
      </c>
      <c r="BA53" s="90" t="n"/>
    </row>
    <row r="54" ht="30.75" customHeight="1" s="220">
      <c r="A54" s="1" t="n"/>
      <c r="B54" s="96" t="inlineStr">
        <is>
          <t>DIGICADCAM</t>
        </is>
      </c>
      <c r="C54" s="97">
        <f>G42+O42+W42+AA42+AF42+S64+K42+AK64</f>
        <v/>
      </c>
      <c r="D54" s="1" t="n"/>
      <c r="E54" s="1" t="n"/>
      <c r="F54" s="110" t="inlineStr">
        <is>
          <t>DOCTORS FEE BEFORE DEDUCTION</t>
        </is>
      </c>
      <c r="G54" s="111">
        <f>G53/2+G55</f>
        <v/>
      </c>
      <c r="H54" s="90" t="n"/>
      <c r="I54" s="1" t="n"/>
      <c r="J54" s="110" t="inlineStr">
        <is>
          <t>DOCTORS FEE BEFORE DEDUCTION</t>
        </is>
      </c>
      <c r="K54" s="111">
        <f>K53/2+K55</f>
        <v/>
      </c>
      <c r="L54" s="90" t="n"/>
      <c r="M54" s="1" t="n"/>
      <c r="N54" s="112" t="inlineStr">
        <is>
          <t>DOCTORS PAY</t>
        </is>
      </c>
      <c r="O54" s="111">
        <f>(O53*50%)+O55</f>
        <v/>
      </c>
      <c r="P54" s="90" t="n"/>
      <c r="Q54" s="1" t="n"/>
      <c r="R54" s="31" t="n"/>
      <c r="S54" s="100" t="n"/>
      <c r="T54" s="90" t="n"/>
      <c r="U54" s="1" t="n"/>
      <c r="V54" s="112" t="inlineStr">
        <is>
          <t>DOCTORS PAY</t>
        </is>
      </c>
      <c r="W54" s="111">
        <f>(W53*45%)+W55</f>
        <v/>
      </c>
      <c r="X54" s="90" t="n"/>
      <c r="Y54" s="1" t="n"/>
      <c r="Z54" s="112" t="inlineStr">
        <is>
          <t>DOCTORS PAY</t>
        </is>
      </c>
      <c r="AA54" s="111">
        <f>(AA53*45%)+AA55</f>
        <v/>
      </c>
      <c r="AB54" s="90" t="n"/>
      <c r="AC54" s="1" t="n"/>
      <c r="AD54" s="1" t="n"/>
      <c r="AE54" s="112" t="inlineStr">
        <is>
          <t>DOCTORS PAY</t>
        </is>
      </c>
      <c r="AF54" s="111">
        <f>(AF53*50%)+AF55</f>
        <v/>
      </c>
      <c r="AG54" s="90" t="n"/>
      <c r="AH54" s="1" t="n"/>
      <c r="AI54" s="1" t="n"/>
      <c r="AJ54" s="31" t="n"/>
      <c r="AK54" s="100" t="n"/>
      <c r="AL54" s="90" t="n"/>
      <c r="AM54" s="1" t="n"/>
      <c r="AN54" s="1" t="n"/>
      <c r="AO54" s="112" t="inlineStr">
        <is>
          <t>DOCTORS PAY</t>
        </is>
      </c>
      <c r="AP54" s="111">
        <f>(AP53*45%)+AP55</f>
        <v/>
      </c>
      <c r="AQ54" s="90" t="n"/>
      <c r="AR54" s="1" t="n"/>
      <c r="AS54" s="1" t="n"/>
      <c r="AT54" s="112" t="inlineStr">
        <is>
          <t>DOCTORS PAY</t>
        </is>
      </c>
      <c r="AU54" s="111">
        <f>(AU53*50%)+AU55</f>
        <v/>
      </c>
      <c r="AV54" s="90" t="n"/>
      <c r="AW54" s="1" t="n"/>
      <c r="AX54" s="1" t="n"/>
      <c r="AY54" s="112" t="inlineStr">
        <is>
          <t>DOCTORS PAY</t>
        </is>
      </c>
      <c r="AZ54" s="111">
        <f>(AZ53*50%)+AZ55</f>
        <v/>
      </c>
      <c r="BA54" s="90" t="n"/>
    </row>
    <row r="55" ht="30.75" customHeight="1" s="220">
      <c r="A55" s="1" t="n"/>
      <c r="B55" s="113" t="inlineStr">
        <is>
          <t xml:space="preserve">OTHER LAB </t>
        </is>
      </c>
      <c r="C55" s="97">
        <f>G43+O43+K43+S65+W43+AA43+AF43+AK65</f>
        <v/>
      </c>
      <c r="D55" s="1" t="n"/>
      <c r="E55" s="1" t="n"/>
      <c r="F55" s="50" t="inlineStr">
        <is>
          <t>ADJUSTMENTS (+)</t>
        </is>
      </c>
      <c r="G55" s="36" t="n"/>
      <c r="H55" s="98" t="n"/>
      <c r="I55" s="1" t="n"/>
      <c r="J55" s="50" t="inlineStr">
        <is>
          <t>ADJUSTMENTS (+)</t>
        </is>
      </c>
      <c r="K55" s="36" t="n"/>
      <c r="L55" s="90" t="n"/>
      <c r="M55" s="1" t="n"/>
      <c r="N55" s="50" t="inlineStr">
        <is>
          <t>ADJUSTMENTS (+)</t>
        </is>
      </c>
      <c r="O55" s="36" t="n"/>
      <c r="P55" s="90" t="n"/>
      <c r="Q55" s="1" t="n"/>
      <c r="R55" s="31" t="n"/>
      <c r="S55" s="100" t="n"/>
      <c r="T55" s="90" t="n"/>
      <c r="U55" s="1" t="n"/>
      <c r="V55" s="50" t="inlineStr">
        <is>
          <t>ADJUSTMENTS (+)</t>
        </is>
      </c>
      <c r="W55" s="36" t="n"/>
      <c r="X55" s="114" t="n"/>
      <c r="Y55" s="1" t="n"/>
      <c r="Z55" s="50" t="inlineStr">
        <is>
          <t>ADJUSTMENTS (+)</t>
        </is>
      </c>
      <c r="AA55" s="36" t="n"/>
      <c r="AB55" s="90" t="n"/>
      <c r="AC55" s="1" t="n"/>
      <c r="AD55" s="1" t="n"/>
      <c r="AE55" s="50" t="inlineStr">
        <is>
          <t>ADJUSTMENTS (+)</t>
        </is>
      </c>
      <c r="AF55" s="36" t="n"/>
      <c r="AG55" s="98" t="n"/>
      <c r="AH55" s="1" t="n"/>
      <c r="AI55" s="1" t="n"/>
      <c r="AJ55" s="31" t="n"/>
      <c r="AK55" s="100" t="n"/>
      <c r="AL55" s="90" t="n"/>
      <c r="AM55" s="1" t="n"/>
      <c r="AN55" s="1" t="n"/>
      <c r="AO55" s="50" t="inlineStr">
        <is>
          <t>ADJUSTMENTS (+)</t>
        </is>
      </c>
      <c r="AP55" s="36" t="n"/>
      <c r="AQ55" s="98" t="n"/>
      <c r="AR55" s="1" t="n"/>
      <c r="AS55" s="1" t="n"/>
      <c r="AT55" s="50" t="inlineStr">
        <is>
          <t>ADJUSTMENTS (+)</t>
        </is>
      </c>
      <c r="AU55" s="36" t="n"/>
      <c r="AV55" s="98" t="n"/>
      <c r="AW55" s="1" t="n"/>
      <c r="AX55" s="1" t="n"/>
      <c r="AY55" s="50" t="inlineStr">
        <is>
          <t>ADJUSTMENTS (+)</t>
        </is>
      </c>
      <c r="AZ55" s="36" t="n"/>
      <c r="BA55" s="98" t="n"/>
    </row>
    <row r="56" ht="82.5" customHeight="1" s="220">
      <c r="A56" s="1" t="n"/>
      <c r="B56" s="96" t="inlineStr">
        <is>
          <t>ORTHO (B+B)</t>
        </is>
      </c>
      <c r="C56" s="97">
        <f>G38+K38+O38+S60+W38+AA38+AF38+AK60</f>
        <v/>
      </c>
      <c r="D56" s="1" t="n"/>
      <c r="E56" s="1" t="n"/>
      <c r="F56" s="50" t="inlineStr">
        <is>
          <t>ADJUSTMENTS (-)</t>
        </is>
      </c>
      <c r="G56" s="115">
        <f>G61+G65</f>
        <v/>
      </c>
      <c r="H56" s="114" t="inlineStr">
        <is>
          <t>ADDN MARKETING&amp; MEDISAVE ADMIN</t>
        </is>
      </c>
      <c r="I56" s="1" t="n"/>
      <c r="J56" s="50" t="inlineStr">
        <is>
          <t>ADJUSTMENTS (-)</t>
        </is>
      </c>
      <c r="K56" s="115">
        <f>K61+K65</f>
        <v/>
      </c>
      <c r="L56" s="114" t="inlineStr">
        <is>
          <t>ADDN MARKETING</t>
        </is>
      </c>
      <c r="M56" s="1" t="n"/>
      <c r="N56" s="50" t="inlineStr">
        <is>
          <t>ADJUSTMENTS (-)</t>
        </is>
      </c>
      <c r="O56" s="115">
        <f>O61+O65</f>
        <v/>
      </c>
      <c r="P56" s="114" t="inlineStr">
        <is>
          <t>ADDN MARKETING &amp; MEDISAVE ADMIN</t>
        </is>
      </c>
      <c r="Q56" s="1" t="n"/>
      <c r="R56" s="31" t="n"/>
      <c r="S56" s="100" t="n"/>
      <c r="T56" s="90" t="n"/>
      <c r="U56" s="1" t="n"/>
      <c r="V56" s="50" t="inlineStr">
        <is>
          <t>ADJUSTMENTS (-)</t>
        </is>
      </c>
      <c r="W56" s="116">
        <f>W61+W65</f>
        <v/>
      </c>
      <c r="X56" s="114" t="inlineStr">
        <is>
          <t>ADDN MKTRG &amp; MEDISAVE ADMIN</t>
        </is>
      </c>
      <c r="Y56" s="1" t="n"/>
      <c r="Z56" s="50" t="inlineStr">
        <is>
          <t>ADJUSTMENTS (-)</t>
        </is>
      </c>
      <c r="AA56" s="115">
        <f>AA61+AA65</f>
        <v/>
      </c>
      <c r="AB56" s="102" t="inlineStr">
        <is>
          <t>MARKETING FEE &amp; MEDISAVE ADMIN</t>
        </is>
      </c>
      <c r="AC56" s="1" t="n"/>
      <c r="AD56" s="1" t="n"/>
      <c r="AE56" s="50" t="inlineStr">
        <is>
          <t>ADJUSTMENTS (-)</t>
        </is>
      </c>
      <c r="AF56" s="116">
        <f>AF61+AF65</f>
        <v/>
      </c>
      <c r="AG56" s="102" t="inlineStr">
        <is>
          <t>MARKETING FEE &amp; MEDISAVE ADMIN</t>
        </is>
      </c>
      <c r="AH56" s="1" t="n"/>
      <c r="AI56" s="1" t="n"/>
      <c r="AJ56" s="31" t="n"/>
      <c r="AK56" s="100" t="n"/>
      <c r="AL56" s="90" t="n"/>
      <c r="AM56" s="1" t="n"/>
      <c r="AN56" s="1" t="n"/>
      <c r="AO56" s="50" t="inlineStr">
        <is>
          <t>ADJUSTMENTS (-)</t>
        </is>
      </c>
      <c r="AP56" s="116">
        <f>AP61+AP65</f>
        <v/>
      </c>
      <c r="AQ56" s="102" t="inlineStr">
        <is>
          <t>MARKETING FEE &amp; MEDISAVE ADMIN</t>
        </is>
      </c>
      <c r="AR56" s="1" t="n"/>
      <c r="AS56" s="1" t="n"/>
      <c r="AT56" s="50" t="inlineStr">
        <is>
          <t>ADJUSTMENTS (-)</t>
        </is>
      </c>
      <c r="AU56" s="116">
        <f>AU61+AU65</f>
        <v/>
      </c>
      <c r="AV56" s="102" t="inlineStr">
        <is>
          <t>MARKETING FEE &amp; MEDISAVE ADMIN</t>
        </is>
      </c>
      <c r="AW56" s="1" t="n"/>
      <c r="AX56" s="1" t="n"/>
      <c r="AY56" s="50" t="inlineStr">
        <is>
          <t>ADJUSTMENTS (-)</t>
        </is>
      </c>
      <c r="AZ56" s="116">
        <f>AZ61+AZ65</f>
        <v/>
      </c>
      <c r="BA56" s="102" t="inlineStr">
        <is>
          <t>MARKETING FEE &amp; MEDISAVE ADMIN</t>
        </is>
      </c>
    </row>
    <row r="57" ht="30.75" customHeight="1" s="220">
      <c r="A57" s="1" t="n"/>
      <c r="B57" s="96" t="inlineStr">
        <is>
          <t>ABUTMENT</t>
        </is>
      </c>
      <c r="C57" s="97">
        <f>O39+G39+K39+S61+AA39+W39+AF39+AK61</f>
        <v/>
      </c>
      <c r="D57" s="1" t="n"/>
      <c r="E57" s="1" t="n"/>
      <c r="F57" s="50" t="inlineStr">
        <is>
          <t>NET PAY</t>
        </is>
      </c>
      <c r="G57" s="111">
        <f>G54-G56</f>
        <v/>
      </c>
      <c r="H57" s="90" t="n"/>
      <c r="I57" s="1" t="n"/>
      <c r="J57" s="50" t="inlineStr">
        <is>
          <t>NET PAY</t>
        </is>
      </c>
      <c r="K57" s="111">
        <f>K54-K56</f>
        <v/>
      </c>
      <c r="L57" s="90" t="n"/>
      <c r="M57" s="1" t="n"/>
      <c r="N57" s="50" t="inlineStr">
        <is>
          <t>NET PAY</t>
        </is>
      </c>
      <c r="O57" s="111">
        <f>O54-O56</f>
        <v/>
      </c>
      <c r="P57" s="90" t="n"/>
      <c r="Q57" s="1" t="n"/>
      <c r="R57" s="31" t="n"/>
      <c r="S57" s="100" t="n"/>
      <c r="T57" s="90" t="n"/>
      <c r="U57" s="1" t="n"/>
      <c r="V57" s="50" t="inlineStr">
        <is>
          <t>NET PAY</t>
        </is>
      </c>
      <c r="W57" s="111">
        <f>W54-W56</f>
        <v/>
      </c>
      <c r="X57" s="90" t="n"/>
      <c r="Y57" s="1" t="n"/>
      <c r="Z57" s="50" t="inlineStr">
        <is>
          <t>NET PAY</t>
        </is>
      </c>
      <c r="AA57" s="111">
        <f>AA54-AA56</f>
        <v/>
      </c>
      <c r="AB57" s="90" t="n"/>
      <c r="AC57" s="1" t="n"/>
      <c r="AD57" s="1" t="n"/>
      <c r="AE57" s="50" t="inlineStr">
        <is>
          <t>NET PAY</t>
        </is>
      </c>
      <c r="AF57" s="111">
        <f>AF54-AF56</f>
        <v/>
      </c>
      <c r="AG57" s="90" t="n"/>
      <c r="AH57" s="1" t="n"/>
      <c r="AI57" s="1" t="n"/>
      <c r="AJ57" s="31" t="n"/>
      <c r="AK57" s="100" t="n"/>
      <c r="AL57" s="90" t="n"/>
      <c r="AM57" s="1" t="n"/>
      <c r="AN57" s="1" t="n"/>
      <c r="AO57" s="50" t="inlineStr">
        <is>
          <t>NET PAY</t>
        </is>
      </c>
      <c r="AP57" s="111">
        <f>AP54-AP56</f>
        <v/>
      </c>
      <c r="AQ57" s="90" t="n"/>
      <c r="AR57" s="1" t="n"/>
      <c r="AS57" s="1" t="n"/>
      <c r="AT57" s="50" t="inlineStr">
        <is>
          <t>NET PAY</t>
        </is>
      </c>
      <c r="AU57" s="111">
        <f>AU54-AU56</f>
        <v/>
      </c>
      <c r="AV57" s="90" t="n"/>
      <c r="AW57" s="1" t="n"/>
      <c r="AX57" s="1" t="n"/>
      <c r="AY57" s="50" t="inlineStr">
        <is>
          <t>NET PAY</t>
        </is>
      </c>
      <c r="AZ57" s="111">
        <f>AZ54-AZ56</f>
        <v/>
      </c>
      <c r="BA57" s="90" t="n"/>
    </row>
    <row r="58" ht="30.75" customHeight="1" s="220">
      <c r="A58" s="1" t="inlineStr">
        <is>
          <t> </t>
        </is>
      </c>
      <c r="B58" s="96" t="inlineStr">
        <is>
          <t>REFUND / REFERRAL</t>
        </is>
      </c>
      <c r="C58" s="97">
        <f>G47+K47+O47+S69+W47+AA47+AF47+AK69</f>
        <v/>
      </c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31" t="inlineStr">
        <is>
          <t>ICC-5</t>
        </is>
      </c>
      <c r="S58" s="100" t="n"/>
      <c r="T58" s="90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31" t="inlineStr">
        <is>
          <t>ICC-5</t>
        </is>
      </c>
      <c r="AK58" s="100" t="n"/>
      <c r="AL58" s="90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</row>
    <row r="59" ht="30.75" customHeight="1" s="220">
      <c r="A59" s="1" t="n"/>
      <c r="B59" s="96" t="inlineStr">
        <is>
          <t>DOCTORS PAY</t>
        </is>
      </c>
      <c r="C59" s="97">
        <f>G54+K54+O54+W54+AA54+AF54+AP54+AU54+AZ54</f>
        <v/>
      </c>
      <c r="D59" s="1" t="n"/>
      <c r="E59" s="1" t="n"/>
      <c r="F59" s="117" t="inlineStr">
        <is>
          <t>MEDISAVE ADMIN FEE CALCULATION:</t>
        </is>
      </c>
      <c r="G59" s="1" t="n"/>
      <c r="H59" s="1" t="n"/>
      <c r="I59" s="1" t="n"/>
      <c r="J59" s="117" t="inlineStr">
        <is>
          <t>MEDISAVE ADMIN FEE CALCULATION:</t>
        </is>
      </c>
      <c r="K59" s="1" t="n"/>
      <c r="L59" s="1" t="n"/>
      <c r="M59" s="1" t="n"/>
      <c r="N59" s="117" t="inlineStr">
        <is>
          <t>MEDISAVE ADMIN FEE CALCULATION:</t>
        </is>
      </c>
      <c r="O59" s="1" t="n"/>
      <c r="P59" s="1" t="n"/>
      <c r="Q59" s="1" t="n"/>
      <c r="R59" s="31" t="inlineStr">
        <is>
          <t>PRODUCTS</t>
        </is>
      </c>
      <c r="S59" s="100" t="n"/>
      <c r="T59" s="90" t="n"/>
      <c r="U59" s="1" t="n"/>
      <c r="V59" s="117" t="inlineStr">
        <is>
          <t>MEDISAVE ADMIN FEE CALCULATION:</t>
        </is>
      </c>
      <c r="W59" s="1" t="n"/>
      <c r="X59" s="1" t="n"/>
      <c r="Y59" s="1" t="n"/>
      <c r="Z59" s="117" t="inlineStr">
        <is>
          <t>MEDISAVE ADMIN FEE CALCULATION:</t>
        </is>
      </c>
      <c r="AA59" s="1" t="n"/>
      <c r="AB59" s="1" t="n"/>
      <c r="AC59" s="1" t="n"/>
      <c r="AD59" s="1" t="n"/>
      <c r="AE59" s="117" t="inlineStr">
        <is>
          <t>MEDISAVE ADMIN FEE CALCULATION:</t>
        </is>
      </c>
      <c r="AF59" s="1" t="n"/>
      <c r="AG59" s="1" t="n"/>
      <c r="AH59" s="1" t="n"/>
      <c r="AI59" s="1" t="n"/>
      <c r="AJ59" s="31" t="inlineStr">
        <is>
          <t>PRODUCTS</t>
        </is>
      </c>
      <c r="AK59" s="100" t="n"/>
      <c r="AL59" s="90" t="n"/>
      <c r="AM59" s="1" t="n"/>
      <c r="AN59" s="1" t="n"/>
      <c r="AO59" s="117" t="inlineStr">
        <is>
          <t>MEDISAVE ADMIN FEE CALCULATION:</t>
        </is>
      </c>
      <c r="AP59" s="1" t="n"/>
      <c r="AQ59" s="1" t="n"/>
      <c r="AR59" s="1" t="n"/>
      <c r="AS59" s="1" t="n"/>
      <c r="AT59" s="117" t="inlineStr">
        <is>
          <t>MEDISAVE ADMIN FEE CALCULATION:</t>
        </is>
      </c>
      <c r="AU59" s="1" t="n"/>
      <c r="AV59" s="1" t="n"/>
      <c r="AW59" s="1" t="n"/>
      <c r="AX59" s="1" t="n"/>
      <c r="AY59" s="117" t="inlineStr">
        <is>
          <t>MEDISAVE ADMIN FEE CALCULATION:</t>
        </is>
      </c>
      <c r="AZ59" s="1" t="n"/>
      <c r="BA59" s="1" t="n"/>
    </row>
    <row r="60" ht="30.75" customHeight="1" s="220">
      <c r="A60" s="1" t="n"/>
      <c r="B60" s="96" t="inlineStr">
        <is>
          <t>NURSE PAY (BASIC PAY)</t>
        </is>
      </c>
      <c r="C60" s="97" t="n"/>
      <c r="D60" s="1" t="n"/>
      <c r="E60" s="1" t="n"/>
      <c r="F60" s="118" t="inlineStr">
        <is>
          <t>Medisave Claim</t>
        </is>
      </c>
      <c r="G60" s="119" t="inlineStr">
        <is>
          <t>Admin Fee</t>
        </is>
      </c>
      <c r="H60" s="119" t="inlineStr">
        <is>
          <t>REMARKS</t>
        </is>
      </c>
      <c r="I60" s="1" t="n"/>
      <c r="J60" s="118" t="inlineStr">
        <is>
          <t>Medisave Claim</t>
        </is>
      </c>
      <c r="K60" s="119" t="inlineStr">
        <is>
          <t>Admin Fee</t>
        </is>
      </c>
      <c r="L60" s="119" t="inlineStr">
        <is>
          <t>REMARKS</t>
        </is>
      </c>
      <c r="M60" s="1" t="n"/>
      <c r="N60" s="118" t="inlineStr">
        <is>
          <t>Medisave Claim</t>
        </is>
      </c>
      <c r="O60" s="119" t="inlineStr">
        <is>
          <t>Admin Fee</t>
        </is>
      </c>
      <c r="P60" s="119" t="inlineStr">
        <is>
          <t>REMARKS</t>
        </is>
      </c>
      <c r="Q60" s="1" t="n"/>
      <c r="R60" s="31" t="inlineStr">
        <is>
          <t>ORTHO (B+B)</t>
        </is>
      </c>
      <c r="S60" s="100" t="n"/>
      <c r="T60" s="90" t="n"/>
      <c r="U60" s="1" t="n"/>
      <c r="V60" s="118" t="inlineStr">
        <is>
          <t>Medisave Claim</t>
        </is>
      </c>
      <c r="W60" s="119" t="inlineStr">
        <is>
          <t>Admin Fee</t>
        </is>
      </c>
      <c r="X60" s="119" t="inlineStr">
        <is>
          <t>REMARKS</t>
        </is>
      </c>
      <c r="Y60" s="1" t="n"/>
      <c r="Z60" s="118" t="inlineStr">
        <is>
          <t>Medisave Claim</t>
        </is>
      </c>
      <c r="AA60" s="119" t="inlineStr">
        <is>
          <t>Admin Fee</t>
        </is>
      </c>
      <c r="AB60" s="119" t="inlineStr">
        <is>
          <t>REMARKS</t>
        </is>
      </c>
      <c r="AC60" s="1" t="n"/>
      <c r="AD60" s="1" t="n"/>
      <c r="AE60" s="118" t="inlineStr">
        <is>
          <t>Medisave Claim</t>
        </is>
      </c>
      <c r="AF60" s="119" t="inlineStr">
        <is>
          <t>Admin Fee</t>
        </is>
      </c>
      <c r="AG60" s="119" t="inlineStr">
        <is>
          <t>REMARKS</t>
        </is>
      </c>
      <c r="AH60" s="1" t="n"/>
      <c r="AI60" s="1" t="n"/>
      <c r="AJ60" s="31" t="inlineStr">
        <is>
          <t>ORTHO (B+B)</t>
        </is>
      </c>
      <c r="AK60" s="100" t="n"/>
      <c r="AL60" s="90" t="n"/>
      <c r="AM60" s="1" t="n"/>
      <c r="AN60" s="1" t="n"/>
      <c r="AO60" s="118" t="inlineStr">
        <is>
          <t>Medisave Claim</t>
        </is>
      </c>
      <c r="AP60" s="119" t="inlineStr">
        <is>
          <t>Admin Fee</t>
        </is>
      </c>
      <c r="AQ60" s="119" t="inlineStr">
        <is>
          <t>REMARKS</t>
        </is>
      </c>
      <c r="AR60" s="1" t="n"/>
      <c r="AS60" s="1" t="n"/>
      <c r="AT60" s="118" t="inlineStr">
        <is>
          <t>Medisave Claim</t>
        </is>
      </c>
      <c r="AU60" s="119" t="inlineStr">
        <is>
          <t>Admin Fee</t>
        </is>
      </c>
      <c r="AV60" s="119" t="inlineStr">
        <is>
          <t>REMARKS</t>
        </is>
      </c>
      <c r="AW60" s="1" t="n"/>
      <c r="AX60" s="1" t="n"/>
      <c r="AY60" s="118" t="inlineStr">
        <is>
          <t>Medisave Claim</t>
        </is>
      </c>
      <c r="AZ60" s="119" t="inlineStr">
        <is>
          <t>Admin Fee</t>
        </is>
      </c>
      <c r="BA60" s="119" t="inlineStr">
        <is>
          <t>REMARKS</t>
        </is>
      </c>
    </row>
    <row r="61" ht="30.75" customHeight="1" s="220">
      <c r="A61" s="1" t="n"/>
      <c r="B61" s="96" t="inlineStr">
        <is>
          <t>NURSE PAY (INCENTIVE)</t>
        </is>
      </c>
      <c r="C61" s="97" t="n"/>
      <c r="D61" s="1" t="n"/>
      <c r="E61" s="1" t="n"/>
      <c r="F61" s="120" t="n"/>
      <c r="G61" s="121">
        <f>F61*20</f>
        <v/>
      </c>
      <c r="H61" s="121" t="n"/>
      <c r="I61" s="1" t="n"/>
      <c r="J61" s="120" t="n"/>
      <c r="K61" s="121">
        <f>J61*20</f>
        <v/>
      </c>
      <c r="L61" s="121" t="n"/>
      <c r="M61" s="1" t="n"/>
      <c r="N61" s="120" t="n"/>
      <c r="O61" s="121">
        <f>N61*20</f>
        <v/>
      </c>
      <c r="P61" s="121" t="n"/>
      <c r="Q61" s="1" t="n"/>
      <c r="R61" s="31" t="inlineStr">
        <is>
          <t>ABUTMENTS</t>
        </is>
      </c>
      <c r="S61" s="100" t="n"/>
      <c r="T61" s="90" t="n"/>
      <c r="U61" s="1" t="n"/>
      <c r="V61" s="120" t="n"/>
      <c r="W61" s="121">
        <f>V61*20</f>
        <v/>
      </c>
      <c r="X61" s="121" t="n"/>
      <c r="Y61" s="1" t="n"/>
      <c r="Z61" s="120" t="n"/>
      <c r="AA61" s="121">
        <f>Z61*20</f>
        <v/>
      </c>
      <c r="AB61" s="121" t="n"/>
      <c r="AC61" s="1" t="n"/>
      <c r="AD61" s="1" t="n"/>
      <c r="AE61" s="120" t="n"/>
      <c r="AF61" s="121">
        <f>AE61*20</f>
        <v/>
      </c>
      <c r="AG61" s="121" t="n"/>
      <c r="AH61" s="1" t="n"/>
      <c r="AI61" s="1" t="n"/>
      <c r="AJ61" s="31" t="inlineStr">
        <is>
          <t>ABUTMENTS</t>
        </is>
      </c>
      <c r="AK61" s="100" t="n"/>
      <c r="AL61" s="90" t="n"/>
      <c r="AM61" s="1" t="n"/>
      <c r="AN61" s="1" t="n"/>
      <c r="AO61" s="120" t="n"/>
      <c r="AP61" s="121">
        <f>AO61*20</f>
        <v/>
      </c>
      <c r="AQ61" s="121" t="n"/>
      <c r="AR61" s="1" t="n"/>
      <c r="AS61" s="1" t="n"/>
      <c r="AT61" s="120" t="n"/>
      <c r="AU61" s="121">
        <f>AT61*20</f>
        <v/>
      </c>
      <c r="AV61" s="121" t="n"/>
      <c r="AW61" s="1" t="n"/>
      <c r="AX61" s="1" t="n"/>
      <c r="AY61" s="120" t="n"/>
      <c r="AZ61" s="121">
        <f>AY61*20</f>
        <v/>
      </c>
      <c r="BA61" s="121" t="n"/>
    </row>
    <row r="62" ht="30.75" customHeight="1" s="220">
      <c r="A62" s="1" t="n"/>
      <c r="B62" s="96" t="inlineStr">
        <is>
          <t>NURSE TRANSFER FEE</t>
        </is>
      </c>
      <c r="C62" s="97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31" t="inlineStr">
        <is>
          <t>IMPLANT</t>
        </is>
      </c>
      <c r="S62" s="100" t="n"/>
      <c r="T62" s="90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31" t="inlineStr">
        <is>
          <t>IMPLANT</t>
        </is>
      </c>
      <c r="AK62" s="100" t="n"/>
      <c r="AL62" s="90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</row>
    <row r="63" ht="30.75" customHeight="1" s="220">
      <c r="A63" s="1" t="inlineStr">
        <is>
          <t> </t>
        </is>
      </c>
      <c r="B63" s="96" t="inlineStr">
        <is>
          <t>TANK CULTURE</t>
        </is>
      </c>
      <c r="C63" s="97" t="n"/>
      <c r="D63" s="1" t="n"/>
      <c r="E63" s="1" t="n"/>
      <c r="F63" s="122" t="inlineStr">
        <is>
          <t>ADDITIONAL MARKETING:</t>
        </is>
      </c>
      <c r="G63" s="1" t="n"/>
      <c r="H63" s="1" t="n"/>
      <c r="I63" s="1" t="n"/>
      <c r="J63" s="122" t="inlineStr">
        <is>
          <t>ADDITIONAL MARKETING:</t>
        </is>
      </c>
      <c r="K63" s="1" t="n"/>
      <c r="L63" s="1" t="n"/>
      <c r="M63" s="1" t="n"/>
      <c r="N63" s="122" t="inlineStr">
        <is>
          <t>ADDITIONAL MARKETING:</t>
        </is>
      </c>
      <c r="O63" s="1" t="n"/>
      <c r="P63" s="1" t="n"/>
      <c r="Q63" s="1" t="n"/>
      <c r="R63" s="31" t="inlineStr">
        <is>
          <t>SKY LAB</t>
        </is>
      </c>
      <c r="S63" s="100" t="n"/>
      <c r="T63" s="90" t="n"/>
      <c r="U63" s="1" t="n"/>
      <c r="V63" s="122" t="inlineStr">
        <is>
          <t>ADDITIONAL MARKETING:</t>
        </is>
      </c>
      <c r="W63" s="1" t="n"/>
      <c r="X63" s="1" t="n"/>
      <c r="Y63" s="1" t="n"/>
      <c r="Z63" s="122" t="inlineStr">
        <is>
          <t>ADDITIONAL MARKETING:</t>
        </is>
      </c>
      <c r="AA63" s="1" t="n"/>
      <c r="AB63" s="1" t="n"/>
      <c r="AC63" s="1" t="n"/>
      <c r="AD63" s="1" t="n"/>
      <c r="AE63" s="122" t="inlineStr">
        <is>
          <t>ADDITIONAL MARKETING:</t>
        </is>
      </c>
      <c r="AF63" s="1" t="n"/>
      <c r="AG63" s="1" t="n"/>
      <c r="AH63" s="1" t="n"/>
      <c r="AI63" s="1" t="n"/>
      <c r="AJ63" s="31" t="inlineStr">
        <is>
          <t>SKY LAB</t>
        </is>
      </c>
      <c r="AK63" s="100" t="n"/>
      <c r="AL63" s="90" t="n"/>
      <c r="AM63" s="1" t="n"/>
      <c r="AN63" s="1" t="n"/>
      <c r="AO63" s="122" t="inlineStr">
        <is>
          <t>ADDITIONAL MARKETING:</t>
        </is>
      </c>
      <c r="AP63" s="1" t="n"/>
      <c r="AQ63" s="1" t="n"/>
      <c r="AR63" s="1" t="n"/>
      <c r="AS63" s="1" t="n"/>
      <c r="AT63" s="122" t="inlineStr">
        <is>
          <t>ADDITIONAL MARKETING:</t>
        </is>
      </c>
      <c r="AU63" s="1" t="n"/>
      <c r="AV63" s="1" t="n"/>
      <c r="AW63" s="1" t="n"/>
      <c r="AX63" s="1" t="n"/>
      <c r="AY63" s="122" t="inlineStr">
        <is>
          <t>ADDITIONAL MARKETING:</t>
        </is>
      </c>
      <c r="AZ63" s="1" t="n"/>
      <c r="BA63" s="1" t="n"/>
    </row>
    <row r="64" ht="30.75" customHeight="1" s="220">
      <c r="A64" s="1" t="inlineStr">
        <is>
          <t> </t>
        </is>
      </c>
      <c r="B64" s="96" t="inlineStr">
        <is>
          <t>SHARP BIN</t>
        </is>
      </c>
      <c r="C64" s="97" t="n"/>
      <c r="D64" s="1" t="n"/>
      <c r="E64" s="1" t="n"/>
      <c r="F64" s="123" t="inlineStr">
        <is>
          <t xml:space="preserve">MONTH </t>
        </is>
      </c>
      <c r="G64" s="124" t="inlineStr">
        <is>
          <t>AMOUNT</t>
        </is>
      </c>
      <c r="H64" s="124" t="inlineStr">
        <is>
          <t>REMARKS</t>
        </is>
      </c>
      <c r="I64" s="1" t="n"/>
      <c r="J64" s="123" t="inlineStr">
        <is>
          <t xml:space="preserve">MONTH </t>
        </is>
      </c>
      <c r="K64" s="124" t="inlineStr">
        <is>
          <t>AMOUNT</t>
        </is>
      </c>
      <c r="L64" s="124" t="inlineStr">
        <is>
          <t>REMARKS</t>
        </is>
      </c>
      <c r="M64" s="1" t="n"/>
      <c r="N64" s="123" t="inlineStr">
        <is>
          <t xml:space="preserve">MONTH </t>
        </is>
      </c>
      <c r="O64" s="124" t="inlineStr">
        <is>
          <t>AMOUNT</t>
        </is>
      </c>
      <c r="P64" s="124" t="inlineStr">
        <is>
          <t>REMARKS</t>
        </is>
      </c>
      <c r="Q64" s="1" t="n"/>
      <c r="R64" s="31" t="inlineStr">
        <is>
          <t>DIGICADCAM</t>
        </is>
      </c>
      <c r="S64" s="100" t="n"/>
      <c r="T64" s="90" t="n"/>
      <c r="U64" s="1" t="n"/>
      <c r="V64" s="123" t="inlineStr">
        <is>
          <t xml:space="preserve">MONTH </t>
        </is>
      </c>
      <c r="W64" s="124" t="inlineStr">
        <is>
          <t>AMOUNT</t>
        </is>
      </c>
      <c r="X64" s="124" t="inlineStr">
        <is>
          <t>REMARKS</t>
        </is>
      </c>
      <c r="Y64" s="1" t="n"/>
      <c r="Z64" s="123" t="inlineStr">
        <is>
          <t xml:space="preserve">MONTH </t>
        </is>
      </c>
      <c r="AA64" s="124" t="inlineStr">
        <is>
          <t>AMOUNT</t>
        </is>
      </c>
      <c r="AB64" s="124" t="inlineStr">
        <is>
          <t>REMARKS</t>
        </is>
      </c>
      <c r="AC64" s="1" t="n"/>
      <c r="AD64" s="1" t="n"/>
      <c r="AE64" s="123" t="inlineStr">
        <is>
          <t xml:space="preserve">MONTH </t>
        </is>
      </c>
      <c r="AF64" s="124" t="inlineStr">
        <is>
          <t>AMOUNT</t>
        </is>
      </c>
      <c r="AG64" s="124" t="inlineStr">
        <is>
          <t>REMARKS</t>
        </is>
      </c>
      <c r="AH64" s="1" t="n"/>
      <c r="AI64" s="1" t="n"/>
      <c r="AJ64" s="31" t="inlineStr">
        <is>
          <t>DIGICADCAM</t>
        </is>
      </c>
      <c r="AK64" s="100" t="n"/>
      <c r="AL64" s="90" t="n"/>
      <c r="AM64" s="1" t="n"/>
      <c r="AN64" s="1" t="n"/>
      <c r="AO64" s="123" t="inlineStr">
        <is>
          <t xml:space="preserve">MONTH </t>
        </is>
      </c>
      <c r="AP64" s="124" t="inlineStr">
        <is>
          <t>AMOUNT</t>
        </is>
      </c>
      <c r="AQ64" s="124" t="inlineStr">
        <is>
          <t>REMARKS</t>
        </is>
      </c>
      <c r="AR64" s="1" t="n"/>
      <c r="AS64" s="1" t="n"/>
      <c r="AT64" s="123" t="inlineStr">
        <is>
          <t xml:space="preserve">MONTH </t>
        </is>
      </c>
      <c r="AU64" s="124" t="inlineStr">
        <is>
          <t>AMOUNT</t>
        </is>
      </c>
      <c r="AV64" s="124" t="inlineStr">
        <is>
          <t>REMARKS</t>
        </is>
      </c>
      <c r="AW64" s="1" t="n"/>
      <c r="AX64" s="1" t="n"/>
      <c r="AY64" s="123" t="inlineStr">
        <is>
          <t xml:space="preserve">MONTH </t>
        </is>
      </c>
      <c r="AZ64" s="124" t="inlineStr">
        <is>
          <t>AMOUNT</t>
        </is>
      </c>
      <c r="BA64" s="124" t="inlineStr">
        <is>
          <t>REMARKS</t>
        </is>
      </c>
    </row>
    <row r="65" ht="41.25" customHeight="1" s="220">
      <c r="A65" s="1" t="n"/>
      <c r="B65" s="96" t="inlineStr">
        <is>
          <t>COURIER</t>
        </is>
      </c>
      <c r="C65" s="97" t="n"/>
      <c r="D65" s="1" t="n"/>
      <c r="E65" s="1" t="n"/>
      <c r="F65" s="125">
        <f>B3</f>
        <v/>
      </c>
      <c r="G65" s="128" t="n"/>
      <c r="H65" s="127" t="n"/>
      <c r="I65" s="1" t="n"/>
      <c r="J65" s="125">
        <f>F65</f>
        <v/>
      </c>
      <c r="K65" s="128" t="n">
        <v>240</v>
      </c>
      <c r="L65" s="127" t="n"/>
      <c r="M65" s="1" t="n"/>
      <c r="N65" s="125">
        <f>F65</f>
        <v/>
      </c>
      <c r="O65" s="128" t="n">
        <v>240</v>
      </c>
      <c r="P65" s="127" t="n"/>
      <c r="Q65" s="1" t="n"/>
      <c r="R65" s="31" t="inlineStr">
        <is>
          <t>OTHER LAB</t>
        </is>
      </c>
      <c r="S65" s="100" t="n"/>
      <c r="T65" s="90" t="n"/>
      <c r="U65" s="1" t="n"/>
      <c r="V65" s="125">
        <f>V3</f>
        <v/>
      </c>
      <c r="W65" s="128" t="n"/>
      <c r="X65" s="127" t="n"/>
      <c r="Y65" s="1" t="n"/>
      <c r="Z65" s="125">
        <f>V65</f>
        <v/>
      </c>
      <c r="AA65" s="128" t="n"/>
      <c r="AB65" s="127" t="n"/>
      <c r="AC65" s="1" t="n"/>
      <c r="AD65" s="1" t="n"/>
      <c r="AE65" s="125">
        <f>AE3</f>
        <v/>
      </c>
      <c r="AF65" s="128" t="n"/>
      <c r="AG65" s="127" t="n"/>
      <c r="AH65" s="1" t="n"/>
      <c r="AI65" s="1" t="n"/>
      <c r="AJ65" s="31" t="inlineStr">
        <is>
          <t>OTHER LAB</t>
        </is>
      </c>
      <c r="AK65" s="100" t="n"/>
      <c r="AL65" s="90" t="n"/>
      <c r="AM65" s="1" t="n"/>
      <c r="AN65" s="1" t="n"/>
      <c r="AO65" s="125">
        <f>AO3</f>
        <v/>
      </c>
      <c r="AP65" s="128" t="n"/>
      <c r="AQ65" s="127" t="n"/>
      <c r="AR65" s="1" t="n"/>
      <c r="AS65" s="1" t="n"/>
      <c r="AT65" s="125">
        <f>AT3</f>
        <v/>
      </c>
      <c r="AU65" s="128" t="n"/>
      <c r="AV65" s="127" t="n"/>
      <c r="AW65" s="1" t="n"/>
      <c r="AX65" s="1" t="n"/>
      <c r="AY65" s="125">
        <f>AY3</f>
        <v/>
      </c>
      <c r="AZ65" s="128" t="n"/>
      <c r="BA65" s="127" t="n"/>
    </row>
    <row r="66" ht="36" customHeight="1" s="220">
      <c r="A66" s="1" t="n"/>
      <c r="B66" s="96" t="inlineStr">
        <is>
          <t>REPAIR &amp; MAINTENANCE</t>
        </is>
      </c>
      <c r="C66" s="97" t="n"/>
      <c r="D66" s="2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31" t="inlineStr">
        <is>
          <t>INVISALIGN</t>
        </is>
      </c>
      <c r="S66" s="100" t="n"/>
      <c r="T66" s="90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31" t="inlineStr">
        <is>
          <t>INVISALIGN</t>
        </is>
      </c>
      <c r="AK66" s="100" t="n"/>
      <c r="AL66" s="90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</row>
    <row r="67" ht="33" customHeight="1" s="220">
      <c r="A67" s="1" t="n"/>
      <c r="B67" s="131" t="inlineStr">
        <is>
          <t>MOM LEVY</t>
        </is>
      </c>
      <c r="C67" s="130" t="n">
        <v>600</v>
      </c>
      <c r="D67" s="1" t="n"/>
      <c r="E67" s="1" t="n"/>
      <c r="F67" s="122" t="inlineStr">
        <is>
          <t>OTHERS: (CPF,PERSONAL REFUND, COURSEFEE)</t>
        </is>
      </c>
      <c r="G67" s="1" t="n"/>
      <c r="H67" s="1" t="n"/>
      <c r="I67" s="1" t="n"/>
      <c r="J67" s="122" t="inlineStr">
        <is>
          <t>OTHERS: (CPF,PERSONAL REFUND, COURSEFEE)</t>
        </is>
      </c>
      <c r="K67" s="1" t="n"/>
      <c r="L67" s="1" t="n"/>
      <c r="M67" s="1" t="n"/>
      <c r="N67" s="122" t="inlineStr">
        <is>
          <t>OTHERS: (CPF,PERSONAL REFUND, COURSEFEE)</t>
        </is>
      </c>
      <c r="O67" s="1" t="n"/>
      <c r="P67" s="1" t="n"/>
      <c r="Q67" s="1" t="n"/>
      <c r="R67" s="31" t="inlineStr">
        <is>
          <t>TRANSFER (+)</t>
        </is>
      </c>
      <c r="S67" s="100" t="n"/>
      <c r="T67" s="90" t="n"/>
      <c r="U67" s="1" t="n"/>
      <c r="V67" s="122" t="inlineStr">
        <is>
          <t>OTHERS: (CPF,PERSONAL REFUND, COURSEFEE)</t>
        </is>
      </c>
      <c r="W67" s="1" t="n"/>
      <c r="X67" s="1" t="n"/>
      <c r="Y67" s="1" t="n"/>
      <c r="Z67" s="122" t="inlineStr">
        <is>
          <t>OTHERS: (CPF,PERSONAL REFUND, COURSEFEE)</t>
        </is>
      </c>
      <c r="AA67" s="1" t="n"/>
      <c r="AB67" s="1" t="n"/>
      <c r="AC67" s="1" t="n"/>
      <c r="AD67" s="1" t="n"/>
      <c r="AE67" s="122" t="inlineStr">
        <is>
          <t>OTHERS: (CPF,PERSONAL REFUND, COURSEFEE)</t>
        </is>
      </c>
      <c r="AF67" s="1" t="n"/>
      <c r="AG67" s="1" t="n"/>
      <c r="AH67" s="1" t="n"/>
      <c r="AI67" s="1" t="n"/>
      <c r="AJ67" s="31" t="inlineStr">
        <is>
          <t>TRANSFER (+)</t>
        </is>
      </c>
      <c r="AK67" s="100" t="n"/>
      <c r="AL67" s="98" t="n"/>
      <c r="AM67" s="1" t="n"/>
      <c r="AN67" s="1" t="n"/>
      <c r="AO67" s="122" t="inlineStr">
        <is>
          <t>OTHERS: (CPF,PERSONAL REFUND, COURSEFEE)</t>
        </is>
      </c>
      <c r="AP67" s="1" t="n"/>
      <c r="AQ67" s="1" t="n"/>
      <c r="AR67" s="1" t="n"/>
      <c r="AS67" s="1" t="n"/>
      <c r="AT67" s="122" t="inlineStr">
        <is>
          <t>OTHERS: (CPF,PERSONAL REFUND, COURSEFEE)</t>
        </is>
      </c>
      <c r="AU67" s="1" t="n"/>
      <c r="AV67" s="1" t="n"/>
      <c r="AW67" s="1" t="n"/>
      <c r="AX67" s="1" t="n"/>
      <c r="AY67" s="122" t="inlineStr">
        <is>
          <t>OTHERS: (CPF,PERSONAL REFUND, COURSEFEE)</t>
        </is>
      </c>
      <c r="AZ67" s="1" t="n"/>
      <c r="BA67" s="1" t="n"/>
    </row>
    <row r="68" ht="33.75" customHeight="1" s="220">
      <c r="A68" s="1" t="n"/>
      <c r="B68" s="90" t="n"/>
      <c r="C68" s="90" t="n"/>
      <c r="D68" s="1" t="n"/>
      <c r="E68" s="1" t="n"/>
      <c r="F68" s="122" t="n"/>
      <c r="G68" s="1" t="n"/>
      <c r="H68" s="1" t="n"/>
      <c r="I68" s="1" t="n"/>
      <c r="J68" s="122" t="n"/>
      <c r="K68" s="1" t="n"/>
      <c r="L68" s="1" t="n"/>
      <c r="M68" s="1" t="n"/>
      <c r="N68" s="122" t="n"/>
      <c r="O68" s="1" t="n"/>
      <c r="P68" s="1" t="n"/>
      <c r="Q68" s="1" t="n"/>
      <c r="R68" s="31" t="inlineStr">
        <is>
          <t>TRANSFER (-)</t>
        </is>
      </c>
      <c r="S68" s="100" t="n"/>
      <c r="T68" s="90" t="n"/>
      <c r="U68" s="1" t="n"/>
      <c r="V68" s="122" t="n"/>
      <c r="W68" s="1" t="n"/>
      <c r="X68" s="1" t="n"/>
      <c r="Y68" s="1" t="n"/>
      <c r="Z68" s="122" t="n"/>
      <c r="AA68" s="1" t="n"/>
      <c r="AB68" s="1" t="n"/>
      <c r="AC68" s="1" t="n"/>
      <c r="AD68" s="1" t="n"/>
      <c r="AE68" s="122" t="n"/>
      <c r="AF68" s="1" t="n"/>
      <c r="AG68" s="1" t="n"/>
      <c r="AH68" s="1" t="n"/>
      <c r="AI68" s="1" t="n"/>
      <c r="AJ68" s="31" t="inlineStr">
        <is>
          <t>TRANSFER (-)</t>
        </is>
      </c>
      <c r="AK68" s="100" t="n"/>
      <c r="AL68" s="102" t="n"/>
      <c r="AM68" s="1" t="n"/>
      <c r="AN68" s="1" t="n"/>
      <c r="AO68" s="122" t="n"/>
      <c r="AP68" s="1" t="n"/>
      <c r="AQ68" s="1" t="n"/>
      <c r="AR68" s="1" t="n"/>
      <c r="AS68" s="1" t="n"/>
      <c r="AT68" s="122" t="n"/>
      <c r="AU68" s="1" t="n"/>
      <c r="AV68" s="1" t="n"/>
      <c r="AW68" s="1" t="n"/>
      <c r="AX68" s="1" t="n"/>
      <c r="AY68" s="122" t="n"/>
      <c r="AZ68" s="1" t="n"/>
      <c r="BA68" s="1" t="n"/>
    </row>
    <row r="69" ht="45" customHeight="1" s="220">
      <c r="A69" s="1" t="n"/>
      <c r="B69" s="90" t="n"/>
      <c r="C69" s="90" t="n"/>
      <c r="D69" s="1" t="n"/>
      <c r="E69" s="1" t="n"/>
      <c r="F69" s="134" t="inlineStr">
        <is>
          <t>DETAILS</t>
        </is>
      </c>
      <c r="G69" s="134" t="inlineStr">
        <is>
          <t>AMOUNT</t>
        </is>
      </c>
      <c r="H69" s="127" t="n"/>
      <c r="I69" s="1" t="n"/>
      <c r="J69" s="134" t="inlineStr">
        <is>
          <t>DETAILS</t>
        </is>
      </c>
      <c r="K69" s="134" t="inlineStr">
        <is>
          <t>AMOUNT</t>
        </is>
      </c>
      <c r="L69" s="127" t="n"/>
      <c r="M69" s="1" t="n"/>
      <c r="N69" s="134" t="inlineStr">
        <is>
          <t>DETAILS</t>
        </is>
      </c>
      <c r="O69" s="134" t="inlineStr">
        <is>
          <t>AMOUNT</t>
        </is>
      </c>
      <c r="P69" s="127" t="n"/>
      <c r="Q69" s="1" t="n"/>
      <c r="R69" s="52" t="inlineStr">
        <is>
          <t>REFUND</t>
        </is>
      </c>
      <c r="S69" s="105" t="n"/>
      <c r="T69" s="90" t="n"/>
      <c r="U69" s="1" t="n"/>
      <c r="V69" s="134" t="inlineStr">
        <is>
          <t>DETAILS</t>
        </is>
      </c>
      <c r="W69" s="134" t="inlineStr">
        <is>
          <t>AMOUNT</t>
        </is>
      </c>
      <c r="X69" s="127" t="n"/>
      <c r="Y69" s="1" t="n"/>
      <c r="Z69" s="134" t="inlineStr">
        <is>
          <t>DETAILS</t>
        </is>
      </c>
      <c r="AA69" s="134" t="inlineStr">
        <is>
          <t>AMOUNT</t>
        </is>
      </c>
      <c r="AB69" s="127" t="n"/>
      <c r="AC69" s="1" t="n"/>
      <c r="AD69" s="1" t="n"/>
      <c r="AE69" s="134" t="inlineStr">
        <is>
          <t>DETAILS</t>
        </is>
      </c>
      <c r="AF69" s="134" t="inlineStr">
        <is>
          <t>AMOUNT</t>
        </is>
      </c>
      <c r="AG69" s="127" t="n"/>
      <c r="AH69" s="1" t="n"/>
      <c r="AI69" s="1" t="n"/>
      <c r="AJ69" s="52" t="inlineStr">
        <is>
          <t>REFUND</t>
        </is>
      </c>
      <c r="AK69" s="105" t="n"/>
      <c r="AL69" s="90" t="n"/>
      <c r="AM69" s="1" t="n"/>
      <c r="AN69" s="1" t="n"/>
      <c r="AO69" s="134" t="inlineStr">
        <is>
          <t>DETAILS</t>
        </is>
      </c>
      <c r="AP69" s="134" t="inlineStr">
        <is>
          <t>AMOUNT</t>
        </is>
      </c>
      <c r="AQ69" s="127" t="n"/>
      <c r="AR69" s="1" t="n"/>
      <c r="AS69" s="1" t="n"/>
      <c r="AT69" s="134" t="inlineStr">
        <is>
          <t>DETAILS</t>
        </is>
      </c>
      <c r="AU69" s="134" t="inlineStr">
        <is>
          <t>AMOUNT</t>
        </is>
      </c>
      <c r="AV69" s="127" t="n"/>
      <c r="AW69" s="1" t="n"/>
      <c r="AX69" s="1" t="n"/>
      <c r="AY69" s="134" t="inlineStr">
        <is>
          <t>DETAILS</t>
        </is>
      </c>
      <c r="AZ69" s="134" t="inlineStr">
        <is>
          <t>AMOUNT</t>
        </is>
      </c>
      <c r="BA69" s="127" t="n"/>
    </row>
    <row r="70" ht="27.75" customHeight="1" s="220">
      <c r="A70" s="1" t="n"/>
      <c r="B70" s="90" t="n"/>
      <c r="C70" s="90" t="n"/>
      <c r="D70" s="1" t="n"/>
      <c r="E70" s="1" t="n"/>
      <c r="F70" s="134" t="inlineStr">
        <is>
          <t>CPF CONT SALARY</t>
        </is>
      </c>
      <c r="G70" s="134" t="n"/>
      <c r="H70" s="127" t="n"/>
      <c r="I70" s="135" t="n"/>
      <c r="J70" s="134" t="n"/>
      <c r="K70" s="134" t="n"/>
      <c r="L70" s="127" t="n"/>
      <c r="M70" s="135" t="n"/>
      <c r="N70" s="134" t="n"/>
      <c r="O70" s="134" t="n"/>
      <c r="P70" s="127" t="n"/>
      <c r="Q70" s="135" t="n"/>
      <c r="R70" s="52" t="inlineStr">
        <is>
          <t>VOUCHER</t>
        </is>
      </c>
      <c r="S70" s="105" t="n"/>
      <c r="T70" s="90" t="n"/>
      <c r="U70" s="135" t="n"/>
      <c r="V70" s="134" t="n"/>
      <c r="W70" s="134" t="n"/>
      <c r="X70" s="127" t="n"/>
      <c r="Y70" s="136" t="n"/>
      <c r="Z70" s="134" t="n"/>
      <c r="AA70" s="134" t="n"/>
      <c r="AB70" s="127" t="n"/>
      <c r="AC70" s="136" t="n"/>
      <c r="AD70" s="135" t="n"/>
      <c r="AE70" s="134" t="n"/>
      <c r="AF70" s="134" t="n"/>
      <c r="AG70" s="127" t="n"/>
      <c r="AH70" s="1" t="n"/>
      <c r="AI70" s="135" t="n"/>
      <c r="AJ70" s="52" t="inlineStr">
        <is>
          <t>SEDATION</t>
        </is>
      </c>
      <c r="AK70" s="105" t="n"/>
      <c r="AL70" s="90" t="n"/>
      <c r="AM70" s="1" t="n"/>
      <c r="AN70" s="135" t="n"/>
      <c r="AO70" s="134" t="n"/>
      <c r="AP70" s="134" t="n"/>
      <c r="AQ70" s="127" t="n"/>
      <c r="AR70" s="1" t="n"/>
      <c r="AS70" s="135" t="n"/>
      <c r="AT70" s="134" t="n"/>
      <c r="AU70" s="134" t="n"/>
      <c r="AV70" s="127" t="n"/>
      <c r="AW70" s="1" t="n"/>
      <c r="AX70" s="135" t="n"/>
      <c r="AY70" s="134" t="n"/>
      <c r="AZ70" s="134" t="n"/>
      <c r="BA70" s="127" t="n"/>
    </row>
    <row r="71" ht="27.75" customHeight="1" s="220">
      <c r="A71" s="137" t="n"/>
      <c r="B71" s="137" t="n"/>
      <c r="C71" s="137" t="n"/>
      <c r="D71" s="137" t="n"/>
      <c r="E71" s="137" t="n"/>
      <c r="F71" s="134" t="n"/>
      <c r="G71" s="134" t="n"/>
      <c r="H71" s="127" t="n"/>
      <c r="I71" s="138" t="n"/>
      <c r="J71" s="134" t="n"/>
      <c r="K71" s="134" t="n"/>
      <c r="L71" s="127" t="n"/>
      <c r="M71" s="138" t="n"/>
      <c r="N71" s="134" t="n"/>
      <c r="O71" s="134" t="n"/>
      <c r="P71" s="127" t="n"/>
      <c r="Q71" s="138" t="n"/>
      <c r="R71" s="31" t="n"/>
      <c r="S71" s="105" t="n"/>
      <c r="T71" s="90" t="n"/>
      <c r="U71" s="138" t="n"/>
      <c r="V71" s="134" t="n"/>
      <c r="W71" s="134" t="n"/>
      <c r="X71" s="127" t="n"/>
      <c r="Y71" s="138" t="n"/>
      <c r="Z71" s="134" t="n"/>
      <c r="AA71" s="134" t="n"/>
      <c r="AB71" s="127" t="n"/>
      <c r="AC71" s="137" t="n"/>
      <c r="AD71" s="138" t="n"/>
      <c r="AE71" s="134" t="n"/>
      <c r="AF71" s="134" t="n"/>
      <c r="AG71" s="127" t="n"/>
      <c r="AH71" s="137" t="n"/>
      <c r="AI71" s="138" t="n"/>
      <c r="AJ71" s="31" t="inlineStr">
        <is>
          <t>RETAINERS/BT/SPLINT</t>
        </is>
      </c>
      <c r="AK71" s="105" t="n"/>
      <c r="AL71" s="90" t="n"/>
      <c r="AM71" s="137" t="n"/>
      <c r="AN71" s="138" t="n"/>
      <c r="AO71" s="134" t="n"/>
      <c r="AP71" s="134" t="n"/>
      <c r="AQ71" s="127" t="n"/>
      <c r="AR71" s="137" t="n"/>
      <c r="AS71" s="138" t="n"/>
      <c r="AT71" s="134" t="n"/>
      <c r="AU71" s="134" t="n"/>
      <c r="AV71" s="127" t="n"/>
      <c r="AW71" s="137" t="n"/>
      <c r="AX71" s="138" t="n"/>
      <c r="AY71" s="134" t="n"/>
      <c r="AZ71" s="134" t="n"/>
      <c r="BA71" s="127" t="n"/>
    </row>
    <row r="72" ht="46.5" customHeight="1" s="220">
      <c r="A72" s="1" t="n"/>
      <c r="B72" s="139" t="inlineStr">
        <is>
          <t>TOTAL</t>
        </is>
      </c>
      <c r="C72" s="140">
        <f>B31-C34-C35-C58-C36-C37-C42-C43-C38-C46-C39-C45-C48-C49-C51-C50-C55-C54-C53-C59-C60-C61-C62-C47-C63-C40-C64-C41-C67-C66-C65-C90-C91-C92-C93-C94-C95-C68-C69-C70</f>
        <v/>
      </c>
      <c r="D72" s="137" t="n"/>
      <c r="E72" s="1" t="n"/>
      <c r="F72" s="134" t="n"/>
      <c r="G72" s="134" t="n"/>
      <c r="H72" s="127" t="n"/>
      <c r="I72" s="1" t="n"/>
      <c r="J72" s="134" t="n"/>
      <c r="K72" s="134" t="n"/>
      <c r="L72" s="127" t="n"/>
      <c r="M72" s="1" t="n"/>
      <c r="N72" s="134" t="n"/>
      <c r="O72" s="134" t="n"/>
      <c r="P72" s="127" t="n"/>
      <c r="Q72" s="1" t="n"/>
      <c r="R72" s="31" t="n"/>
      <c r="S72" s="105" t="n"/>
      <c r="T72" s="90" t="n"/>
      <c r="U72" s="1" t="n"/>
      <c r="V72" s="134" t="n"/>
      <c r="W72" s="127" t="n"/>
      <c r="X72" s="127" t="n"/>
      <c r="Y72" s="1" t="n"/>
      <c r="Z72" s="134" t="n"/>
      <c r="AA72" s="134" t="n"/>
      <c r="AB72" s="127" t="n"/>
      <c r="AC72" s="1" t="n"/>
      <c r="AD72" s="1" t="n"/>
      <c r="AE72" s="134" t="n"/>
      <c r="AF72" s="134" t="n"/>
      <c r="AG72" s="127" t="n"/>
      <c r="AH72" s="1" t="n"/>
      <c r="AI72" s="1" t="n"/>
      <c r="AJ72" s="31" t="inlineStr">
        <is>
          <t>INSTALLMENT</t>
        </is>
      </c>
      <c r="AK72" s="105" t="n"/>
      <c r="AL72" s="90" t="n"/>
      <c r="AM72" s="1" t="n"/>
      <c r="AN72" s="1" t="n"/>
      <c r="AO72" s="134" t="n"/>
      <c r="AP72" s="134" t="n"/>
      <c r="AQ72" s="127" t="n"/>
      <c r="AR72" s="1" t="n"/>
      <c r="AS72" s="1" t="n"/>
      <c r="AT72" s="134" t="n"/>
      <c r="AU72" s="134" t="n"/>
      <c r="AV72" s="127" t="n"/>
      <c r="AW72" s="1" t="n"/>
      <c r="AX72" s="1" t="n"/>
      <c r="AY72" s="134" t="n"/>
      <c r="AZ72" s="134" t="n"/>
      <c r="BA72" s="127" t="n"/>
    </row>
    <row r="73" ht="31.5" customHeight="1" s="220">
      <c r="A73" s="1" t="n"/>
      <c r="B73" s="141" t="inlineStr">
        <is>
          <t xml:space="preserve">FOR INCENTIVE % </t>
        </is>
      </c>
      <c r="C73" s="142">
        <f>B31-C34-C35-C58-C42-C43-C46-C45-C48-C44-C49-C50-C47-C63-C40-C64-C41-C65-C93-C95-C94-C66-C92-C90</f>
        <v/>
      </c>
      <c r="D73" s="143" t="n"/>
      <c r="E73" s="1" t="n"/>
      <c r="F73" s="134" t="n"/>
      <c r="G73" s="134" t="n"/>
      <c r="H73" s="127" t="n"/>
      <c r="I73" s="1" t="n"/>
      <c r="J73" s="134" t="n"/>
      <c r="K73" s="134" t="n"/>
      <c r="L73" s="127" t="n"/>
      <c r="M73" s="1" t="n"/>
      <c r="N73" s="134" t="n"/>
      <c r="O73" s="134" t="n"/>
      <c r="P73" s="127" t="n"/>
      <c r="Q73" s="1" t="n"/>
      <c r="R73" s="144" t="n"/>
      <c r="S73" s="145" t="n"/>
      <c r="T73" s="90" t="n"/>
      <c r="U73" s="1" t="n"/>
      <c r="V73" s="134" t="n"/>
      <c r="W73" s="134" t="n"/>
      <c r="X73" s="127" t="n"/>
      <c r="Y73" s="1" t="n"/>
      <c r="Z73" s="134" t="n"/>
      <c r="AA73" s="134" t="n"/>
      <c r="AB73" s="127" t="n"/>
      <c r="AC73" s="1" t="n"/>
      <c r="AD73" s="1" t="n"/>
      <c r="AE73" s="134" t="n"/>
      <c r="AF73" s="134" t="n"/>
      <c r="AG73" s="127" t="n"/>
      <c r="AH73" s="1" t="n"/>
      <c r="AI73" s="1" t="n"/>
      <c r="AJ73" s="144" t="inlineStr">
        <is>
          <t>DEDUCTIONS</t>
        </is>
      </c>
      <c r="AK73" s="145" t="n"/>
      <c r="AL73" s="102" t="n"/>
      <c r="AM73" s="1" t="n"/>
      <c r="AN73" s="1" t="n"/>
      <c r="AO73" s="134" t="n"/>
      <c r="AP73" s="134" t="n"/>
      <c r="AQ73" s="127" t="n"/>
      <c r="AR73" s="1" t="n"/>
      <c r="AS73" s="1" t="n"/>
      <c r="AT73" s="134" t="n"/>
      <c r="AU73" s="134" t="n"/>
      <c r="AV73" s="127" t="n"/>
      <c r="AW73" s="1" t="n"/>
      <c r="AX73" s="1" t="n"/>
      <c r="AY73" s="134" t="n"/>
      <c r="AZ73" s="134" t="n"/>
      <c r="BA73" s="127" t="n"/>
    </row>
    <row r="74" ht="31.5" customHeight="1" s="220">
      <c r="A74" s="1" t="n"/>
      <c r="B74" s="146" t="inlineStr">
        <is>
          <t xml:space="preserve">PERCENT </t>
        </is>
      </c>
      <c r="C74" s="147">
        <f>VLOOKUP(C73,'% RATES INCENTIVES TENGAH'!C:D,2,TRUE)</f>
        <v/>
      </c>
      <c r="D74" s="1" t="n"/>
      <c r="E74" s="1" t="n"/>
      <c r="F74" s="134" t="n"/>
      <c r="G74" s="134" t="n"/>
      <c r="H74" s="127" t="n"/>
      <c r="I74" s="1" t="n"/>
      <c r="J74" s="134" t="n"/>
      <c r="K74" s="134" t="n"/>
      <c r="L74" s="127" t="n"/>
      <c r="M74" s="1" t="n"/>
      <c r="N74" s="134" t="n"/>
      <c r="O74" s="134" t="n"/>
      <c r="P74" s="127" t="n"/>
      <c r="Q74" s="1" t="n"/>
      <c r="R74" s="148" t="n"/>
      <c r="S74" s="148" t="n"/>
      <c r="T74" s="1" t="n"/>
      <c r="U74" s="1" t="n"/>
      <c r="V74" s="134" t="n"/>
      <c r="W74" s="134" t="n"/>
      <c r="X74" s="127" t="n"/>
      <c r="Y74" s="1" t="n"/>
      <c r="Z74" s="134" t="n"/>
      <c r="AA74" s="134" t="n"/>
      <c r="AB74" s="127" t="n"/>
      <c r="AC74" s="1" t="n"/>
      <c r="AD74" s="1" t="n"/>
      <c r="AE74" s="134" t="n"/>
      <c r="AF74" s="134" t="n"/>
      <c r="AG74" s="127" t="n"/>
      <c r="AH74" s="1" t="n"/>
      <c r="AI74" s="1" t="n"/>
      <c r="AJ74" s="148" t="n"/>
      <c r="AK74" s="148" t="n"/>
      <c r="AL74" s="1" t="n"/>
      <c r="AM74" s="1" t="n"/>
      <c r="AN74" s="1" t="n"/>
      <c r="AO74" s="134" t="n"/>
      <c r="AP74" s="134" t="n"/>
      <c r="AQ74" s="127" t="n"/>
      <c r="AR74" s="1" t="n"/>
      <c r="AS74" s="1" t="n"/>
      <c r="AT74" s="134" t="n"/>
      <c r="AU74" s="134" t="n"/>
      <c r="AV74" s="127" t="n"/>
      <c r="AW74" s="1" t="n"/>
      <c r="AX74" s="1" t="n"/>
      <c r="AY74" s="134" t="n"/>
      <c r="AZ74" s="134" t="n"/>
      <c r="BA74" s="127" t="n"/>
    </row>
    <row r="75" ht="34.5" customHeight="1" s="220">
      <c r="A75" s="1" t="inlineStr">
        <is>
          <t>INCOME LESS GST</t>
        </is>
      </c>
      <c r="B75" s="149">
        <f>B31-C35</f>
        <v/>
      </c>
      <c r="C75" s="150">
        <f>C72/B75*100</f>
        <v/>
      </c>
      <c r="D75" s="151" t="inlineStr">
        <is>
          <t>%</t>
        </is>
      </c>
      <c r="E75" s="1" t="n"/>
      <c r="F75" s="134" t="n"/>
      <c r="G75" s="134" t="n"/>
      <c r="H75" s="127" t="n"/>
      <c r="I75" s="1" t="n"/>
      <c r="J75" s="134" t="n"/>
      <c r="K75" s="134" t="n"/>
      <c r="L75" s="127" t="n"/>
      <c r="M75" s="1" t="n"/>
      <c r="N75" s="134" t="n"/>
      <c r="O75" s="134" t="n"/>
      <c r="P75" s="127" t="n"/>
      <c r="Q75" s="1" t="n"/>
      <c r="R75" s="61" t="inlineStr">
        <is>
          <t>TOTAL</t>
        </is>
      </c>
      <c r="S75" s="109">
        <f>#REF!-S34-S35-S59-S58-S60-S61-S62-S63-S64-S65-S66+S67-S68-S69-S70-S71-S72-S73</f>
        <v/>
      </c>
      <c r="T75" s="90" t="n"/>
      <c r="U75" s="1" t="n"/>
      <c r="V75" s="134" t="n"/>
      <c r="W75" s="134" t="n"/>
      <c r="X75" s="127" t="n"/>
      <c r="Y75" s="1" t="n"/>
      <c r="Z75" s="134" t="n"/>
      <c r="AA75" s="134" t="n"/>
      <c r="AB75" s="127" t="n"/>
      <c r="AC75" s="1" t="n"/>
      <c r="AD75" s="1" t="n"/>
      <c r="AE75" s="134" t="n"/>
      <c r="AF75" s="134" t="n"/>
      <c r="AG75" s="127" t="n"/>
      <c r="AH75" s="1" t="n"/>
      <c r="AI75" s="1" t="n"/>
      <c r="AJ75" s="61" t="inlineStr">
        <is>
          <t>TOTAL</t>
        </is>
      </c>
      <c r="AK75" s="109">
        <f>#REF!-AK34-AK35-AK58-AK59-AK60-AK61-AK62-AK63-AK64-AK65-AK66+AK67-AK68-AK69-AK70-AK71-AK72-AK73</f>
        <v/>
      </c>
      <c r="AL75" s="90" t="n"/>
      <c r="AM75" s="1" t="n"/>
      <c r="AN75" s="1" t="n"/>
      <c r="AO75" s="134" t="n"/>
      <c r="AP75" s="134" t="n"/>
      <c r="AQ75" s="127" t="n"/>
      <c r="AR75" s="1" t="n"/>
      <c r="AS75" s="1" t="n"/>
      <c r="AT75" s="134" t="n"/>
      <c r="AU75" s="134" t="n"/>
      <c r="AV75" s="127" t="n"/>
      <c r="AW75" s="1" t="n"/>
      <c r="AX75" s="1" t="n"/>
      <c r="AY75" s="134" t="n"/>
      <c r="AZ75" s="134" t="n"/>
      <c r="BA75" s="127" t="n"/>
    </row>
    <row r="76" ht="33.75" customHeight="1" s="220">
      <c r="A76" s="1" t="n"/>
      <c r="B76" s="152" t="inlineStr">
        <is>
          <t> </t>
        </is>
      </c>
      <c r="C76" s="153" t="n"/>
      <c r="D76" s="1" t="n"/>
      <c r="E76" s="1" t="n"/>
      <c r="F76" s="154" t="n"/>
      <c r="G76" s="154" t="n"/>
      <c r="H76" s="155" t="n"/>
      <c r="I76" s="1" t="n"/>
      <c r="J76" s="154" t="n"/>
      <c r="K76" s="154" t="n"/>
      <c r="L76" s="155" t="n"/>
      <c r="M76" s="1" t="n"/>
      <c r="N76" s="154" t="n"/>
      <c r="O76" s="154" t="n"/>
      <c r="P76" s="155" t="n"/>
      <c r="Q76" s="1" t="n"/>
      <c r="R76" s="112" t="inlineStr">
        <is>
          <t>DOCTORS PAY</t>
        </is>
      </c>
      <c r="S76" s="111">
        <f>(S75*50%)+S77</f>
        <v/>
      </c>
      <c r="T76" s="90" t="n"/>
      <c r="U76" s="1" t="n"/>
      <c r="V76" s="154" t="n"/>
      <c r="W76" s="154" t="n"/>
      <c r="X76" s="155" t="n"/>
      <c r="Y76" s="1" t="n"/>
      <c r="Z76" s="154" t="n"/>
      <c r="AA76" s="154" t="n"/>
      <c r="AB76" s="155" t="n"/>
      <c r="AC76" s="1" t="n"/>
      <c r="AD76" s="1" t="n"/>
      <c r="AE76" s="154" t="n"/>
      <c r="AF76" s="154" t="n"/>
      <c r="AG76" s="155" t="n"/>
      <c r="AH76" s="1" t="n"/>
      <c r="AI76" s="1" t="n"/>
      <c r="AJ76" s="112" t="inlineStr">
        <is>
          <t>DOCTORS PAY</t>
        </is>
      </c>
      <c r="AK76" s="111">
        <f>(AK75*50%)+AK77</f>
        <v/>
      </c>
      <c r="AL76" s="90" t="n"/>
      <c r="AM76" s="1" t="n"/>
      <c r="AN76" s="1" t="n"/>
      <c r="AO76" s="154" t="n"/>
      <c r="AP76" s="154" t="n"/>
      <c r="AQ76" s="155" t="n"/>
      <c r="AR76" s="1" t="n"/>
      <c r="AS76" s="1" t="n"/>
      <c r="AT76" s="154" t="n"/>
      <c r="AU76" s="154" t="n"/>
      <c r="AV76" s="155" t="n"/>
      <c r="AW76" s="1" t="n"/>
      <c r="AX76" s="1" t="n"/>
      <c r="AY76" s="154" t="n"/>
      <c r="AZ76" s="154" t="n"/>
      <c r="BA76" s="155" t="n"/>
    </row>
    <row r="77" ht="36.75" customHeight="1" s="220">
      <c r="A77" s="1" t="n"/>
      <c r="B77" s="156" t="inlineStr">
        <is>
          <t>MEDISAVE ADMIN</t>
        </is>
      </c>
      <c r="C77" s="157">
        <f>G61+K61+O61+S83+W61+AA61+AF61+AK83</f>
        <v/>
      </c>
      <c r="D77" s="158">
        <f>C77/20</f>
        <v/>
      </c>
      <c r="E77" s="1" t="n"/>
      <c r="F77" s="159" t="inlineStr">
        <is>
          <t>TOTAL PAYMENT</t>
        </is>
      </c>
      <c r="G77" s="160">
        <f>G57-G70-G74-G75-G71-G72-G73</f>
        <v/>
      </c>
      <c r="H77" s="1" t="n"/>
      <c r="I77" s="1" t="n"/>
      <c r="J77" s="159" t="inlineStr">
        <is>
          <t>TOTAL PAYMENT</t>
        </is>
      </c>
      <c r="K77" s="160">
        <f>K57-K70-K74-K75-K71-K72-K73</f>
        <v/>
      </c>
      <c r="L77" s="1" t="n"/>
      <c r="M77" s="1" t="n"/>
      <c r="N77" s="159" t="inlineStr">
        <is>
          <t>TOTAL PAYMENT</t>
        </is>
      </c>
      <c r="O77" s="160">
        <f>O57-O70-O74-O75-O71-O72-O73</f>
        <v/>
      </c>
      <c r="P77" s="1" t="inlineStr">
        <is>
          <t>  </t>
        </is>
      </c>
      <c r="Q77" s="1" t="n"/>
      <c r="R77" s="50" t="inlineStr">
        <is>
          <t>ADJUSTMENTS (+)</t>
        </is>
      </c>
      <c r="S77" s="36" t="n"/>
      <c r="T77" s="90" t="n"/>
      <c r="U77" s="1" t="n"/>
      <c r="V77" s="159" t="inlineStr">
        <is>
          <t>TOTAL PAYMENT</t>
        </is>
      </c>
      <c r="W77" s="160">
        <f>W57-W70-W74-W75-W71-W72-W73</f>
        <v/>
      </c>
      <c r="X77" s="1" t="n"/>
      <c r="Y77" s="1" t="n"/>
      <c r="Z77" s="159" t="inlineStr">
        <is>
          <t>TOTAL PAYMENT</t>
        </is>
      </c>
      <c r="AA77" s="160">
        <f>AA57-AA70-AA74-AA75-AA71-AA72-AA73</f>
        <v/>
      </c>
      <c r="AB77" s="1" t="n"/>
      <c r="AC77" s="1" t="n"/>
      <c r="AD77" s="1" t="n"/>
      <c r="AE77" s="159" t="inlineStr">
        <is>
          <t>TOTAL PAYMENT</t>
        </is>
      </c>
      <c r="AF77" s="160">
        <f>AF57-AF70-AF74-AF75-AF71-AF72-AF73</f>
        <v/>
      </c>
      <c r="AG77" s="1" t="n"/>
      <c r="AH77" s="1" t="n"/>
      <c r="AI77" s="1" t="n"/>
      <c r="AJ77" s="50" t="inlineStr">
        <is>
          <t>ADJUSTMENTS (+)</t>
        </is>
      </c>
      <c r="AK77" s="36" t="n"/>
      <c r="AL77" s="98" t="n"/>
      <c r="AM77" s="1" t="n"/>
      <c r="AN77" s="1" t="n"/>
      <c r="AO77" s="159" t="inlineStr">
        <is>
          <t>TOTAL PAYMENT</t>
        </is>
      </c>
      <c r="AP77" s="160">
        <f>AP57-AP70-AP74-AP75-AP71-AP72-AP73</f>
        <v/>
      </c>
      <c r="AQ77" s="1" t="n"/>
      <c r="AR77" s="1" t="n"/>
      <c r="AS77" s="1" t="n"/>
      <c r="AT77" s="159" t="inlineStr">
        <is>
          <t>TOTAL PAYMENT</t>
        </is>
      </c>
      <c r="AU77" s="160">
        <f>AU57-AU70-AU74-AU75-AU71-AU72-AU73</f>
        <v/>
      </c>
      <c r="AV77" s="1" t="n"/>
      <c r="AW77" s="1" t="n"/>
      <c r="AX77" s="1" t="n"/>
      <c r="AY77" s="159" t="inlineStr">
        <is>
          <t>TOTAL PAYMENT</t>
        </is>
      </c>
      <c r="AZ77" s="160">
        <f>AZ57-AZ70-AZ74-AZ75-AZ71-AZ72-AZ73</f>
        <v/>
      </c>
      <c r="BA77" s="1" t="n"/>
    </row>
    <row r="78" ht="39" customHeight="1" s="220">
      <c r="A78" s="1" t="n"/>
      <c r="B78" s="156" t="inlineStr">
        <is>
          <t>ADDITIONAL MARKETING</t>
        </is>
      </c>
      <c r="C78" s="157">
        <f>G65+K65+O65+S87+W65+AA65+AF65+AP65+AU65+AZ65</f>
        <v/>
      </c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50" t="inlineStr">
        <is>
          <t>ADJUSTMENTS (-)</t>
        </is>
      </c>
      <c r="S78" s="115">
        <f>S83+S87</f>
        <v/>
      </c>
      <c r="T78" s="98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50" t="inlineStr">
        <is>
          <t>ADJUSTMENTS (-)</t>
        </is>
      </c>
      <c r="AK78" s="116">
        <f>AK83+AK87</f>
        <v/>
      </c>
      <c r="AL78" s="102" t="inlineStr">
        <is>
          <t>MARKETING FEE &amp; MEDISAVE ADMIN</t>
        </is>
      </c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</row>
    <row r="79" ht="27.75" customHeight="1" s="220">
      <c r="A79" s="1" t="n"/>
      <c r="B79" s="161" t="inlineStr">
        <is>
          <t>DOCTORS PERSONAL DEDUCTION</t>
        </is>
      </c>
      <c r="C79" s="157">
        <f>G70+G74+G75+K70+K74+K75+O70+O74+O75+S92+S96+S97+W70+W74+W75+AA70+AA74+AA75+AF70+AF74+AF75+G71+G72+G73+K71+K72+K73+O71+O72+O73+S93+S94+S95+W71+W72+W73+AA71+AA72+AA73+AF71+AF72+AF73+AP70+AP71+AP72+AP73+AP74+AP75+AU70+AU71+AU72+AU73+AU74+AU75+AZ70+AZ71+AZ72+AZ73+AZ74+AZ75</f>
        <v/>
      </c>
      <c r="D79" s="137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50" t="inlineStr">
        <is>
          <t>NET PAY</t>
        </is>
      </c>
      <c r="S79" s="111">
        <f>S76-S78</f>
        <v/>
      </c>
      <c r="T79" s="90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50" t="inlineStr">
        <is>
          <t>NET PAY</t>
        </is>
      </c>
      <c r="AK79" s="111">
        <f>AK76-AK78</f>
        <v/>
      </c>
      <c r="AL79" s="90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</row>
    <row r="80" ht="28.5" customHeight="1" s="220">
      <c r="A80" s="1" t="n"/>
      <c r="B80" s="156" t="inlineStr">
        <is>
          <t>TOTAL</t>
        </is>
      </c>
      <c r="C80" s="162">
        <f>SUM(C77:C79)</f>
        <v/>
      </c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63" t="n"/>
      <c r="Z80" s="1" t="n"/>
      <c r="AA80" s="1" t="n"/>
      <c r="AB80" s="1" t="n"/>
      <c r="AC80" s="1" t="n"/>
      <c r="AD80" s="163" t="n"/>
      <c r="AE80" s="1" t="n"/>
      <c r="AF80" s="1" t="n"/>
      <c r="AG80" s="1" t="n"/>
      <c r="AH80" s="1" t="n"/>
      <c r="AI80" s="163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</row>
    <row r="81" ht="28.5" customHeight="1" s="220">
      <c r="A81" s="1" t="n"/>
      <c r="B81" s="164" t="inlineStr">
        <is>
          <t>TOTAL ICC-5</t>
        </is>
      </c>
      <c r="C81" s="164">
        <f>G36+K36+O36+S58+AA36+W36+AF36+AP36+AU36+AZ36</f>
        <v/>
      </c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17" t="inlineStr">
        <is>
          <t>MEDISAVE ADMIN FEE CALCULATION:</t>
        </is>
      </c>
      <c r="S81" s="1" t="n"/>
      <c r="T81" s="1" t="n"/>
      <c r="U81" s="1" t="n"/>
      <c r="V81" s="1" t="n"/>
      <c r="W81" s="1" t="n"/>
      <c r="X81" s="1" t="n"/>
      <c r="Y81" s="163" t="n"/>
      <c r="Z81" s="1" t="n"/>
      <c r="AA81" s="1" t="n"/>
      <c r="AB81" s="1" t="n"/>
      <c r="AC81" s="1" t="n"/>
      <c r="AD81" s="163" t="n"/>
      <c r="AE81" s="1" t="n"/>
      <c r="AF81" s="1" t="n"/>
      <c r="AG81" s="1" t="n"/>
      <c r="AH81" s="1" t="n"/>
      <c r="AI81" s="163" t="n"/>
      <c r="AJ81" s="117" t="inlineStr">
        <is>
          <t>MEDISAVE ADMIN FEE CALCULATION:</t>
        </is>
      </c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</row>
    <row r="82" ht="49.5" customHeight="1" s="22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63" t="n"/>
      <c r="N82" s="1" t="n"/>
      <c r="O82" s="1" t="n"/>
      <c r="P82" s="1" t="n"/>
      <c r="Q82" s="1" t="n"/>
      <c r="R82" s="118" t="inlineStr">
        <is>
          <t>Medisave Claim</t>
        </is>
      </c>
      <c r="S82" s="119" t="inlineStr">
        <is>
          <t>Admin Fee</t>
        </is>
      </c>
      <c r="T82" s="119" t="inlineStr">
        <is>
          <t>REMARKS</t>
        </is>
      </c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18" t="inlineStr">
        <is>
          <t>Medisave Claim</t>
        </is>
      </c>
      <c r="AK82" s="119" t="inlineStr">
        <is>
          <t>Admin Fee</t>
        </is>
      </c>
      <c r="AL82" s="119" t="inlineStr">
        <is>
          <t>REMARKS</t>
        </is>
      </c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</row>
    <row r="83" ht="26.25" customHeight="1" s="220">
      <c r="A83" s="1" t="n"/>
      <c r="B83" s="165" t="inlineStr">
        <is>
          <t>NURSES FEE-REVENUE</t>
        </is>
      </c>
      <c r="C83" s="166">
        <f>(C60+C61+C62)/B31</f>
        <v/>
      </c>
      <c r="D83" s="137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20" t="n"/>
      <c r="S83" s="121">
        <f>R83*20</f>
        <v/>
      </c>
      <c r="T83" s="12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20" t="n"/>
      <c r="AK83" s="121">
        <f>AJ83*20</f>
        <v/>
      </c>
      <c r="AL83" s="12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</row>
    <row r="84" ht="21" customHeight="1" s="220">
      <c r="A84" s="1" t="n"/>
      <c r="B84" s="165" t="inlineStr">
        <is>
          <t>CONSUMABLE EXCL OFFICE RENT - REVENUE</t>
        </is>
      </c>
      <c r="C84" s="166">
        <f>(C49+C46+C48)/B31</f>
        <v/>
      </c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</row>
    <row r="85" ht="21" customHeight="1" s="220">
      <c r="A85" s="1" t="n"/>
      <c r="B85" s="165" t="inlineStr">
        <is>
          <t>OFFICE RENT &amp; ADMIN STAFF - REVENUE</t>
        </is>
      </c>
      <c r="C85" s="166">
        <f>(C45/B31)</f>
        <v/>
      </c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22" t="inlineStr">
        <is>
          <t>ADDITIONAL MARKETING:</t>
        </is>
      </c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22" t="inlineStr">
        <is>
          <t>ADDITIONAL MARKETING:</t>
        </is>
      </c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</row>
    <row r="86" ht="21" customHeight="1" s="220">
      <c r="A86" s="1" t="n"/>
      <c r="B86" s="167" t="inlineStr">
        <is>
          <t>MARKETING - REVENUE</t>
        </is>
      </c>
      <c r="C86" s="166">
        <f>C50/B31</f>
        <v/>
      </c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23" t="inlineStr">
        <is>
          <t xml:space="preserve">MONTH </t>
        </is>
      </c>
      <c r="S86" s="124" t="inlineStr">
        <is>
          <t>AMOUNT</t>
        </is>
      </c>
      <c r="T86" s="124" t="inlineStr">
        <is>
          <t>REMARKS</t>
        </is>
      </c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23" t="inlineStr">
        <is>
          <t xml:space="preserve">MONTH </t>
        </is>
      </c>
      <c r="AK86" s="124" t="inlineStr">
        <is>
          <t>AMOUNT</t>
        </is>
      </c>
      <c r="AL86" s="124" t="inlineStr">
        <is>
          <t>REMARKS</t>
        </is>
      </c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</row>
    <row r="87" ht="18.75" customHeight="1" s="220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25">
        <f>R3</f>
        <v/>
      </c>
      <c r="S87" s="128" t="n"/>
      <c r="T87" s="127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25">
        <f>AJ3</f>
        <v/>
      </c>
      <c r="AK87" s="128" t="n"/>
      <c r="AL87" s="127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</row>
    <row r="88" ht="30.75" customHeight="1" s="220">
      <c r="A88" s="1" t="n"/>
      <c r="B88" s="183" t="n"/>
      <c r="C88" s="184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</row>
    <row r="89" ht="16.5" customHeight="1" s="220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22" t="inlineStr">
        <is>
          <t>OTHERS: (CPF,PERSONAL REFUND, COURSEFEE)</t>
        </is>
      </c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22" t="inlineStr">
        <is>
          <t>OTHERS: (CPF,PERSONAL REFUND, COURSEFEE)</t>
        </is>
      </c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</row>
    <row r="90" ht="30.75" customHeight="1" s="220">
      <c r="A90" s="1" t="n"/>
      <c r="B90" s="168" t="n"/>
      <c r="C90" s="169" t="n"/>
      <c r="D90" s="1" t="inlineStr">
        <is>
          <t> </t>
        </is>
      </c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22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22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</row>
    <row r="91" ht="30.75" customHeight="1" s="220">
      <c r="A91" s="1" t="n"/>
      <c r="B91" s="168" t="n"/>
      <c r="C91" s="169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34" t="inlineStr">
        <is>
          <t>DETAILS</t>
        </is>
      </c>
      <c r="S91" s="134" t="inlineStr">
        <is>
          <t>AMOUNT</t>
        </is>
      </c>
      <c r="T91" s="127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34" t="inlineStr">
        <is>
          <t>DETAILS</t>
        </is>
      </c>
      <c r="AK91" s="134" t="inlineStr">
        <is>
          <t>AMOUNT</t>
        </is>
      </c>
      <c r="AL91" s="127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</row>
    <row r="92" ht="30.75" customHeight="1" s="220">
      <c r="A92" s="1" t="n"/>
      <c r="B92" s="168" t="n"/>
      <c r="C92" s="169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34" t="n"/>
      <c r="S92" s="134" t="n"/>
      <c r="T92" s="127" t="n"/>
      <c r="U92" s="1" t="n"/>
      <c r="V92" s="1" t="n"/>
      <c r="W92" s="1" t="n"/>
      <c r="X92" s="1" t="n"/>
      <c r="Y92" s="136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34" t="n"/>
      <c r="AK92" s="134" t="n"/>
      <c r="AL92" s="127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</row>
    <row r="93" ht="30.75" customHeight="1" s="220">
      <c r="A93" s="1" t="n"/>
      <c r="B93" s="168" t="n"/>
      <c r="C93" s="169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34" t="n"/>
      <c r="S93" s="134" t="n"/>
      <c r="T93" s="127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34" t="n"/>
      <c r="AK93" s="134" t="n"/>
      <c r="AL93" s="127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</row>
    <row r="94" ht="30.75" customHeight="1" s="220">
      <c r="A94" s="1" t="n"/>
      <c r="B94" s="117" t="n"/>
      <c r="C94" s="169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34" t="n"/>
      <c r="S94" s="134" t="n"/>
      <c r="T94" s="127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34" t="n"/>
      <c r="AK94" s="134" t="n"/>
      <c r="AL94" s="127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</row>
    <row r="95" ht="30.75" customHeight="1" s="220">
      <c r="A95" s="1" t="n"/>
      <c r="B95" s="117" t="n"/>
      <c r="C95" s="169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34" t="n"/>
      <c r="S95" s="134" t="n"/>
      <c r="T95" s="127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34" t="n"/>
      <c r="AK95" s="134" t="n"/>
      <c r="AL95" s="127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</row>
    <row r="96" ht="18.75" customHeight="1" s="220">
      <c r="A96" s="137" t="n"/>
      <c r="B96" s="137" t="n"/>
      <c r="C96" s="137" t="n"/>
      <c r="D96" s="137" t="n"/>
      <c r="E96" s="137" t="n"/>
      <c r="F96" s="137" t="n"/>
      <c r="G96" s="137" t="n"/>
      <c r="H96" s="137" t="n"/>
      <c r="I96" s="137" t="n"/>
      <c r="J96" s="137" t="n"/>
      <c r="K96" s="137" t="n"/>
      <c r="L96" s="137" t="n"/>
      <c r="M96" s="1" t="n"/>
      <c r="N96" s="137" t="n"/>
      <c r="O96" s="137" t="n"/>
      <c r="P96" s="137" t="n"/>
      <c r="Q96" s="137" t="n"/>
      <c r="R96" s="134" t="n"/>
      <c r="S96" s="134" t="n"/>
      <c r="T96" s="127" t="n"/>
      <c r="U96" s="137" t="n"/>
      <c r="V96" s="137" t="n"/>
      <c r="W96" s="137" t="n"/>
      <c r="X96" s="137" t="n"/>
      <c r="Y96" s="137" t="n"/>
      <c r="Z96" s="137" t="n"/>
      <c r="AA96" s="137" t="n"/>
      <c r="AB96" s="137" t="n"/>
      <c r="AC96" s="137" t="n"/>
      <c r="AD96" s="137" t="n"/>
      <c r="AE96" s="137" t="n"/>
      <c r="AF96" s="137" t="n"/>
      <c r="AG96" s="137" t="n"/>
      <c r="AH96" s="137" t="n"/>
      <c r="AI96" s="137" t="n"/>
      <c r="AJ96" s="134" t="n"/>
      <c r="AK96" s="134" t="n"/>
      <c r="AL96" s="127" t="n"/>
      <c r="AM96" s="137" t="n"/>
      <c r="AN96" s="137" t="n"/>
      <c r="AO96" s="137" t="n"/>
      <c r="AP96" s="137" t="n"/>
      <c r="AQ96" s="137" t="n"/>
      <c r="AR96" s="137" t="n"/>
      <c r="AS96" s="137" t="n"/>
      <c r="AT96" s="137" t="n"/>
      <c r="AU96" s="137" t="n"/>
      <c r="AV96" s="137" t="n"/>
      <c r="AW96" s="137" t="n"/>
      <c r="AX96" s="137" t="n"/>
      <c r="AY96" s="137" t="n"/>
      <c r="AZ96" s="137" t="n"/>
      <c r="BA96" s="137" t="n"/>
    </row>
    <row r="97" ht="41.25" customHeight="1" s="220">
      <c r="A97" s="1" t="n"/>
      <c r="B97" s="1" t="n"/>
      <c r="C97" s="2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37" t="n"/>
      <c r="N97" s="1" t="n"/>
      <c r="O97" s="1" t="n"/>
      <c r="P97" s="1" t="n"/>
      <c r="Q97" s="1" t="n"/>
      <c r="R97" s="134" t="n"/>
      <c r="S97" s="134" t="n"/>
      <c r="T97" s="127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34" t="n"/>
      <c r="AK97" s="134" t="n"/>
      <c r="AL97" s="127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</row>
    <row r="98" ht="18.75" customHeight="1" s="220">
      <c r="A98" s="1" t="n"/>
      <c r="B98" s="1" t="n"/>
      <c r="C98" s="2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54" t="n"/>
      <c r="S98" s="154" t="n"/>
      <c r="T98" s="155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54" t="n"/>
      <c r="AK98" s="154" t="n"/>
      <c r="AL98" s="155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</row>
    <row r="99" ht="30.75" customHeight="1" s="220">
      <c r="A99" s="1" t="n"/>
      <c r="B99" s="1" t="n"/>
      <c r="C99" s="2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59" t="inlineStr">
        <is>
          <t>TOTAL CHEQUE AMOUNT</t>
        </is>
      </c>
      <c r="S99" s="160">
        <f>S79-S92-S96-S97-S93-S94-S95</f>
        <v/>
      </c>
      <c r="T99" s="2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59" t="inlineStr">
        <is>
          <t>TOTAL CHEQUE AMOUNT</t>
        </is>
      </c>
      <c r="AK99" s="160">
        <f>AK79-AK92-AK96-AK97-AK93-AK94-AK95</f>
        <v/>
      </c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</row>
    <row r="100" ht="16.5" customHeight="1" s="220">
      <c r="A100" s="1" t="n"/>
      <c r="B100" s="1" t="n"/>
      <c r="C100" s="2" t="n"/>
      <c r="D100" s="1" t="n"/>
      <c r="E100" s="1" t="n"/>
      <c r="F100" s="137" t="n"/>
      <c r="G100" s="137" t="n"/>
      <c r="H100" s="137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</row>
    <row r="101" ht="16.5" customHeight="1" s="220">
      <c r="A101" s="1" t="n"/>
      <c r="B101" s="1" t="n"/>
      <c r="C101" s="2" t="n"/>
      <c r="D101" s="1" t="n"/>
      <c r="E101" s="2" t="n"/>
      <c r="F101" s="1" t="n"/>
      <c r="G101" s="1" t="n"/>
      <c r="H101" s="137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</row>
    <row r="102" ht="16.5" customHeight="1" s="220">
      <c r="A102" s="1" t="n"/>
      <c r="B102" s="1" t="n"/>
      <c r="C102" s="2" t="n"/>
      <c r="D102" s="1" t="n"/>
      <c r="E102" s="1" t="n"/>
      <c r="F102" s="1" t="n"/>
      <c r="G102" s="1" t="n"/>
      <c r="H102" s="137" t="n"/>
      <c r="I102" s="1" t="n"/>
      <c r="J102" s="1" t="n"/>
      <c r="K102" s="1" t="n"/>
      <c r="L102" s="137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</row>
    <row r="103" ht="16.5" customHeight="1" s="220">
      <c r="A103" s="137" t="n"/>
      <c r="B103" s="1" t="n"/>
      <c r="C103" s="2" t="n"/>
      <c r="D103" s="1" t="n"/>
      <c r="E103" s="137" t="n"/>
      <c r="F103" s="1" t="n"/>
      <c r="G103" s="1" t="n"/>
      <c r="H103" s="137" t="n"/>
      <c r="I103" s="1" t="n"/>
      <c r="J103" s="137" t="n"/>
      <c r="K103" s="137" t="n"/>
      <c r="L103" s="137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</row>
    <row r="104" ht="16.5" customHeight="1" s="220">
      <c r="A104" s="1" t="n"/>
      <c r="B104" s="1" t="n"/>
      <c r="C104" s="2" t="n"/>
      <c r="D104" s="1" t="n"/>
      <c r="E104" s="1" t="n"/>
      <c r="F104" s="1" t="n"/>
      <c r="G104" s="1" t="n"/>
      <c r="H104" s="137" t="n"/>
      <c r="I104" s="1" t="n"/>
      <c r="J104" s="1" t="n"/>
      <c r="K104" s="1" t="n"/>
      <c r="L104" s="137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</row>
    <row r="105" ht="16.5" customHeight="1" s="220">
      <c r="A105" s="1" t="n"/>
      <c r="B105" s="1" t="n"/>
      <c r="C105" s="2" t="n"/>
      <c r="D105" s="1" t="n"/>
      <c r="E105" s="1" t="n"/>
      <c r="F105" s="137" t="n"/>
      <c r="G105" s="137" t="n"/>
      <c r="H105" s="137" t="n"/>
      <c r="I105" s="1" t="n"/>
      <c r="J105" s="1" t="n"/>
      <c r="K105" s="1" t="n"/>
      <c r="L105" s="137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</row>
    <row r="106" ht="16.5" customHeight="1" s="220">
      <c r="A106" s="1" t="n"/>
      <c r="B106" s="1" t="n"/>
      <c r="C106" s="2" t="n"/>
      <c r="D106" s="1" t="n"/>
      <c r="E106" s="1" t="n"/>
      <c r="F106" s="1" t="n"/>
      <c r="G106" s="1" t="n"/>
      <c r="H106" s="137" t="n"/>
      <c r="I106" s="1" t="n"/>
      <c r="J106" s="1" t="n"/>
      <c r="K106" s="1" t="n"/>
      <c r="L106" s="137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</row>
    <row r="107" ht="16.5" customHeight="1" s="220">
      <c r="A107" s="137" t="n"/>
      <c r="B107" s="1" t="n"/>
      <c r="C107" s="2" t="n"/>
      <c r="D107" s="1" t="n"/>
      <c r="E107" s="137" t="n"/>
      <c r="F107" s="1" t="n"/>
      <c r="G107" s="1" t="n"/>
      <c r="H107" s="137" t="n"/>
      <c r="I107" s="1" t="n"/>
      <c r="J107" s="137" t="n"/>
      <c r="K107" s="137" t="n"/>
      <c r="L107" s="137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</row>
    <row r="108" ht="16.5" customHeight="1" s="220">
      <c r="A108" s="1" t="n"/>
      <c r="B108" s="1" t="n"/>
      <c r="C108" s="2" t="n"/>
      <c r="D108" s="1" t="n"/>
      <c r="E108" s="1" t="n"/>
      <c r="F108" s="137" t="n"/>
      <c r="G108" s="137" t="n"/>
      <c r="H108" s="137" t="n"/>
      <c r="I108" s="1" t="n"/>
      <c r="J108" s="1" t="n"/>
      <c r="K108" s="1" t="n"/>
      <c r="L108" s="137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</row>
    <row r="109" ht="16.5" customHeight="1" s="220">
      <c r="A109" s="1" t="n"/>
      <c r="B109" s="1" t="n"/>
      <c r="C109" s="2" t="n"/>
      <c r="D109" s="1" t="n"/>
      <c r="E109" s="137" t="n"/>
      <c r="F109" s="1" t="n"/>
      <c r="G109" s="1" t="n"/>
      <c r="H109" s="137" t="n"/>
      <c r="I109" s="1" t="n"/>
      <c r="J109" s="1" t="n"/>
      <c r="K109" s="1" t="n"/>
      <c r="L109" s="137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</row>
    <row r="110" ht="16.5" customHeight="1" s="220">
      <c r="A110" s="1" t="n"/>
      <c r="B110" s="1" t="n"/>
      <c r="C110" s="2" t="n"/>
      <c r="D110" s="1" t="n"/>
      <c r="E110" s="1" t="n"/>
      <c r="F110" s="1" t="n"/>
      <c r="G110" s="1" t="n"/>
      <c r="H110" s="137" t="n"/>
      <c r="I110" s="1" t="n"/>
      <c r="J110" s="1" t="n"/>
      <c r="K110" s="1" t="n"/>
      <c r="L110" s="137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</row>
    <row r="111" ht="16.5" customHeight="1" s="220">
      <c r="A111" s="137" t="n"/>
      <c r="B111" s="1" t="n"/>
      <c r="C111" s="2" t="n"/>
      <c r="D111" s="1" t="n"/>
      <c r="E111" s="1" t="n"/>
      <c r="F111" s="1" t="n"/>
      <c r="G111" s="1" t="n"/>
      <c r="H111" s="137" t="n"/>
      <c r="I111" s="1" t="n"/>
      <c r="J111" s="1" t="n"/>
      <c r="K111" s="1" t="n"/>
      <c r="L111" s="137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</row>
    <row r="112" ht="16.5" customHeight="1" s="220">
      <c r="A112" s="1" t="n"/>
      <c r="B112" s="1" t="n"/>
      <c r="C112" s="1" t="n"/>
      <c r="D112" s="1" t="n"/>
      <c r="E112" s="1" t="n"/>
      <c r="F112" s="137" t="n"/>
      <c r="G112" s="137" t="n"/>
      <c r="H112" s="137" t="n"/>
      <c r="I112" s="1" t="n"/>
      <c r="J112" s="137" t="n"/>
      <c r="K112" s="137" t="n"/>
      <c r="L112" s="137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</row>
    <row r="113" ht="16.5" customHeight="1" s="220">
      <c r="A113" s="1" t="n"/>
      <c r="B113" s="1" t="n"/>
      <c r="C113" s="137" t="n"/>
      <c r="D113" s="137" t="n"/>
      <c r="E113" s="137" t="n"/>
      <c r="F113" s="1" t="n"/>
      <c r="G113" s="1" t="n"/>
      <c r="H113" s="137" t="n"/>
      <c r="I113" s="1" t="n"/>
      <c r="J113" s="1" t="n"/>
      <c r="K113" s="1" t="n"/>
      <c r="L113" s="137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</row>
    <row r="114" ht="16.5" customHeight="1" s="220">
      <c r="A114" s="1" t="n"/>
      <c r="B114" s="1" t="n"/>
      <c r="C114" s="1" t="n"/>
      <c r="D114" s="1" t="n"/>
      <c r="E114" s="1" t="n"/>
      <c r="F114" s="1" t="n"/>
      <c r="G114" s="1" t="n"/>
      <c r="H114" s="137" t="n"/>
      <c r="I114" s="1" t="n"/>
      <c r="J114" s="1" t="n"/>
      <c r="K114" s="1" t="n"/>
      <c r="L114" s="137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</row>
    <row r="115" ht="16.5" customHeight="1" s="220">
      <c r="A115" s="137" t="n"/>
      <c r="B115" s="137" t="n"/>
      <c r="C115" s="137" t="n"/>
      <c r="D115" s="1" t="n"/>
      <c r="E115" s="1" t="n"/>
      <c r="F115" s="1" t="n"/>
      <c r="G115" s="1" t="n"/>
      <c r="H115" s="137" t="n"/>
      <c r="I115" s="1" t="n"/>
      <c r="J115" s="1" t="n"/>
      <c r="K115" s="1" t="n"/>
      <c r="L115" s="137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</row>
    <row r="116" ht="16.5" customHeight="1" s="220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</row>
    <row r="117" ht="16.5" customHeight="1" s="220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</row>
    <row r="118" ht="16.5" customHeight="1" s="220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</row>
    <row r="119" ht="16.5" customHeight="1" s="220">
      <c r="A119" s="137" t="n"/>
      <c r="B119" s="137" t="n"/>
      <c r="C119" s="137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</row>
    <row r="120" ht="16.5" customHeight="1" s="2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</row>
    <row r="121" ht="16.5" customHeight="1" s="220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</row>
    <row r="122" ht="16.5" customHeight="1" s="220">
      <c r="A122" s="137" t="n"/>
      <c r="B122" s="137" t="n"/>
      <c r="C122" s="137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</row>
    <row r="123" ht="16.5" customHeight="1" s="220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</row>
    <row r="124" ht="16.5" customHeight="1" s="220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</row>
    <row r="125" ht="16.5" customHeight="1" s="220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</row>
    <row r="126" ht="16.5" customHeight="1" s="220">
      <c r="A126" s="137" t="n"/>
      <c r="B126" s="137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</row>
    <row r="127" ht="16.5" customHeight="1" s="220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</row>
    <row r="128" ht="16.5" customHeight="1" s="220">
      <c r="A128" s="1" t="n"/>
      <c r="B128" s="1" t="n"/>
      <c r="C128" s="137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</row>
    <row r="129" ht="16.5" customHeight="1" s="220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</row>
    <row r="130" ht="16.5" customHeight="1" s="220">
      <c r="A130" s="137" t="n"/>
      <c r="B130" s="137" t="n"/>
      <c r="C130" s="137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</row>
    <row r="131" ht="16.5" customHeight="1" s="220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</row>
    <row r="132" ht="16.5" customHeight="1" s="220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</row>
    <row r="133" ht="16.5" customHeight="1" s="220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</row>
    <row r="134" ht="16.5" customHeight="1" s="220">
      <c r="A134" s="1" t="n"/>
      <c r="B134" s="1" t="n"/>
      <c r="C134" s="2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</row>
    <row r="135" ht="16.5" customHeight="1" s="220">
      <c r="A135" s="1" t="n"/>
      <c r="B135" s="1" t="n"/>
      <c r="C135" s="2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</row>
    <row r="136" ht="16.5" customHeight="1" s="220">
      <c r="A136" s="1" t="n"/>
      <c r="B136" s="1" t="n"/>
      <c r="C136" s="2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</row>
    <row r="137" ht="16.5" customHeight="1" s="220">
      <c r="A137" s="1" t="n"/>
      <c r="B137" s="1" t="n"/>
      <c r="C137" s="2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</row>
    <row r="138" ht="16.5" customHeight="1" s="220">
      <c r="A138" s="1" t="n"/>
      <c r="B138" s="1" t="n"/>
      <c r="C138" s="2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</row>
    <row r="139" ht="16.5" customHeight="1" s="220">
      <c r="A139" s="1" t="n"/>
      <c r="B139" s="1" t="n"/>
      <c r="C139" s="2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</row>
    <row r="140" ht="16.5" customHeight="1" s="220">
      <c r="A140" s="1" t="n"/>
      <c r="B140" s="1" t="n"/>
      <c r="C140" s="2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</row>
    <row r="141" ht="16.5" customHeight="1" s="220">
      <c r="A141" s="1" t="n"/>
      <c r="B141" s="1" t="n"/>
      <c r="C141" s="2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</row>
    <row r="142" ht="16.5" customHeight="1" s="220">
      <c r="A142" s="1" t="n"/>
      <c r="B142" s="1" t="n"/>
      <c r="C142" s="2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</row>
    <row r="143" ht="16.5" customHeight="1" s="220">
      <c r="A143" s="1" t="n"/>
      <c r="B143" s="1" t="n"/>
      <c r="C143" s="2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</row>
    <row r="144" ht="16.5" customHeight="1" s="220">
      <c r="A144" s="1" t="n"/>
      <c r="B144" s="1" t="n"/>
      <c r="C144" s="2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</row>
    <row r="145" ht="16.5" customHeight="1" s="220">
      <c r="A145" s="1" t="n"/>
      <c r="B145" s="1" t="n"/>
      <c r="C145" s="2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</row>
    <row r="146" ht="16.5" customHeight="1" s="220">
      <c r="A146" s="1" t="n"/>
      <c r="B146" s="1" t="n"/>
      <c r="C146" s="2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</row>
    <row r="147" ht="16.5" customHeight="1" s="220">
      <c r="A147" s="1" t="n"/>
      <c r="B147" s="1" t="n"/>
      <c r="C147" s="2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</row>
    <row r="148" ht="16.5" customHeight="1" s="220">
      <c r="A148" s="1" t="n"/>
      <c r="B148" s="1" t="n"/>
      <c r="C148" s="2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</row>
    <row r="149" ht="16.5" customHeight="1" s="220">
      <c r="A149" s="1" t="n"/>
      <c r="B149" s="1" t="n"/>
      <c r="C149" s="2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</row>
    <row r="150" ht="16.5" customHeight="1" s="220">
      <c r="A150" s="1" t="n"/>
      <c r="B150" s="1" t="n"/>
      <c r="C150" s="2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</row>
    <row r="151" ht="16.5" customHeight="1" s="220">
      <c r="A151" s="1" t="n"/>
      <c r="B151" s="1" t="n"/>
      <c r="C151" s="2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</row>
    <row r="152" ht="16.5" customHeight="1" s="220">
      <c r="A152" s="1" t="n"/>
      <c r="B152" s="1" t="n"/>
      <c r="C152" s="2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</row>
    <row r="153" ht="16.5" customHeight="1" s="220">
      <c r="A153" s="1" t="n"/>
      <c r="B153" s="1" t="n"/>
      <c r="C153" s="2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</row>
    <row r="154" ht="16.5" customHeight="1" s="220">
      <c r="A154" s="1" t="n"/>
      <c r="B154" s="1" t="n"/>
      <c r="C154" s="2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</row>
    <row r="155" ht="16.5" customHeight="1" s="220">
      <c r="A155" s="1" t="n"/>
      <c r="B155" s="1" t="n"/>
      <c r="C155" s="2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</row>
    <row r="156" ht="16.5" customHeight="1" s="220">
      <c r="A156" s="1" t="n"/>
      <c r="B156" s="1" t="n"/>
      <c r="C156" s="2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</row>
    <row r="157" ht="16.5" customHeight="1" s="220">
      <c r="A157" s="1" t="n"/>
      <c r="B157" s="1" t="n"/>
      <c r="C157" s="2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</row>
    <row r="158" ht="16.5" customHeight="1" s="220">
      <c r="A158" s="1" t="n"/>
      <c r="B158" s="1" t="n"/>
      <c r="C158" s="2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  <c r="BA158" s="1" t="n"/>
    </row>
    <row r="159" ht="16.5" customHeight="1" s="220">
      <c r="A159" s="1" t="n"/>
      <c r="B159" s="1" t="n"/>
      <c r="C159" s="2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</row>
    <row r="160" ht="16.5" customHeight="1" s="220">
      <c r="A160" s="1" t="n"/>
      <c r="B160" s="1" t="n"/>
      <c r="C160" s="2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</row>
    <row r="161" ht="16.5" customHeight="1" s="220">
      <c r="A161" s="1" t="n"/>
      <c r="B161" s="1" t="n"/>
      <c r="C161" s="2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</row>
    <row r="162" ht="16.5" customHeight="1" s="220">
      <c r="A162" s="1" t="n"/>
      <c r="B162" s="1" t="n"/>
      <c r="C162" s="2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</row>
    <row r="163" ht="16.5" customHeight="1" s="220">
      <c r="A163" s="1" t="n"/>
      <c r="B163" s="1" t="n"/>
      <c r="C163" s="2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</row>
    <row r="164" ht="16.5" customHeight="1" s="220">
      <c r="A164" s="1" t="n"/>
      <c r="B164" s="1" t="n"/>
      <c r="C164" s="2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</row>
    <row r="165" ht="16.5" customHeight="1" s="220">
      <c r="A165" s="1" t="n"/>
      <c r="B165" s="1" t="n"/>
      <c r="C165" s="2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</row>
    <row r="166" ht="16.5" customHeight="1" s="220">
      <c r="A166" s="1" t="n"/>
      <c r="B166" s="1" t="n"/>
      <c r="C166" s="2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</row>
    <row r="167" ht="16.5" customHeight="1" s="220">
      <c r="A167" s="1" t="n"/>
      <c r="B167" s="1" t="n"/>
      <c r="C167" s="2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</row>
    <row r="168" ht="16.5" customHeight="1" s="220">
      <c r="A168" s="1" t="n"/>
      <c r="B168" s="1" t="n"/>
      <c r="C168" s="2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1" t="n"/>
    </row>
    <row r="169" ht="16.5" customHeight="1" s="220">
      <c r="A169" s="1" t="n"/>
      <c r="B169" s="1" t="n"/>
      <c r="C169" s="2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</row>
    <row r="170" ht="16.5" customHeight="1" s="220">
      <c r="A170" s="1" t="n"/>
      <c r="B170" s="1" t="n"/>
      <c r="C170" s="2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</row>
    <row r="171" ht="16.5" customHeight="1" s="220">
      <c r="A171" s="1" t="n"/>
      <c r="B171" s="1" t="n"/>
      <c r="C171" s="2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1" t="n"/>
    </row>
    <row r="172" ht="16.5" customHeight="1" s="220">
      <c r="A172" s="1" t="n"/>
      <c r="B172" s="1" t="n"/>
      <c r="C172" s="2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</row>
    <row r="173" ht="16.5" customHeight="1" s="220">
      <c r="A173" s="1" t="n"/>
      <c r="B173" s="1" t="n"/>
      <c r="C173" s="2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</row>
    <row r="174" ht="16.5" customHeight="1" s="220">
      <c r="A174" s="1" t="n"/>
      <c r="B174" s="1" t="n"/>
      <c r="C174" s="2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</row>
    <row r="175" ht="16.5" customHeight="1" s="220">
      <c r="A175" s="1" t="n"/>
      <c r="B175" s="1" t="n"/>
      <c r="C175" s="2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</row>
    <row r="176" ht="16.5" customHeight="1" s="220">
      <c r="A176" s="1" t="n"/>
      <c r="B176" s="1" t="n"/>
      <c r="C176" s="2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</row>
    <row r="177" ht="16.5" customHeight="1" s="220">
      <c r="A177" s="1" t="n"/>
      <c r="B177" s="1" t="n"/>
      <c r="C177" s="2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</row>
    <row r="178" ht="16.5" customHeight="1" s="220">
      <c r="A178" s="1" t="n"/>
      <c r="B178" s="1" t="n"/>
      <c r="C178" s="2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</row>
    <row r="179" ht="16.5" customHeight="1" s="220">
      <c r="A179" s="1" t="n"/>
      <c r="B179" s="1" t="n"/>
      <c r="C179" s="2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</row>
    <row r="180" ht="16.5" customHeight="1" s="220">
      <c r="A180" s="1" t="n"/>
      <c r="B180" s="1" t="n"/>
      <c r="C180" s="2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</row>
    <row r="181" ht="16.5" customHeight="1" s="220">
      <c r="A181" s="1" t="n"/>
      <c r="B181" s="1" t="n"/>
      <c r="C181" s="2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</row>
    <row r="182" ht="16.5" customHeight="1" s="220">
      <c r="A182" s="1" t="n"/>
      <c r="B182" s="1" t="n"/>
      <c r="C182" s="2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</row>
    <row r="183" ht="16.5" customHeight="1" s="220">
      <c r="A183" s="1" t="n"/>
      <c r="B183" s="1" t="n"/>
      <c r="C183" s="2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</row>
    <row r="184" ht="16.5" customHeight="1" s="220">
      <c r="A184" s="1" t="n"/>
      <c r="B184" s="1" t="n"/>
      <c r="C184" s="2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</row>
    <row r="185" ht="16.5" customHeight="1" s="220">
      <c r="A185" s="1" t="n"/>
      <c r="B185" s="1" t="n"/>
      <c r="C185" s="2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</row>
    <row r="186" ht="16.5" customHeight="1" s="220">
      <c r="A186" s="1" t="n"/>
      <c r="B186" s="1" t="n"/>
      <c r="C186" s="2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</row>
    <row r="187" ht="16.5" customHeight="1" s="220">
      <c r="A187" s="1" t="n"/>
      <c r="B187" s="1" t="n"/>
      <c r="C187" s="2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</row>
    <row r="188" ht="16.5" customHeight="1" s="220">
      <c r="A188" s="1" t="n"/>
      <c r="B188" s="1" t="n"/>
      <c r="C188" s="2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</row>
    <row r="189" ht="16.5" customHeight="1" s="220">
      <c r="A189" s="1" t="n"/>
      <c r="B189" s="1" t="n"/>
      <c r="C189" s="2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</row>
    <row r="190" ht="16.5" customHeight="1" s="220">
      <c r="A190" s="1" t="n"/>
      <c r="B190" s="1" t="n"/>
      <c r="C190" s="2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</row>
    <row r="191" ht="16.5" customHeight="1" s="220">
      <c r="A191" s="1" t="n"/>
      <c r="B191" s="1" t="n"/>
      <c r="C191" s="2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</row>
    <row r="192" ht="16.5" customHeight="1" s="220">
      <c r="A192" s="1" t="n"/>
      <c r="B192" s="1" t="n"/>
      <c r="C192" s="2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</row>
    <row r="193" ht="16.5" customHeight="1" s="220">
      <c r="A193" s="1" t="n"/>
      <c r="B193" s="1" t="n"/>
      <c r="C193" s="2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</row>
    <row r="194" ht="16.5" customHeight="1" s="220">
      <c r="A194" s="1" t="n"/>
      <c r="B194" s="1" t="n"/>
      <c r="C194" s="2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1" t="n"/>
    </row>
    <row r="195" ht="16.5" customHeight="1" s="220">
      <c r="A195" s="1" t="n"/>
      <c r="B195" s="1" t="n"/>
      <c r="C195" s="2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</row>
    <row r="196" ht="16.5" customHeight="1" s="220">
      <c r="A196" s="1" t="n"/>
      <c r="B196" s="1" t="n"/>
      <c r="C196" s="2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</row>
    <row r="197" ht="16.5" customHeight="1" s="220">
      <c r="A197" s="1" t="n"/>
      <c r="B197" s="1" t="n"/>
      <c r="C197" s="2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</row>
    <row r="198" ht="16.5" customHeight="1" s="220">
      <c r="A198" s="1" t="n"/>
      <c r="B198" s="1" t="n"/>
      <c r="C198" s="2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</row>
    <row r="199" ht="16.5" customHeight="1" s="220">
      <c r="A199" s="1" t="n"/>
      <c r="B199" s="1" t="n"/>
      <c r="C199" s="2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</row>
    <row r="200" ht="16.5" customHeight="1" s="220">
      <c r="A200" s="1" t="n"/>
      <c r="B200" s="1" t="n"/>
      <c r="C200" s="2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</row>
    <row r="201" ht="16.5" customHeight="1" s="220">
      <c r="A201" s="1" t="n"/>
      <c r="B201" s="1" t="n"/>
      <c r="C201" s="2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  <c r="BA201" s="1" t="n"/>
    </row>
    <row r="202" ht="16.5" customHeight="1" s="220">
      <c r="A202" s="1" t="n"/>
      <c r="B202" s="1" t="n"/>
      <c r="C202" s="2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  <c r="BA202" s="1" t="n"/>
    </row>
    <row r="203" ht="16.5" customHeight="1" s="220">
      <c r="A203" s="1" t="n"/>
      <c r="B203" s="1" t="n"/>
      <c r="C203" s="2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  <c r="BA203" s="1" t="n"/>
    </row>
    <row r="204" ht="16.5" customHeight="1" s="220">
      <c r="A204" s="1" t="n"/>
      <c r="B204" s="1" t="n"/>
      <c r="C204" s="2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  <c r="BA204" s="1" t="n"/>
    </row>
    <row r="205" ht="16.5" customHeight="1" s="220">
      <c r="A205" s="1" t="n"/>
      <c r="B205" s="1" t="n"/>
      <c r="C205" s="2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  <c r="BA205" s="1" t="n"/>
    </row>
    <row r="206" ht="16.5" customHeight="1" s="220">
      <c r="A206" s="1" t="n"/>
      <c r="B206" s="1" t="n"/>
      <c r="C206" s="2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  <c r="BA206" s="1" t="n"/>
    </row>
    <row r="207" ht="16.5" customHeight="1" s="220">
      <c r="A207" s="1" t="n"/>
      <c r="B207" s="1" t="n"/>
      <c r="C207" s="2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  <c r="BA207" s="1" t="n"/>
    </row>
    <row r="208" ht="16.5" customHeight="1" s="220">
      <c r="A208" s="1" t="n"/>
      <c r="B208" s="1" t="n"/>
      <c r="C208" s="2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  <c r="BA208" s="1" t="n"/>
    </row>
    <row r="209" ht="16.5" customHeight="1" s="220">
      <c r="A209" s="1" t="n"/>
      <c r="B209" s="1" t="n"/>
      <c r="C209" s="2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  <c r="BA209" s="1" t="n"/>
    </row>
    <row r="210" ht="16.5" customHeight="1" s="220">
      <c r="A210" s="1" t="n"/>
      <c r="B210" s="1" t="n"/>
      <c r="C210" s="2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  <c r="BA210" s="1" t="n"/>
    </row>
    <row r="211" ht="16.5" customHeight="1" s="220">
      <c r="A211" s="1" t="n"/>
      <c r="B211" s="1" t="n"/>
      <c r="C211" s="2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  <c r="BA211" s="1" t="n"/>
    </row>
    <row r="212" ht="16.5" customHeight="1" s="220">
      <c r="A212" s="1" t="n"/>
      <c r="B212" s="1" t="n"/>
      <c r="C212" s="2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  <c r="BA212" s="1" t="n"/>
    </row>
    <row r="213" ht="16.5" customHeight="1" s="220">
      <c r="A213" s="1" t="n"/>
      <c r="B213" s="1" t="n"/>
      <c r="C213" s="2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  <c r="BA213" s="1" t="n"/>
    </row>
    <row r="214" ht="16.5" customHeight="1" s="220">
      <c r="A214" s="1" t="n"/>
      <c r="B214" s="1" t="n"/>
      <c r="C214" s="2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  <c r="BA214" s="1" t="n"/>
    </row>
    <row r="215" ht="16.5" customHeight="1" s="220">
      <c r="A215" s="1" t="n"/>
      <c r="B215" s="1" t="n"/>
      <c r="C215" s="2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  <c r="BA215" s="1" t="n"/>
    </row>
    <row r="216" ht="16.5" customHeight="1" s="220">
      <c r="A216" s="1" t="n"/>
      <c r="B216" s="1" t="n"/>
      <c r="C216" s="2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  <c r="BA216" s="1" t="n"/>
    </row>
    <row r="217" ht="16.5" customHeight="1" s="220">
      <c r="A217" s="1" t="n"/>
      <c r="B217" s="1" t="n"/>
      <c r="C217" s="2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  <c r="BA217" s="1" t="n"/>
    </row>
    <row r="218" ht="16.5" customHeight="1" s="220">
      <c r="A218" s="1" t="n"/>
      <c r="B218" s="1" t="n"/>
      <c r="C218" s="2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  <c r="BA218" s="1" t="n"/>
    </row>
    <row r="219" ht="16.5" customHeight="1" s="220">
      <c r="A219" s="1" t="n"/>
      <c r="B219" s="1" t="n"/>
      <c r="C219" s="2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  <c r="BA219" s="1" t="n"/>
    </row>
    <row r="220" ht="16.5" customHeight="1" s="220">
      <c r="A220" s="1" t="n"/>
      <c r="B220" s="1" t="n"/>
      <c r="C220" s="2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  <c r="BA220" s="1" t="n"/>
    </row>
    <row r="221" ht="16.5" customHeight="1" s="220">
      <c r="A221" s="1" t="n"/>
      <c r="B221" s="1" t="n"/>
      <c r="C221" s="2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  <c r="BA221" s="1" t="n"/>
    </row>
    <row r="222" ht="16.5" customHeight="1" s="220">
      <c r="A222" s="1" t="n"/>
      <c r="B222" s="1" t="n"/>
      <c r="C222" s="2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  <c r="BA222" s="1" t="n"/>
    </row>
    <row r="223" ht="16.5" customHeight="1" s="220">
      <c r="A223" s="1" t="n"/>
      <c r="B223" s="1" t="n"/>
      <c r="C223" s="2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  <c r="BA223" s="1" t="n"/>
    </row>
    <row r="224" ht="16.5" customHeight="1" s="220">
      <c r="A224" s="1" t="n"/>
      <c r="B224" s="1" t="n"/>
      <c r="C224" s="2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  <c r="BA224" s="1" t="n"/>
    </row>
    <row r="225" ht="16.5" customHeight="1" s="220">
      <c r="A225" s="1" t="n"/>
      <c r="B225" s="1" t="n"/>
      <c r="C225" s="2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  <c r="BA225" s="1" t="n"/>
    </row>
    <row r="226" ht="16.5" customHeight="1" s="220">
      <c r="A226" s="1" t="n"/>
      <c r="B226" s="1" t="n"/>
      <c r="C226" s="2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  <c r="AZ226" s="1" t="n"/>
      <c r="BA226" s="1" t="n"/>
    </row>
    <row r="227" ht="16.5" customHeight="1" s="220">
      <c r="A227" s="1" t="n"/>
      <c r="B227" s="1" t="n"/>
      <c r="C227" s="2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  <c r="BA227" s="1" t="n"/>
    </row>
    <row r="228" ht="16.5" customHeight="1" s="220">
      <c r="A228" s="1" t="n"/>
      <c r="B228" s="1" t="n"/>
      <c r="C228" s="2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  <c r="AZ228" s="1" t="n"/>
      <c r="BA228" s="1" t="n"/>
    </row>
    <row r="229" ht="16.5" customHeight="1" s="220">
      <c r="A229" s="1" t="n"/>
      <c r="B229" s="1" t="n"/>
      <c r="C229" s="2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  <c r="BA229" s="1" t="n"/>
    </row>
    <row r="230" ht="16.5" customHeight="1" s="220">
      <c r="A230" s="1" t="n"/>
      <c r="B230" s="1" t="n"/>
      <c r="C230" s="2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  <c r="AZ230" s="1" t="n"/>
      <c r="BA230" s="1" t="n"/>
    </row>
    <row r="231" ht="16.5" customHeight="1" s="220">
      <c r="A231" s="1" t="n"/>
      <c r="B231" s="1" t="n"/>
      <c r="C231" s="2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  <c r="BA231" s="1" t="n"/>
    </row>
    <row r="232" ht="16.5" customHeight="1" s="220">
      <c r="A232" s="1" t="n"/>
      <c r="B232" s="1" t="n"/>
      <c r="C232" s="2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  <c r="AZ232" s="1" t="n"/>
      <c r="BA232" s="1" t="n"/>
    </row>
    <row r="233" ht="16.5" customHeight="1" s="220">
      <c r="A233" s="1" t="n"/>
      <c r="B233" s="1" t="n"/>
      <c r="C233" s="2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  <c r="BA233" s="1" t="n"/>
    </row>
    <row r="234" ht="16.5" customHeight="1" s="220">
      <c r="A234" s="1" t="n"/>
      <c r="B234" s="1" t="n"/>
      <c r="C234" s="2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  <c r="AY234" s="1" t="n"/>
      <c r="AZ234" s="1" t="n"/>
      <c r="BA234" s="1" t="n"/>
    </row>
    <row r="235" ht="16.5" customHeight="1" s="220">
      <c r="A235" s="1" t="n"/>
      <c r="B235" s="1" t="n"/>
      <c r="C235" s="2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  <c r="AZ235" s="1" t="n"/>
      <c r="BA235" s="1" t="n"/>
    </row>
    <row r="236" ht="16.5" customHeight="1" s="220">
      <c r="A236" s="1" t="n"/>
      <c r="B236" s="1" t="n"/>
      <c r="C236" s="2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  <c r="AY236" s="1" t="n"/>
      <c r="AZ236" s="1" t="n"/>
      <c r="BA236" s="1" t="n"/>
    </row>
    <row r="237" ht="16.5" customHeight="1" s="220">
      <c r="A237" s="1" t="n"/>
      <c r="B237" s="1" t="n"/>
      <c r="C237" s="2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  <c r="BA237" s="1" t="n"/>
    </row>
    <row r="238" ht="16.5" customHeight="1" s="220">
      <c r="A238" s="1" t="n"/>
      <c r="B238" s="1" t="n"/>
      <c r="C238" s="2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  <c r="AZ238" s="1" t="n"/>
      <c r="BA238" s="1" t="n"/>
    </row>
    <row r="239" ht="16.5" customHeight="1" s="220">
      <c r="A239" s="1" t="n"/>
      <c r="B239" s="1" t="n"/>
      <c r="C239" s="2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  <c r="AZ239" s="1" t="n"/>
      <c r="BA239" s="1" t="n"/>
    </row>
    <row r="240" ht="16.5" customHeight="1" s="220">
      <c r="A240" s="1" t="n"/>
      <c r="B240" s="1" t="n"/>
      <c r="C240" s="2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</row>
    <row r="241" ht="16.5" customHeight="1" s="220">
      <c r="A241" s="1" t="n"/>
      <c r="B241" s="1" t="n"/>
      <c r="C241" s="2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  <c r="AZ241" s="1" t="n"/>
      <c r="BA241" s="1" t="n"/>
    </row>
    <row r="242" ht="16.5" customHeight="1" s="220">
      <c r="A242" s="1" t="n"/>
      <c r="B242" s="1" t="n"/>
      <c r="C242" s="2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  <c r="BA242" s="1" t="n"/>
    </row>
    <row r="243" ht="16.5" customHeight="1" s="220">
      <c r="A243" s="1" t="n"/>
      <c r="B243" s="1" t="n"/>
      <c r="C243" s="2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  <c r="AZ243" s="1" t="n"/>
      <c r="BA243" s="1" t="n"/>
    </row>
    <row r="244" ht="16.5" customHeight="1" s="220">
      <c r="A244" s="1" t="n"/>
      <c r="B244" s="1" t="n"/>
      <c r="C244" s="2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  <c r="AY244" s="1" t="n"/>
      <c r="AZ244" s="1" t="n"/>
      <c r="BA244" s="1" t="n"/>
    </row>
    <row r="245" ht="16.5" customHeight="1" s="220">
      <c r="A245" s="1" t="n"/>
      <c r="B245" s="1" t="n"/>
      <c r="C245" s="2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  <c r="AZ245" s="1" t="n"/>
      <c r="BA245" s="1" t="n"/>
    </row>
    <row r="246" ht="16.5" customHeight="1" s="220">
      <c r="A246" s="1" t="n"/>
      <c r="B246" s="1" t="n"/>
      <c r="C246" s="2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  <c r="AX246" s="1" t="n"/>
      <c r="AY246" s="1" t="n"/>
      <c r="AZ246" s="1" t="n"/>
      <c r="BA246" s="1" t="n"/>
    </row>
    <row r="247" ht="16.5" customHeight="1" s="220">
      <c r="A247" s="1" t="n"/>
      <c r="B247" s="1" t="n"/>
      <c r="C247" s="2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  <c r="AY247" s="1" t="n"/>
      <c r="AZ247" s="1" t="n"/>
      <c r="BA247" s="1" t="n"/>
    </row>
    <row r="248" ht="16.5" customHeight="1" s="220">
      <c r="A248" s="1" t="n"/>
      <c r="B248" s="1" t="n"/>
      <c r="C248" s="2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  <c r="AX248" s="1" t="n"/>
      <c r="AY248" s="1" t="n"/>
      <c r="AZ248" s="1" t="n"/>
      <c r="BA248" s="1" t="n"/>
    </row>
    <row r="249" ht="16.5" customHeight="1" s="220">
      <c r="A249" s="1" t="n"/>
      <c r="B249" s="1" t="n"/>
      <c r="C249" s="2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  <c r="AY249" s="1" t="n"/>
      <c r="AZ249" s="1" t="n"/>
      <c r="BA249" s="1" t="n"/>
    </row>
    <row r="250" ht="16.5" customHeight="1" s="220">
      <c r="A250" s="1" t="n"/>
      <c r="B250" s="1" t="n"/>
      <c r="C250" s="2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  <c r="AY250" s="1" t="n"/>
      <c r="AZ250" s="1" t="n"/>
      <c r="BA250" s="1" t="n"/>
    </row>
    <row r="251" ht="16.5" customHeight="1" s="220">
      <c r="A251" s="1" t="n"/>
      <c r="B251" s="1" t="n"/>
      <c r="C251" s="2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  <c r="AZ251" s="1" t="n"/>
      <c r="BA251" s="1" t="n"/>
    </row>
    <row r="252" ht="16.5" customHeight="1" s="220">
      <c r="A252" s="1" t="n"/>
      <c r="B252" s="1" t="n"/>
      <c r="C252" s="2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  <c r="AY252" s="1" t="n"/>
      <c r="AZ252" s="1" t="n"/>
      <c r="BA252" s="1" t="n"/>
    </row>
    <row r="253" ht="16.5" customHeight="1" s="220">
      <c r="A253" s="1" t="n"/>
      <c r="B253" s="1" t="n"/>
      <c r="C253" s="2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  <c r="AZ253" s="1" t="n"/>
      <c r="BA253" s="1" t="n"/>
    </row>
    <row r="254" ht="16.5" customHeight="1" s="220">
      <c r="A254" s="1" t="n"/>
      <c r="B254" s="1" t="n"/>
      <c r="C254" s="2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  <c r="AX254" s="1" t="n"/>
      <c r="AY254" s="1" t="n"/>
      <c r="AZ254" s="1" t="n"/>
      <c r="BA254" s="1" t="n"/>
    </row>
    <row r="255" ht="16.5" customHeight="1" s="220">
      <c r="A255" s="1" t="n"/>
      <c r="B255" s="1" t="n"/>
      <c r="C255" s="2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  <c r="AZ255" s="1" t="n"/>
      <c r="BA255" s="1" t="n"/>
    </row>
    <row r="256" ht="16.5" customHeight="1" s="220">
      <c r="A256" s="1" t="n"/>
      <c r="B256" s="1" t="n"/>
      <c r="C256" s="2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  <c r="AY256" s="1" t="n"/>
      <c r="AZ256" s="1" t="n"/>
      <c r="BA256" s="1" t="n"/>
    </row>
    <row r="257" ht="16.5" customHeight="1" s="220">
      <c r="A257" s="1" t="n"/>
      <c r="B257" s="1" t="n"/>
      <c r="C257" s="2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  <c r="BA257" s="1" t="n"/>
    </row>
    <row r="258" ht="16.5" customHeight="1" s="220">
      <c r="A258" s="1" t="n"/>
      <c r="B258" s="1" t="n"/>
      <c r="C258" s="2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  <c r="AY258" s="1" t="n"/>
      <c r="AZ258" s="1" t="n"/>
      <c r="BA258" s="1" t="n"/>
    </row>
    <row r="259" ht="16.5" customHeight="1" s="220">
      <c r="A259" s="1" t="n"/>
      <c r="B259" s="1" t="n"/>
      <c r="C259" s="2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  <c r="BA259" s="1" t="n"/>
    </row>
    <row r="260" ht="16.5" customHeight="1" s="220">
      <c r="A260" s="1" t="n"/>
      <c r="B260" s="1" t="n"/>
      <c r="C260" s="2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  <c r="AX260" s="1" t="n"/>
      <c r="AY260" s="1" t="n"/>
      <c r="AZ260" s="1" t="n"/>
      <c r="BA260" s="1" t="n"/>
    </row>
    <row r="261" ht="16.5" customHeight="1" s="220">
      <c r="A261" s="1" t="n"/>
      <c r="B261" s="1" t="n"/>
      <c r="C261" s="2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  <c r="AZ261" s="1" t="n"/>
      <c r="BA261" s="1" t="n"/>
    </row>
    <row r="262" ht="16.5" customHeight="1" s="220">
      <c r="A262" s="1" t="n"/>
      <c r="B262" s="1" t="n"/>
      <c r="C262" s="2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  <c r="AX262" s="1" t="n"/>
      <c r="AY262" s="1" t="n"/>
      <c r="AZ262" s="1" t="n"/>
      <c r="BA262" s="1" t="n"/>
    </row>
    <row r="263" ht="16.5" customHeight="1" s="220">
      <c r="A263" s="1" t="n"/>
      <c r="B263" s="1" t="n"/>
      <c r="C263" s="2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  <c r="AZ263" s="1" t="n"/>
      <c r="BA263" s="1" t="n"/>
    </row>
    <row r="264" ht="16.5" customHeight="1" s="220">
      <c r="A264" s="1" t="n"/>
      <c r="B264" s="1" t="n"/>
      <c r="C264" s="2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  <c r="AX264" s="1" t="n"/>
      <c r="AY264" s="1" t="n"/>
      <c r="AZ264" s="1" t="n"/>
      <c r="BA264" s="1" t="n"/>
    </row>
    <row r="265" ht="16.5" customHeight="1" s="220">
      <c r="A265" s="1" t="n"/>
      <c r="B265" s="1" t="n"/>
      <c r="C265" s="2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  <c r="BA265" s="1" t="n"/>
    </row>
    <row r="266" ht="16.5" customHeight="1" s="220">
      <c r="A266" s="1" t="n"/>
      <c r="B266" s="1" t="n"/>
      <c r="C266" s="2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  <c r="AX266" s="1" t="n"/>
      <c r="AY266" s="1" t="n"/>
      <c r="AZ266" s="1" t="n"/>
      <c r="BA266" s="1" t="n"/>
    </row>
    <row r="267" ht="16.5" customHeight="1" s="220">
      <c r="A267" s="1" t="n"/>
      <c r="B267" s="1" t="n"/>
      <c r="C267" s="2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  <c r="BA267" s="1" t="n"/>
    </row>
    <row r="268" ht="16.5" customHeight="1" s="220">
      <c r="A268" s="1" t="n"/>
      <c r="B268" s="1" t="n"/>
      <c r="C268" s="2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  <c r="AZ268" s="1" t="n"/>
      <c r="BA268" s="1" t="n"/>
    </row>
    <row r="269" ht="16.5" customHeight="1" s="220">
      <c r="A269" s="1" t="n"/>
      <c r="B269" s="1" t="n"/>
      <c r="C269" s="2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  <c r="AZ269" s="1" t="n"/>
      <c r="BA269" s="1" t="n"/>
    </row>
    <row r="270" ht="16.5" customHeight="1" s="220">
      <c r="A270" s="1" t="n"/>
      <c r="B270" s="1" t="n"/>
      <c r="C270" s="2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  <c r="BA270" s="1" t="n"/>
    </row>
    <row r="271" ht="16.5" customHeight="1" s="220">
      <c r="A271" s="1" t="n"/>
      <c r="B271" s="1" t="n"/>
      <c r="C271" s="2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  <c r="AZ271" s="1" t="n"/>
      <c r="BA271" s="1" t="n"/>
    </row>
    <row r="272" ht="16.5" customHeight="1" s="220">
      <c r="A272" s="1" t="n"/>
      <c r="B272" s="1" t="n"/>
      <c r="C272" s="2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  <c r="AY272" s="1" t="n"/>
      <c r="AZ272" s="1" t="n"/>
      <c r="BA272" s="1" t="n"/>
    </row>
    <row r="273" ht="16.5" customHeight="1" s="220">
      <c r="A273" s="1" t="n"/>
      <c r="B273" s="1" t="n"/>
      <c r="C273" s="2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  <c r="AZ273" s="1" t="n"/>
      <c r="BA273" s="1" t="n"/>
    </row>
    <row r="274" ht="16.5" customHeight="1" s="220">
      <c r="A274" s="1" t="n"/>
      <c r="B274" s="1" t="n"/>
      <c r="C274" s="2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  <c r="AX274" s="1" t="n"/>
      <c r="AY274" s="1" t="n"/>
      <c r="AZ274" s="1" t="n"/>
      <c r="BA274" s="1" t="n"/>
    </row>
    <row r="275" ht="16.5" customHeight="1" s="220">
      <c r="A275" s="1" t="n"/>
      <c r="B275" s="1" t="n"/>
      <c r="C275" s="2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  <c r="AY275" s="1" t="n"/>
      <c r="AZ275" s="1" t="n"/>
      <c r="BA275" s="1" t="n"/>
    </row>
    <row r="276" ht="16.5" customHeight="1" s="220">
      <c r="A276" s="1" t="n"/>
      <c r="B276" s="1" t="n"/>
      <c r="C276" s="2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  <c r="BA276" s="1" t="n"/>
    </row>
    <row r="277" ht="16.5" customHeight="1" s="220">
      <c r="A277" s="1" t="n"/>
      <c r="B277" s="1" t="n"/>
      <c r="C277" s="2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  <c r="AX277" s="1" t="n"/>
      <c r="AY277" s="1" t="n"/>
      <c r="AZ277" s="1" t="n"/>
      <c r="BA277" s="1" t="n"/>
    </row>
    <row r="278" ht="16.5" customHeight="1" s="220">
      <c r="A278" s="1" t="n"/>
      <c r="B278" s="1" t="n"/>
      <c r="C278" s="2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  <c r="AZ278" s="1" t="n"/>
      <c r="BA278" s="1" t="n"/>
    </row>
    <row r="279" ht="16.5" customHeight="1" s="220">
      <c r="A279" s="1" t="n"/>
      <c r="B279" s="1" t="n"/>
      <c r="C279" s="2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  <c r="AX279" s="1" t="n"/>
      <c r="AY279" s="1" t="n"/>
      <c r="AZ279" s="1" t="n"/>
      <c r="BA279" s="1" t="n"/>
    </row>
    <row r="280" ht="16.5" customHeight="1" s="220">
      <c r="A280" s="1" t="n"/>
      <c r="B280" s="1" t="n"/>
      <c r="C280" s="2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  <c r="AX280" s="1" t="n"/>
      <c r="AY280" s="1" t="n"/>
      <c r="AZ280" s="1" t="n"/>
      <c r="BA280" s="1" t="n"/>
    </row>
    <row r="281" ht="16.5" customHeight="1" s="220">
      <c r="A281" s="1" t="n"/>
      <c r="B281" s="1" t="n"/>
      <c r="C281" s="2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  <c r="AX281" s="1" t="n"/>
      <c r="AY281" s="1" t="n"/>
      <c r="AZ281" s="1" t="n"/>
      <c r="BA281" s="1" t="n"/>
    </row>
    <row r="282" ht="16.5" customHeight="1" s="220">
      <c r="A282" s="1" t="n"/>
      <c r="B282" s="1" t="n"/>
      <c r="C282" s="2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  <c r="AX282" s="1" t="n"/>
      <c r="AY282" s="1" t="n"/>
      <c r="AZ282" s="1" t="n"/>
      <c r="BA282" s="1" t="n"/>
    </row>
    <row r="283" ht="16.5" customHeight="1" s="220">
      <c r="A283" s="1" t="n"/>
      <c r="B283" s="1" t="n"/>
      <c r="C283" s="2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  <c r="AX283" s="1" t="n"/>
      <c r="AY283" s="1" t="n"/>
      <c r="AZ283" s="1" t="n"/>
      <c r="BA283" s="1" t="n"/>
    </row>
    <row r="284" ht="16.5" customHeight="1" s="220">
      <c r="A284" s="1" t="n"/>
      <c r="B284" s="1" t="n"/>
      <c r="C284" s="2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  <c r="AX284" s="1" t="n"/>
      <c r="AY284" s="1" t="n"/>
      <c r="AZ284" s="1" t="n"/>
      <c r="BA284" s="1" t="n"/>
    </row>
    <row r="285" ht="16.5" customHeight="1" s="220">
      <c r="A285" s="1" t="n"/>
      <c r="B285" s="1" t="n"/>
      <c r="C285" s="2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  <c r="AX285" s="1" t="n"/>
      <c r="AY285" s="1" t="n"/>
      <c r="AZ285" s="1" t="n"/>
      <c r="BA285" s="1" t="n"/>
    </row>
    <row r="286" ht="16.5" customHeight="1" s="220">
      <c r="A286" s="1" t="n"/>
      <c r="B286" s="1" t="n"/>
      <c r="C286" s="2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  <c r="AX286" s="1" t="n"/>
      <c r="AY286" s="1" t="n"/>
      <c r="AZ286" s="1" t="n"/>
      <c r="BA286" s="1" t="n"/>
    </row>
    <row r="287" ht="16.5" customHeight="1" s="220">
      <c r="A287" s="1" t="n"/>
      <c r="B287" s="1" t="n"/>
      <c r="C287" s="2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  <c r="AX287" s="1" t="n"/>
      <c r="AY287" s="1" t="n"/>
      <c r="AZ287" s="1" t="n"/>
      <c r="BA287" s="1" t="n"/>
    </row>
    <row r="288" ht="16.5" customHeight="1" s="220">
      <c r="A288" s="1" t="n"/>
      <c r="B288" s="1" t="n"/>
      <c r="C288" s="2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  <c r="AX288" s="1" t="n"/>
      <c r="AY288" s="1" t="n"/>
      <c r="AZ288" s="1" t="n"/>
      <c r="BA288" s="1" t="n"/>
    </row>
    <row r="289" ht="16.5" customHeight="1" s="220">
      <c r="A289" s="1" t="n"/>
      <c r="B289" s="1" t="n"/>
      <c r="C289" s="2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  <c r="AX289" s="1" t="n"/>
      <c r="AY289" s="1" t="n"/>
      <c r="AZ289" s="1" t="n"/>
      <c r="BA289" s="1" t="n"/>
    </row>
    <row r="290" ht="16.5" customHeight="1" s="220">
      <c r="A290" s="1" t="n"/>
      <c r="B290" s="1" t="n"/>
      <c r="C290" s="2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  <c r="AX290" s="1" t="n"/>
      <c r="AY290" s="1" t="n"/>
      <c r="AZ290" s="1" t="n"/>
      <c r="BA290" s="1" t="n"/>
    </row>
    <row r="291" ht="16.5" customHeight="1" s="220">
      <c r="A291" s="1" t="n"/>
      <c r="B291" s="1" t="n"/>
      <c r="C291" s="2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  <c r="AX291" s="1" t="n"/>
      <c r="AY291" s="1" t="n"/>
      <c r="AZ291" s="1" t="n"/>
      <c r="BA291" s="1" t="n"/>
    </row>
    <row r="292" ht="16.5" customHeight="1" s="220">
      <c r="A292" s="1" t="n"/>
      <c r="B292" s="1" t="n"/>
      <c r="C292" s="2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  <c r="AW292" s="1" t="n"/>
      <c r="AX292" s="1" t="n"/>
      <c r="AY292" s="1" t="n"/>
      <c r="AZ292" s="1" t="n"/>
      <c r="BA292" s="1" t="n"/>
    </row>
    <row r="293" ht="16.5" customHeight="1" s="220">
      <c r="A293" s="1" t="n"/>
      <c r="B293" s="1" t="n"/>
      <c r="C293" s="2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  <c r="AX293" s="1" t="n"/>
      <c r="AY293" s="1" t="n"/>
      <c r="AZ293" s="1" t="n"/>
      <c r="BA293" s="1" t="n"/>
    </row>
    <row r="294" ht="16.5" customHeight="1" s="220">
      <c r="A294" s="1" t="n"/>
      <c r="B294" s="1" t="n"/>
      <c r="C294" s="2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  <c r="AS294" s="1" t="n"/>
      <c r="AT294" s="1" t="n"/>
      <c r="AU294" s="1" t="n"/>
      <c r="AV294" s="1" t="n"/>
      <c r="AW294" s="1" t="n"/>
      <c r="AX294" s="1" t="n"/>
      <c r="AY294" s="1" t="n"/>
      <c r="AZ294" s="1" t="n"/>
      <c r="BA294" s="1" t="n"/>
    </row>
    <row r="295" ht="16.5" customHeight="1" s="220">
      <c r="A295" s="1" t="n"/>
      <c r="B295" s="1" t="n"/>
      <c r="C295" s="2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  <c r="AX295" s="1" t="n"/>
      <c r="AY295" s="1" t="n"/>
      <c r="AZ295" s="1" t="n"/>
      <c r="BA295" s="1" t="n"/>
    </row>
    <row r="296" ht="16.5" customHeight="1" s="220">
      <c r="A296" s="1" t="n"/>
      <c r="B296" s="1" t="n"/>
      <c r="C296" s="2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T296" s="1" t="n"/>
      <c r="AU296" s="1" t="n"/>
      <c r="AV296" s="1" t="n"/>
      <c r="AW296" s="1" t="n"/>
      <c r="AX296" s="1" t="n"/>
      <c r="AY296" s="1" t="n"/>
      <c r="AZ296" s="1" t="n"/>
      <c r="BA296" s="1" t="n"/>
    </row>
    <row r="297" ht="16.5" customHeight="1" s="220">
      <c r="A297" s="1" t="n"/>
      <c r="B297" s="1" t="n"/>
      <c r="C297" s="2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  <c r="AX297" s="1" t="n"/>
      <c r="AY297" s="1" t="n"/>
      <c r="AZ297" s="1" t="n"/>
      <c r="BA297" s="1" t="n"/>
    </row>
    <row r="298" ht="16.5" customHeight="1" s="220">
      <c r="A298" s="1" t="n"/>
      <c r="B298" s="1" t="n"/>
      <c r="C298" s="2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  <c r="AW298" s="1" t="n"/>
      <c r="AX298" s="1" t="n"/>
      <c r="AY298" s="1" t="n"/>
      <c r="AZ298" s="1" t="n"/>
      <c r="BA298" s="1" t="n"/>
    </row>
    <row r="299" ht="16.5" customHeight="1" s="220">
      <c r="A299" s="1" t="n"/>
      <c r="B299" s="1" t="n"/>
      <c r="C299" s="2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  <c r="AX299" s="1" t="n"/>
      <c r="AY299" s="1" t="n"/>
      <c r="AZ299" s="1" t="n"/>
      <c r="BA299" s="1" t="n"/>
    </row>
    <row r="300" ht="16.5" customHeight="1" s="220">
      <c r="A300" s="1" t="n"/>
      <c r="B300" s="1" t="n"/>
      <c r="C300" s="2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  <c r="AW300" s="1" t="n"/>
      <c r="AX300" s="1" t="n"/>
      <c r="AY300" s="1" t="n"/>
      <c r="AZ300" s="1" t="n"/>
      <c r="BA300" s="1" t="n"/>
    </row>
    <row r="301" ht="16.5" customHeight="1" s="220">
      <c r="A301" s="1" t="n"/>
      <c r="B301" s="1" t="n"/>
      <c r="C301" s="2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  <c r="AX301" s="1" t="n"/>
      <c r="AY301" s="1" t="n"/>
      <c r="AZ301" s="1" t="n"/>
      <c r="BA301" s="1" t="n"/>
    </row>
    <row r="302" ht="16.5" customHeight="1" s="220">
      <c r="A302" s="1" t="n"/>
      <c r="B302" s="1" t="n"/>
      <c r="C302" s="2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  <c r="AW302" s="1" t="n"/>
      <c r="AX302" s="1" t="n"/>
      <c r="AY302" s="1" t="n"/>
      <c r="AZ302" s="1" t="n"/>
      <c r="BA302" s="1" t="n"/>
    </row>
    <row r="303" ht="16.5" customHeight="1" s="220">
      <c r="A303" s="1" t="n"/>
      <c r="B303" s="1" t="n"/>
      <c r="C303" s="2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  <c r="AX303" s="1" t="n"/>
      <c r="AY303" s="1" t="n"/>
      <c r="AZ303" s="1" t="n"/>
      <c r="BA303" s="1" t="n"/>
    </row>
    <row r="304" ht="16.5" customHeight="1" s="220">
      <c r="A304" s="1" t="n"/>
      <c r="B304" s="1" t="n"/>
      <c r="C304" s="2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  <c r="AW304" s="1" t="n"/>
      <c r="AX304" s="1" t="n"/>
      <c r="AY304" s="1" t="n"/>
      <c r="AZ304" s="1" t="n"/>
      <c r="BA304" s="1" t="n"/>
    </row>
    <row r="305" ht="16.5" customHeight="1" s="220">
      <c r="A305" s="1" t="n"/>
      <c r="B305" s="1" t="n"/>
      <c r="C305" s="2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  <c r="AX305" s="1" t="n"/>
      <c r="AY305" s="1" t="n"/>
      <c r="AZ305" s="1" t="n"/>
      <c r="BA305" s="1" t="n"/>
    </row>
    <row r="306" ht="16.5" customHeight="1" s="220">
      <c r="A306" s="1" t="n"/>
      <c r="B306" s="1" t="n"/>
      <c r="C306" s="2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  <c r="AW306" s="1" t="n"/>
      <c r="AX306" s="1" t="n"/>
      <c r="AY306" s="1" t="n"/>
      <c r="AZ306" s="1" t="n"/>
      <c r="BA306" s="1" t="n"/>
    </row>
    <row r="307" ht="16.5" customHeight="1" s="220">
      <c r="A307" s="1" t="n"/>
      <c r="B307" s="1" t="n"/>
      <c r="C307" s="2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  <c r="AX307" s="1" t="n"/>
      <c r="AY307" s="1" t="n"/>
      <c r="AZ307" s="1" t="n"/>
      <c r="BA307" s="1" t="n"/>
    </row>
    <row r="308" ht="16.5" customHeight="1" s="220">
      <c r="A308" s="1" t="n"/>
      <c r="B308" s="1" t="n"/>
      <c r="C308" s="2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  <c r="AW308" s="1" t="n"/>
      <c r="AX308" s="1" t="n"/>
      <c r="AY308" s="1" t="n"/>
      <c r="AZ308" s="1" t="n"/>
      <c r="BA308" s="1" t="n"/>
    </row>
    <row r="309" ht="16.5" customHeight="1" s="220">
      <c r="A309" s="1" t="n"/>
      <c r="B309" s="1" t="n"/>
      <c r="C309" s="2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  <c r="AX309" s="1" t="n"/>
      <c r="AY309" s="1" t="n"/>
      <c r="AZ309" s="1" t="n"/>
      <c r="BA309" s="1" t="n"/>
    </row>
    <row r="310" ht="16.5" customHeight="1" s="220">
      <c r="A310" s="1" t="n"/>
      <c r="B310" s="1" t="n"/>
      <c r="C310" s="2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  <c r="AW310" s="1" t="n"/>
      <c r="AX310" s="1" t="n"/>
      <c r="AY310" s="1" t="n"/>
      <c r="AZ310" s="1" t="n"/>
      <c r="BA310" s="1" t="n"/>
    </row>
    <row r="311" ht="16.5" customHeight="1" s="220">
      <c r="A311" s="1" t="n"/>
      <c r="B311" s="1" t="n"/>
      <c r="C311" s="2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  <c r="AX311" s="1" t="n"/>
      <c r="AY311" s="1" t="n"/>
      <c r="AZ311" s="1" t="n"/>
      <c r="BA311" s="1" t="n"/>
    </row>
    <row r="312" ht="16.5" customHeight="1" s="220">
      <c r="A312" s="1" t="n"/>
      <c r="B312" s="1" t="n"/>
      <c r="C312" s="2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  <c r="AS312" s="1" t="n"/>
      <c r="AT312" s="1" t="n"/>
      <c r="AU312" s="1" t="n"/>
      <c r="AV312" s="1" t="n"/>
      <c r="AW312" s="1" t="n"/>
      <c r="AX312" s="1" t="n"/>
      <c r="AY312" s="1" t="n"/>
      <c r="AZ312" s="1" t="n"/>
      <c r="BA312" s="1" t="n"/>
    </row>
    <row r="313" ht="16.5" customHeight="1" s="220">
      <c r="A313" s="1" t="n"/>
      <c r="B313" s="1" t="n"/>
      <c r="C313" s="2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  <c r="AX313" s="1" t="n"/>
      <c r="AY313" s="1" t="n"/>
      <c r="AZ313" s="1" t="n"/>
      <c r="BA313" s="1" t="n"/>
    </row>
    <row r="314" ht="16.5" customHeight="1" s="220">
      <c r="A314" s="1" t="n"/>
      <c r="B314" s="1" t="n"/>
      <c r="C314" s="2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  <c r="AW314" s="1" t="n"/>
      <c r="AX314" s="1" t="n"/>
      <c r="AY314" s="1" t="n"/>
      <c r="AZ314" s="1" t="n"/>
      <c r="BA314" s="1" t="n"/>
    </row>
    <row r="315" ht="16.5" customHeight="1" s="220">
      <c r="A315" s="1" t="n"/>
      <c r="B315" s="1" t="n"/>
      <c r="C315" s="2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  <c r="AX315" s="1" t="n"/>
      <c r="AY315" s="1" t="n"/>
      <c r="AZ315" s="1" t="n"/>
      <c r="BA315" s="1" t="n"/>
    </row>
    <row r="316" ht="16.5" customHeight="1" s="220">
      <c r="A316" s="1" t="n"/>
      <c r="B316" s="1" t="n"/>
      <c r="C316" s="2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  <c r="AW316" s="1" t="n"/>
      <c r="AX316" s="1" t="n"/>
      <c r="AY316" s="1" t="n"/>
      <c r="AZ316" s="1" t="n"/>
      <c r="BA316" s="1" t="n"/>
    </row>
    <row r="317" ht="16.5" customHeight="1" s="220">
      <c r="A317" s="1" t="n"/>
      <c r="B317" s="1" t="n"/>
      <c r="C317" s="2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  <c r="AX317" s="1" t="n"/>
      <c r="AY317" s="1" t="n"/>
      <c r="AZ317" s="1" t="n"/>
      <c r="BA317" s="1" t="n"/>
    </row>
    <row r="318" ht="16.5" customHeight="1" s="220">
      <c r="A318" s="1" t="n"/>
      <c r="B318" s="1" t="n"/>
      <c r="C318" s="2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  <c r="AW318" s="1" t="n"/>
      <c r="AX318" s="1" t="n"/>
      <c r="AY318" s="1" t="n"/>
      <c r="AZ318" s="1" t="n"/>
      <c r="BA318" s="1" t="n"/>
    </row>
    <row r="319" ht="16.5" customHeight="1" s="220">
      <c r="A319" s="1" t="n"/>
      <c r="B319" s="1" t="n"/>
      <c r="C319" s="2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  <c r="AX319" s="1" t="n"/>
      <c r="AY319" s="1" t="n"/>
      <c r="AZ319" s="1" t="n"/>
      <c r="BA319" s="1" t="n"/>
    </row>
    <row r="320" ht="16.5" customHeight="1" s="220">
      <c r="A320" s="1" t="n"/>
      <c r="B320" s="1" t="n"/>
      <c r="C320" s="2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  <c r="AW320" s="1" t="n"/>
      <c r="AX320" s="1" t="n"/>
      <c r="AY320" s="1" t="n"/>
      <c r="AZ320" s="1" t="n"/>
      <c r="BA320" s="1" t="n"/>
    </row>
    <row r="321" ht="16.5" customHeight="1" s="220">
      <c r="A321" s="1" t="n"/>
      <c r="B321" s="1" t="n"/>
      <c r="C321" s="2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  <c r="AX321" s="1" t="n"/>
      <c r="AY321" s="1" t="n"/>
      <c r="AZ321" s="1" t="n"/>
      <c r="BA321" s="1" t="n"/>
    </row>
    <row r="322" ht="16.5" customHeight="1" s="220">
      <c r="A322" s="1" t="n"/>
      <c r="B322" s="1" t="n"/>
      <c r="C322" s="2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  <c r="AW322" s="1" t="n"/>
      <c r="AX322" s="1" t="n"/>
      <c r="AY322" s="1" t="n"/>
      <c r="AZ322" s="1" t="n"/>
      <c r="BA322" s="1" t="n"/>
    </row>
    <row r="323" ht="16.5" customHeight="1" s="220">
      <c r="A323" s="1" t="n"/>
      <c r="B323" s="1" t="n"/>
      <c r="C323" s="2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  <c r="AX323" s="1" t="n"/>
      <c r="AY323" s="1" t="n"/>
      <c r="AZ323" s="1" t="n"/>
      <c r="BA323" s="1" t="n"/>
    </row>
    <row r="324" ht="16.5" customHeight="1" s="220">
      <c r="A324" s="1" t="n"/>
      <c r="B324" s="1" t="n"/>
      <c r="C324" s="2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  <c r="AW324" s="1" t="n"/>
      <c r="AX324" s="1" t="n"/>
      <c r="AY324" s="1" t="n"/>
      <c r="AZ324" s="1" t="n"/>
      <c r="BA324" s="1" t="n"/>
    </row>
    <row r="325" ht="16.5" customHeight="1" s="220">
      <c r="A325" s="1" t="n"/>
      <c r="B325" s="1" t="n"/>
      <c r="C325" s="2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  <c r="AX325" s="1" t="n"/>
      <c r="AY325" s="1" t="n"/>
      <c r="AZ325" s="1" t="n"/>
      <c r="BA325" s="1" t="n"/>
    </row>
    <row r="326" ht="16.5" customHeight="1" s="220">
      <c r="A326" s="1" t="n"/>
      <c r="B326" s="1" t="n"/>
      <c r="C326" s="2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  <c r="AW326" s="1" t="n"/>
      <c r="AX326" s="1" t="n"/>
      <c r="AY326" s="1" t="n"/>
      <c r="AZ326" s="1" t="n"/>
      <c r="BA326" s="1" t="n"/>
    </row>
    <row r="327" ht="16.5" customHeight="1" s="220">
      <c r="A327" s="1" t="n"/>
      <c r="B327" s="1" t="n"/>
      <c r="C327" s="2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  <c r="AX327" s="1" t="n"/>
      <c r="AY327" s="1" t="n"/>
      <c r="AZ327" s="1" t="n"/>
      <c r="BA327" s="1" t="n"/>
    </row>
    <row r="328" ht="16.5" customHeight="1" s="220">
      <c r="A328" s="1" t="n"/>
      <c r="B328" s="1" t="n"/>
      <c r="C328" s="2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  <c r="AW328" s="1" t="n"/>
      <c r="AX328" s="1" t="n"/>
      <c r="AY328" s="1" t="n"/>
      <c r="AZ328" s="1" t="n"/>
      <c r="BA328" s="1" t="n"/>
    </row>
    <row r="329" ht="16.5" customHeight="1" s="220">
      <c r="A329" s="1" t="n"/>
      <c r="B329" s="1" t="n"/>
      <c r="C329" s="2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  <c r="AX329" s="1" t="n"/>
      <c r="AY329" s="1" t="n"/>
      <c r="AZ329" s="1" t="n"/>
      <c r="BA329" s="1" t="n"/>
    </row>
    <row r="330" ht="16.5" customHeight="1" s="220">
      <c r="A330" s="1" t="n"/>
      <c r="B330" s="1" t="n"/>
      <c r="C330" s="2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  <c r="AW330" s="1" t="n"/>
      <c r="AX330" s="1" t="n"/>
      <c r="AY330" s="1" t="n"/>
      <c r="AZ330" s="1" t="n"/>
      <c r="BA330" s="1" t="n"/>
    </row>
    <row r="331" ht="16.5" customHeight="1" s="220">
      <c r="A331" s="1" t="n"/>
      <c r="B331" s="1" t="n"/>
      <c r="C331" s="2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  <c r="AX331" s="1" t="n"/>
      <c r="AY331" s="1" t="n"/>
      <c r="AZ331" s="1" t="n"/>
      <c r="BA331" s="1" t="n"/>
    </row>
    <row r="332" ht="16.5" customHeight="1" s="220">
      <c r="A332" s="1" t="n"/>
      <c r="B332" s="1" t="n"/>
      <c r="C332" s="2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  <c r="AW332" s="1" t="n"/>
      <c r="AX332" s="1" t="n"/>
      <c r="AY332" s="1" t="n"/>
      <c r="AZ332" s="1" t="n"/>
      <c r="BA332" s="1" t="n"/>
    </row>
    <row r="333" ht="16.5" customHeight="1" s="220">
      <c r="A333" s="1" t="n"/>
      <c r="B333" s="1" t="n"/>
      <c r="C333" s="2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  <c r="AX333" s="1" t="n"/>
      <c r="AY333" s="1" t="n"/>
      <c r="AZ333" s="1" t="n"/>
      <c r="BA333" s="1" t="n"/>
    </row>
    <row r="334" ht="16.5" customHeight="1" s="220">
      <c r="A334" s="1" t="n"/>
      <c r="B334" s="1" t="n"/>
      <c r="C334" s="2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  <c r="AW334" s="1" t="n"/>
      <c r="AX334" s="1" t="n"/>
      <c r="AY334" s="1" t="n"/>
      <c r="AZ334" s="1" t="n"/>
      <c r="BA334" s="1" t="n"/>
    </row>
    <row r="335" ht="16.5" customHeight="1" s="220">
      <c r="A335" s="1" t="n"/>
      <c r="B335" s="1" t="n"/>
      <c r="C335" s="2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  <c r="AX335" s="1" t="n"/>
      <c r="AY335" s="1" t="n"/>
      <c r="AZ335" s="1" t="n"/>
      <c r="BA335" s="1" t="n"/>
    </row>
    <row r="336" ht="16.5" customHeight="1" s="220">
      <c r="A336" s="1" t="n"/>
      <c r="B336" s="1" t="n"/>
      <c r="C336" s="2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  <c r="AW336" s="1" t="n"/>
      <c r="AX336" s="1" t="n"/>
      <c r="AY336" s="1" t="n"/>
      <c r="AZ336" s="1" t="n"/>
      <c r="BA336" s="1" t="n"/>
    </row>
    <row r="337" ht="16.5" customHeight="1" s="220">
      <c r="A337" s="1" t="n"/>
      <c r="B337" s="1" t="n"/>
      <c r="C337" s="2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  <c r="AX337" s="1" t="n"/>
      <c r="AY337" s="1" t="n"/>
      <c r="AZ337" s="1" t="n"/>
      <c r="BA337" s="1" t="n"/>
    </row>
    <row r="338" ht="16.5" customHeight="1" s="220">
      <c r="A338" s="1" t="n"/>
      <c r="B338" s="1" t="n"/>
      <c r="C338" s="2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  <c r="AW338" s="1" t="n"/>
      <c r="AX338" s="1" t="n"/>
      <c r="AY338" s="1" t="n"/>
      <c r="AZ338" s="1" t="n"/>
      <c r="BA338" s="1" t="n"/>
    </row>
    <row r="339" ht="16.5" customHeight="1" s="220">
      <c r="A339" s="1" t="n"/>
      <c r="B339" s="1" t="n"/>
      <c r="C339" s="2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  <c r="AX339" s="1" t="n"/>
      <c r="AY339" s="1" t="n"/>
      <c r="AZ339" s="1" t="n"/>
      <c r="BA339" s="1" t="n"/>
    </row>
    <row r="340" ht="16.5" customHeight="1" s="220">
      <c r="A340" s="1" t="n"/>
      <c r="B340" s="1" t="n"/>
      <c r="C340" s="2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  <c r="AW340" s="1" t="n"/>
      <c r="AX340" s="1" t="n"/>
      <c r="AY340" s="1" t="n"/>
      <c r="AZ340" s="1" t="n"/>
      <c r="BA340" s="1" t="n"/>
    </row>
    <row r="341" ht="16.5" customHeight="1" s="220">
      <c r="A341" s="1" t="n"/>
      <c r="B341" s="1" t="n"/>
      <c r="C341" s="2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  <c r="AX341" s="1" t="n"/>
      <c r="AY341" s="1" t="n"/>
      <c r="AZ341" s="1" t="n"/>
      <c r="BA341" s="1" t="n"/>
    </row>
    <row r="342" ht="16.5" customHeight="1" s="220">
      <c r="A342" s="1" t="n"/>
      <c r="B342" s="1" t="n"/>
      <c r="C342" s="2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  <c r="AW342" s="1" t="n"/>
      <c r="AX342" s="1" t="n"/>
      <c r="AY342" s="1" t="n"/>
      <c r="AZ342" s="1" t="n"/>
      <c r="BA342" s="1" t="n"/>
    </row>
    <row r="343" ht="16.5" customHeight="1" s="220">
      <c r="A343" s="1" t="n"/>
      <c r="B343" s="1" t="n"/>
      <c r="C343" s="2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  <c r="AX343" s="1" t="n"/>
      <c r="AY343" s="1" t="n"/>
      <c r="AZ343" s="1" t="n"/>
      <c r="BA343" s="1" t="n"/>
    </row>
    <row r="344" ht="16.5" customHeight="1" s="220">
      <c r="A344" s="1" t="n"/>
      <c r="B344" s="1" t="n"/>
      <c r="C344" s="2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  <c r="AW344" s="1" t="n"/>
      <c r="AX344" s="1" t="n"/>
      <c r="AY344" s="1" t="n"/>
      <c r="AZ344" s="1" t="n"/>
      <c r="BA344" s="1" t="n"/>
    </row>
    <row r="345" ht="16.5" customHeight="1" s="220">
      <c r="A345" s="1" t="n"/>
      <c r="B345" s="1" t="n"/>
      <c r="C345" s="2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  <c r="AX345" s="1" t="n"/>
      <c r="AY345" s="1" t="n"/>
      <c r="AZ345" s="1" t="n"/>
      <c r="BA345" s="1" t="n"/>
    </row>
    <row r="346" ht="16.5" customHeight="1" s="220">
      <c r="A346" s="1" t="n"/>
      <c r="B346" s="1" t="n"/>
      <c r="C346" s="2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  <c r="AW346" s="1" t="n"/>
      <c r="AX346" s="1" t="n"/>
      <c r="AY346" s="1" t="n"/>
      <c r="AZ346" s="1" t="n"/>
      <c r="BA346" s="1" t="n"/>
    </row>
    <row r="347" ht="16.5" customHeight="1" s="220">
      <c r="A347" s="1" t="n"/>
      <c r="B347" s="1" t="n"/>
      <c r="C347" s="2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  <c r="AX347" s="1" t="n"/>
      <c r="AY347" s="1" t="n"/>
      <c r="AZ347" s="1" t="n"/>
      <c r="BA347" s="1" t="n"/>
    </row>
    <row r="348" ht="16.5" customHeight="1" s="220">
      <c r="A348" s="1" t="n"/>
      <c r="B348" s="1" t="n"/>
      <c r="C348" s="2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  <c r="AW348" s="1" t="n"/>
      <c r="AX348" s="1" t="n"/>
      <c r="AY348" s="1" t="n"/>
      <c r="AZ348" s="1" t="n"/>
      <c r="BA348" s="1" t="n"/>
    </row>
    <row r="349" ht="16.5" customHeight="1" s="220">
      <c r="A349" s="1" t="n"/>
      <c r="B349" s="1" t="n"/>
      <c r="C349" s="2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  <c r="AX349" s="1" t="n"/>
      <c r="AY349" s="1" t="n"/>
      <c r="AZ349" s="1" t="n"/>
      <c r="BA349" s="1" t="n"/>
    </row>
    <row r="350" ht="16.5" customHeight="1" s="220">
      <c r="A350" s="1" t="n"/>
      <c r="B350" s="1" t="n"/>
      <c r="C350" s="2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  <c r="AW350" s="1" t="n"/>
      <c r="AX350" s="1" t="n"/>
      <c r="AY350" s="1" t="n"/>
      <c r="AZ350" s="1" t="n"/>
      <c r="BA350" s="1" t="n"/>
    </row>
    <row r="351" ht="16.5" customHeight="1" s="220">
      <c r="A351" s="1" t="n"/>
      <c r="B351" s="1" t="n"/>
      <c r="C351" s="2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  <c r="AX351" s="1" t="n"/>
      <c r="AY351" s="1" t="n"/>
      <c r="AZ351" s="1" t="n"/>
      <c r="BA351" s="1" t="n"/>
    </row>
    <row r="352" ht="16.5" customHeight="1" s="220">
      <c r="A352" s="1" t="n"/>
      <c r="B352" s="1" t="n"/>
      <c r="C352" s="2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  <c r="AW352" s="1" t="n"/>
      <c r="AX352" s="1" t="n"/>
      <c r="AY352" s="1" t="n"/>
      <c r="AZ352" s="1" t="n"/>
      <c r="BA352" s="1" t="n"/>
    </row>
    <row r="353" ht="16.5" customHeight="1" s="220">
      <c r="A353" s="1" t="n"/>
      <c r="B353" s="1" t="n"/>
      <c r="C353" s="2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  <c r="AX353" s="1" t="n"/>
      <c r="AY353" s="1" t="n"/>
      <c r="AZ353" s="1" t="n"/>
      <c r="BA353" s="1" t="n"/>
    </row>
    <row r="354" ht="16.5" customHeight="1" s="220">
      <c r="A354" s="1" t="n"/>
      <c r="B354" s="1" t="n"/>
      <c r="C354" s="2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  <c r="AW354" s="1" t="n"/>
      <c r="AX354" s="1" t="n"/>
      <c r="AY354" s="1" t="n"/>
      <c r="AZ354" s="1" t="n"/>
      <c r="BA354" s="1" t="n"/>
    </row>
    <row r="355" ht="16.5" customHeight="1" s="220">
      <c r="A355" s="1" t="n"/>
      <c r="B355" s="1" t="n"/>
      <c r="C355" s="2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  <c r="AX355" s="1" t="n"/>
      <c r="AY355" s="1" t="n"/>
      <c r="AZ355" s="1" t="n"/>
      <c r="BA355" s="1" t="n"/>
    </row>
    <row r="356" ht="16.5" customHeight="1" s="220">
      <c r="A356" s="1" t="n"/>
      <c r="B356" s="1" t="n"/>
      <c r="C356" s="2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  <c r="AW356" s="1" t="n"/>
      <c r="AX356" s="1" t="n"/>
      <c r="AY356" s="1" t="n"/>
      <c r="AZ356" s="1" t="n"/>
      <c r="BA356" s="1" t="n"/>
    </row>
    <row r="357" ht="16.5" customHeight="1" s="220">
      <c r="A357" s="1" t="n"/>
      <c r="B357" s="1" t="n"/>
      <c r="C357" s="2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  <c r="AX357" s="1" t="n"/>
      <c r="AY357" s="1" t="n"/>
      <c r="AZ357" s="1" t="n"/>
      <c r="BA357" s="1" t="n"/>
    </row>
    <row r="358" ht="16.5" customHeight="1" s="220">
      <c r="A358" s="1" t="n"/>
      <c r="B358" s="1" t="n"/>
      <c r="C358" s="2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  <c r="AW358" s="1" t="n"/>
      <c r="AX358" s="1" t="n"/>
      <c r="AY358" s="1" t="n"/>
      <c r="AZ358" s="1" t="n"/>
      <c r="BA358" s="1" t="n"/>
    </row>
    <row r="359" ht="16.5" customHeight="1" s="220">
      <c r="A359" s="1" t="n"/>
      <c r="B359" s="1" t="n"/>
      <c r="C359" s="2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  <c r="AX359" s="1" t="n"/>
      <c r="AY359" s="1" t="n"/>
      <c r="AZ359" s="1" t="n"/>
      <c r="BA359" s="1" t="n"/>
    </row>
    <row r="360" ht="16.5" customHeight="1" s="220">
      <c r="A360" s="1" t="n"/>
      <c r="B360" s="1" t="n"/>
      <c r="C360" s="2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  <c r="AW360" s="1" t="n"/>
      <c r="AX360" s="1" t="n"/>
      <c r="AY360" s="1" t="n"/>
      <c r="AZ360" s="1" t="n"/>
      <c r="BA360" s="1" t="n"/>
    </row>
    <row r="361" ht="16.5" customHeight="1" s="220">
      <c r="A361" s="1" t="n"/>
      <c r="B361" s="1" t="n"/>
      <c r="C361" s="2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  <c r="AX361" s="1" t="n"/>
      <c r="AY361" s="1" t="n"/>
      <c r="AZ361" s="1" t="n"/>
      <c r="BA361" s="1" t="n"/>
    </row>
    <row r="362" ht="16.5" customHeight="1" s="220">
      <c r="A362" s="1" t="n"/>
      <c r="B362" s="1" t="n"/>
      <c r="C362" s="2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  <c r="AW362" s="1" t="n"/>
      <c r="AX362" s="1" t="n"/>
      <c r="AY362" s="1" t="n"/>
      <c r="AZ362" s="1" t="n"/>
      <c r="BA362" s="1" t="n"/>
    </row>
    <row r="363" ht="16.5" customHeight="1" s="220">
      <c r="A363" s="1" t="n"/>
      <c r="B363" s="1" t="n"/>
      <c r="C363" s="2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  <c r="AX363" s="1" t="n"/>
      <c r="AY363" s="1" t="n"/>
      <c r="AZ363" s="1" t="n"/>
      <c r="BA363" s="1" t="n"/>
    </row>
    <row r="364" ht="16.5" customHeight="1" s="220">
      <c r="A364" s="1" t="n"/>
      <c r="B364" s="1" t="n"/>
      <c r="C364" s="2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  <c r="AW364" s="1" t="n"/>
      <c r="AX364" s="1" t="n"/>
      <c r="AY364" s="1" t="n"/>
      <c r="AZ364" s="1" t="n"/>
      <c r="BA364" s="1" t="n"/>
    </row>
    <row r="365" ht="16.5" customHeight="1" s="220">
      <c r="A365" s="1" t="n"/>
      <c r="B365" s="1" t="n"/>
      <c r="C365" s="2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  <c r="AX365" s="1" t="n"/>
      <c r="AY365" s="1" t="n"/>
      <c r="AZ365" s="1" t="n"/>
      <c r="BA365" s="1" t="n"/>
    </row>
    <row r="366" ht="16.5" customHeight="1" s="220">
      <c r="A366" s="1" t="n"/>
      <c r="B366" s="1" t="n"/>
      <c r="C366" s="2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  <c r="AW366" s="1" t="n"/>
      <c r="AX366" s="1" t="n"/>
      <c r="AY366" s="1" t="n"/>
      <c r="AZ366" s="1" t="n"/>
      <c r="BA366" s="1" t="n"/>
    </row>
    <row r="367" ht="16.5" customHeight="1" s="220">
      <c r="A367" s="1" t="n"/>
      <c r="B367" s="1" t="n"/>
      <c r="C367" s="2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  <c r="AX367" s="1" t="n"/>
      <c r="AY367" s="1" t="n"/>
      <c r="AZ367" s="1" t="n"/>
      <c r="BA367" s="1" t="n"/>
    </row>
    <row r="368" ht="16.5" customHeight="1" s="220">
      <c r="A368" s="1" t="n"/>
      <c r="B368" s="1" t="n"/>
      <c r="C368" s="2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  <c r="AW368" s="1" t="n"/>
      <c r="AX368" s="1" t="n"/>
      <c r="AY368" s="1" t="n"/>
      <c r="AZ368" s="1" t="n"/>
      <c r="BA368" s="1" t="n"/>
    </row>
    <row r="369" ht="16.5" customHeight="1" s="220">
      <c r="A369" s="1" t="n"/>
      <c r="B369" s="1" t="n"/>
      <c r="C369" s="2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  <c r="AX369" s="1" t="n"/>
      <c r="AY369" s="1" t="n"/>
      <c r="AZ369" s="1" t="n"/>
      <c r="BA369" s="1" t="n"/>
    </row>
    <row r="370" ht="16.5" customHeight="1" s="220">
      <c r="A370" s="1" t="n"/>
      <c r="B370" s="1" t="n"/>
      <c r="C370" s="2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  <c r="AW370" s="1" t="n"/>
      <c r="AX370" s="1" t="n"/>
      <c r="AY370" s="1" t="n"/>
      <c r="AZ370" s="1" t="n"/>
      <c r="BA370" s="1" t="n"/>
    </row>
    <row r="371" ht="16.5" customHeight="1" s="220">
      <c r="A371" s="1" t="n"/>
      <c r="B371" s="1" t="n"/>
      <c r="C371" s="2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  <c r="AY371" s="1" t="n"/>
      <c r="AZ371" s="1" t="n"/>
      <c r="BA371" s="1" t="n"/>
    </row>
    <row r="372" ht="16.5" customHeight="1" s="220">
      <c r="A372" s="1" t="n"/>
      <c r="B372" s="1" t="n"/>
      <c r="C372" s="2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  <c r="AW372" s="1" t="n"/>
      <c r="AX372" s="1" t="n"/>
      <c r="AY372" s="1" t="n"/>
      <c r="AZ372" s="1" t="n"/>
      <c r="BA372" s="1" t="n"/>
    </row>
    <row r="373" ht="16.5" customHeight="1" s="220">
      <c r="A373" s="1" t="n"/>
      <c r="B373" s="1" t="n"/>
      <c r="C373" s="2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  <c r="AY373" s="1" t="n"/>
      <c r="AZ373" s="1" t="n"/>
      <c r="BA373" s="1" t="n"/>
    </row>
    <row r="374" ht="16.5" customHeight="1" s="220">
      <c r="A374" s="1" t="n"/>
      <c r="B374" s="1" t="n"/>
      <c r="C374" s="2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  <c r="AW374" s="1" t="n"/>
      <c r="AX374" s="1" t="n"/>
      <c r="AY374" s="1" t="n"/>
      <c r="AZ374" s="1" t="n"/>
      <c r="BA374" s="1" t="n"/>
    </row>
    <row r="375" ht="16.5" customHeight="1" s="220">
      <c r="A375" s="1" t="n"/>
      <c r="B375" s="1" t="n"/>
      <c r="C375" s="2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  <c r="AX375" s="1" t="n"/>
      <c r="AY375" s="1" t="n"/>
      <c r="AZ375" s="1" t="n"/>
      <c r="BA375" s="1" t="n"/>
    </row>
    <row r="376" ht="16.5" customHeight="1" s="220">
      <c r="A376" s="1" t="n"/>
      <c r="B376" s="1" t="n"/>
      <c r="C376" s="2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  <c r="AW376" s="1" t="n"/>
      <c r="AX376" s="1" t="n"/>
      <c r="AY376" s="1" t="n"/>
      <c r="AZ376" s="1" t="n"/>
      <c r="BA376" s="1" t="n"/>
    </row>
    <row r="377" ht="16.5" customHeight="1" s="220">
      <c r="A377" s="1" t="n"/>
      <c r="B377" s="1" t="n"/>
      <c r="C377" s="2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</row>
    <row r="378" ht="16.5" customHeight="1" s="220">
      <c r="A378" s="1" t="n"/>
      <c r="B378" s="1" t="n"/>
      <c r="C378" s="2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  <c r="AW378" s="1" t="n"/>
      <c r="AX378" s="1" t="n"/>
      <c r="AY378" s="1" t="n"/>
      <c r="AZ378" s="1" t="n"/>
      <c r="BA378" s="1" t="n"/>
    </row>
    <row r="379" ht="16.5" customHeight="1" s="220">
      <c r="A379" s="1" t="n"/>
      <c r="B379" s="1" t="n"/>
      <c r="C379" s="2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  <c r="AX379" s="1" t="n"/>
      <c r="AY379" s="1" t="n"/>
      <c r="AZ379" s="1" t="n"/>
      <c r="BA379" s="1" t="n"/>
    </row>
    <row r="380" ht="16.5" customHeight="1" s="220">
      <c r="A380" s="1" t="n"/>
      <c r="B380" s="1" t="n"/>
      <c r="C380" s="2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  <c r="AW380" s="1" t="n"/>
      <c r="AX380" s="1" t="n"/>
      <c r="AY380" s="1" t="n"/>
      <c r="AZ380" s="1" t="n"/>
      <c r="BA380" s="1" t="n"/>
    </row>
    <row r="381" ht="16.5" customHeight="1" s="220">
      <c r="A381" s="1" t="n"/>
      <c r="B381" s="1" t="n"/>
      <c r="C381" s="2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  <c r="AX381" s="1" t="n"/>
      <c r="AY381" s="1" t="n"/>
      <c r="AZ381" s="1" t="n"/>
      <c r="BA381" s="1" t="n"/>
    </row>
    <row r="382" ht="16.5" customHeight="1" s="220">
      <c r="A382" s="1" t="n"/>
      <c r="B382" s="1" t="n"/>
      <c r="C382" s="2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  <c r="AW382" s="1" t="n"/>
      <c r="AX382" s="1" t="n"/>
      <c r="AY382" s="1" t="n"/>
      <c r="AZ382" s="1" t="n"/>
      <c r="BA382" s="1" t="n"/>
    </row>
    <row r="383" ht="16.5" customHeight="1" s="220">
      <c r="A383" s="1" t="n"/>
      <c r="B383" s="1" t="n"/>
      <c r="C383" s="2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  <c r="AX383" s="1" t="n"/>
      <c r="AY383" s="1" t="n"/>
      <c r="AZ383" s="1" t="n"/>
      <c r="BA383" s="1" t="n"/>
    </row>
    <row r="384" ht="16.5" customHeight="1" s="220">
      <c r="A384" s="1" t="n"/>
      <c r="B384" s="1" t="n"/>
      <c r="C384" s="2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  <c r="AW384" s="1" t="n"/>
      <c r="AX384" s="1" t="n"/>
      <c r="AY384" s="1" t="n"/>
      <c r="AZ384" s="1" t="n"/>
      <c r="BA384" s="1" t="n"/>
    </row>
    <row r="385" ht="16.5" customHeight="1" s="220">
      <c r="A385" s="1" t="n"/>
      <c r="B385" s="1" t="n"/>
      <c r="C385" s="2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  <c r="AX385" s="1" t="n"/>
      <c r="AY385" s="1" t="n"/>
      <c r="AZ385" s="1" t="n"/>
      <c r="BA385" s="1" t="n"/>
    </row>
    <row r="386" ht="16.5" customHeight="1" s="220">
      <c r="A386" s="1" t="n"/>
      <c r="B386" s="1" t="n"/>
      <c r="C386" s="2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  <c r="BA386" s="1" t="n"/>
    </row>
    <row r="387" ht="16.5" customHeight="1" s="220">
      <c r="A387" s="1" t="n"/>
      <c r="B387" s="1" t="n"/>
      <c r="C387" s="2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  <c r="AX387" s="1" t="n"/>
      <c r="AY387" s="1" t="n"/>
      <c r="AZ387" s="1" t="n"/>
      <c r="BA387" s="1" t="n"/>
    </row>
    <row r="388" ht="16.5" customHeight="1" s="220">
      <c r="A388" s="1" t="n"/>
      <c r="B388" s="1" t="n"/>
      <c r="C388" s="2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  <c r="BA388" s="1" t="n"/>
    </row>
    <row r="389" ht="16.5" customHeight="1" s="220">
      <c r="A389" s="1" t="n"/>
      <c r="B389" s="1" t="n"/>
      <c r="C389" s="2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  <c r="AX389" s="1" t="n"/>
      <c r="AY389" s="1" t="n"/>
      <c r="AZ389" s="1" t="n"/>
      <c r="BA389" s="1" t="n"/>
    </row>
    <row r="390" ht="16.5" customHeight="1" s="220">
      <c r="A390" s="1" t="n"/>
      <c r="B390" s="1" t="n"/>
      <c r="C390" s="2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  <c r="AW390" s="1" t="n"/>
      <c r="AX390" s="1" t="n"/>
      <c r="AY390" s="1" t="n"/>
      <c r="AZ390" s="1" t="n"/>
      <c r="BA390" s="1" t="n"/>
    </row>
    <row r="391" ht="16.5" customHeight="1" s="220">
      <c r="A391" s="1" t="n"/>
      <c r="B391" s="1" t="n"/>
      <c r="C391" s="2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</row>
    <row r="392" ht="16.5" customHeight="1" s="220">
      <c r="A392" s="1" t="n"/>
      <c r="B392" s="1" t="n"/>
      <c r="C392" s="2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  <c r="AW392" s="1" t="n"/>
      <c r="AX392" s="1" t="n"/>
      <c r="AY392" s="1" t="n"/>
      <c r="AZ392" s="1" t="n"/>
      <c r="BA392" s="1" t="n"/>
    </row>
    <row r="393" ht="16.5" customHeight="1" s="220">
      <c r="A393" s="1" t="n"/>
      <c r="B393" s="1" t="n"/>
      <c r="C393" s="2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  <c r="AX393" s="1" t="n"/>
      <c r="AY393" s="1" t="n"/>
      <c r="AZ393" s="1" t="n"/>
      <c r="BA393" s="1" t="n"/>
    </row>
    <row r="394" ht="16.5" customHeight="1" s="220">
      <c r="A394" s="1" t="n"/>
      <c r="B394" s="1" t="n"/>
      <c r="C394" s="2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  <c r="AW394" s="1" t="n"/>
      <c r="AX394" s="1" t="n"/>
      <c r="AY394" s="1" t="n"/>
      <c r="AZ394" s="1" t="n"/>
      <c r="BA394" s="1" t="n"/>
    </row>
    <row r="395" ht="16.5" customHeight="1" s="220">
      <c r="A395" s="1" t="n"/>
      <c r="B395" s="1" t="n"/>
      <c r="C395" s="2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  <c r="AX395" s="1" t="n"/>
      <c r="AY395" s="1" t="n"/>
      <c r="AZ395" s="1" t="n"/>
      <c r="BA395" s="1" t="n"/>
    </row>
    <row r="396" ht="16.5" customHeight="1" s="220">
      <c r="A396" s="1" t="n"/>
      <c r="B396" s="1" t="n"/>
      <c r="C396" s="2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  <c r="BA396" s="1" t="n"/>
    </row>
    <row r="397" ht="16.5" customHeight="1" s="220">
      <c r="A397" s="1" t="n"/>
      <c r="B397" s="1" t="n"/>
      <c r="C397" s="2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  <c r="AX397" s="1" t="n"/>
      <c r="AY397" s="1" t="n"/>
      <c r="AZ397" s="1" t="n"/>
      <c r="BA397" s="1" t="n"/>
    </row>
    <row r="398" ht="16.5" customHeight="1" s="220">
      <c r="A398" s="1" t="n"/>
      <c r="B398" s="1" t="n"/>
      <c r="C398" s="2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  <c r="BA398" s="1" t="n"/>
    </row>
    <row r="399" ht="16.5" customHeight="1" s="220">
      <c r="A399" s="1" t="n"/>
      <c r="B399" s="1" t="n"/>
      <c r="C399" s="2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  <c r="AX399" s="1" t="n"/>
      <c r="AY399" s="1" t="n"/>
      <c r="AZ399" s="1" t="n"/>
      <c r="BA399" s="1" t="n"/>
    </row>
    <row r="400" ht="16.5" customHeight="1" s="220">
      <c r="A400" s="1" t="n"/>
      <c r="B400" s="1" t="n"/>
      <c r="C400" s="2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  <c r="AW400" s="1" t="n"/>
      <c r="AX400" s="1" t="n"/>
      <c r="AY400" s="1" t="n"/>
      <c r="AZ400" s="1" t="n"/>
      <c r="BA400" s="1" t="n"/>
    </row>
    <row r="401" ht="16.5" customHeight="1" s="220">
      <c r="A401" s="1" t="n"/>
      <c r="B401" s="1" t="n"/>
      <c r="C401" s="2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  <c r="AX401" s="1" t="n"/>
      <c r="AY401" s="1" t="n"/>
      <c r="AZ401" s="1" t="n"/>
      <c r="BA401" s="1" t="n"/>
    </row>
    <row r="402" ht="16.5" customHeight="1" s="220">
      <c r="A402" s="1" t="n"/>
      <c r="B402" s="1" t="n"/>
      <c r="C402" s="2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  <c r="AW402" s="1" t="n"/>
      <c r="AX402" s="1" t="n"/>
      <c r="AY402" s="1" t="n"/>
      <c r="AZ402" s="1" t="n"/>
      <c r="BA402" s="1" t="n"/>
    </row>
    <row r="403" ht="16.5" customHeight="1" s="220">
      <c r="A403" s="1" t="n"/>
      <c r="B403" s="1" t="n"/>
      <c r="C403" s="2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  <c r="AX403" s="1" t="n"/>
      <c r="AY403" s="1" t="n"/>
      <c r="AZ403" s="1" t="n"/>
      <c r="BA403" s="1" t="n"/>
    </row>
    <row r="404" ht="16.5" customHeight="1" s="220">
      <c r="A404" s="1" t="n"/>
      <c r="B404" s="1" t="n"/>
      <c r="C404" s="2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  <c r="AW404" s="1" t="n"/>
      <c r="AX404" s="1" t="n"/>
      <c r="AY404" s="1" t="n"/>
      <c r="AZ404" s="1" t="n"/>
      <c r="BA404" s="1" t="n"/>
    </row>
    <row r="405" ht="16.5" customHeight="1" s="220">
      <c r="A405" s="1" t="n"/>
      <c r="B405" s="1" t="n"/>
      <c r="C405" s="2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  <c r="AX405" s="1" t="n"/>
      <c r="AY405" s="1" t="n"/>
      <c r="AZ405" s="1" t="n"/>
      <c r="BA405" s="1" t="n"/>
    </row>
    <row r="406" ht="16.5" customHeight="1" s="220">
      <c r="A406" s="1" t="n"/>
      <c r="B406" s="1" t="n"/>
      <c r="C406" s="2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  <c r="AW406" s="1" t="n"/>
      <c r="AX406" s="1" t="n"/>
      <c r="AY406" s="1" t="n"/>
      <c r="AZ406" s="1" t="n"/>
      <c r="BA406" s="1" t="n"/>
    </row>
    <row r="407" ht="16.5" customHeight="1" s="220">
      <c r="A407" s="1" t="n"/>
      <c r="B407" s="1" t="n"/>
      <c r="C407" s="2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</row>
    <row r="408" ht="16.5" customHeight="1" s="220">
      <c r="A408" s="1" t="n"/>
      <c r="B408" s="1" t="n"/>
      <c r="C408" s="2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  <c r="AW408" s="1" t="n"/>
      <c r="AX408" s="1" t="n"/>
      <c r="AY408" s="1" t="n"/>
      <c r="AZ408" s="1" t="n"/>
      <c r="BA408" s="1" t="n"/>
    </row>
    <row r="409" ht="16.5" customHeight="1" s="220">
      <c r="A409" s="1" t="n"/>
      <c r="B409" s="1" t="n"/>
      <c r="C409" s="2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  <c r="AX409" s="1" t="n"/>
      <c r="AY409" s="1" t="n"/>
      <c r="AZ409" s="1" t="n"/>
      <c r="BA409" s="1" t="n"/>
    </row>
    <row r="410" ht="16.5" customHeight="1" s="220">
      <c r="A410" s="1" t="n"/>
      <c r="B410" s="1" t="n"/>
      <c r="C410" s="2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  <c r="AW410" s="1" t="n"/>
      <c r="AX410" s="1" t="n"/>
      <c r="AY410" s="1" t="n"/>
      <c r="AZ410" s="1" t="n"/>
      <c r="BA410" s="1" t="n"/>
    </row>
    <row r="411" ht="16.5" customHeight="1" s="220">
      <c r="A411" s="1" t="n"/>
      <c r="B411" s="1" t="n"/>
      <c r="C411" s="2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  <c r="AX411" s="1" t="n"/>
      <c r="AY411" s="1" t="n"/>
      <c r="AZ411" s="1" t="n"/>
      <c r="BA411" s="1" t="n"/>
    </row>
    <row r="412" ht="16.5" customHeight="1" s="220">
      <c r="A412" s="1" t="n"/>
      <c r="B412" s="1" t="n"/>
      <c r="C412" s="2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  <c r="AW412" s="1" t="n"/>
      <c r="AX412" s="1" t="n"/>
      <c r="AY412" s="1" t="n"/>
      <c r="AZ412" s="1" t="n"/>
      <c r="BA412" s="1" t="n"/>
    </row>
    <row r="413" ht="16.5" customHeight="1" s="220">
      <c r="A413" s="1" t="n"/>
      <c r="B413" s="1" t="n"/>
      <c r="C413" s="2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  <c r="AX413" s="1" t="n"/>
      <c r="AY413" s="1" t="n"/>
      <c r="AZ413" s="1" t="n"/>
      <c r="BA413" s="1" t="n"/>
    </row>
    <row r="414" ht="16.5" customHeight="1" s="220">
      <c r="A414" s="1" t="n"/>
      <c r="B414" s="1" t="n"/>
      <c r="C414" s="2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  <c r="AW414" s="1" t="n"/>
      <c r="AX414" s="1" t="n"/>
      <c r="AY414" s="1" t="n"/>
      <c r="AZ414" s="1" t="n"/>
      <c r="BA414" s="1" t="n"/>
    </row>
    <row r="415" ht="16.5" customHeight="1" s="220">
      <c r="A415" s="1" t="n"/>
      <c r="B415" s="1" t="n"/>
      <c r="C415" s="2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  <c r="AX415" s="1" t="n"/>
      <c r="AY415" s="1" t="n"/>
      <c r="AZ415" s="1" t="n"/>
      <c r="BA415" s="1" t="n"/>
    </row>
    <row r="416" ht="16.5" customHeight="1" s="220">
      <c r="A416" s="1" t="n"/>
      <c r="B416" s="1" t="n"/>
      <c r="C416" s="2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  <c r="AW416" s="1" t="n"/>
      <c r="AX416" s="1" t="n"/>
      <c r="AY416" s="1" t="n"/>
      <c r="AZ416" s="1" t="n"/>
      <c r="BA416" s="1" t="n"/>
    </row>
    <row r="417" ht="16.5" customHeight="1" s="220">
      <c r="A417" s="1" t="n"/>
      <c r="B417" s="1" t="n"/>
      <c r="C417" s="2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  <c r="AX417" s="1" t="n"/>
      <c r="AY417" s="1" t="n"/>
      <c r="AZ417" s="1" t="n"/>
      <c r="BA417" s="1" t="n"/>
    </row>
    <row r="418" ht="16.5" customHeight="1" s="220">
      <c r="A418" s="1" t="n"/>
      <c r="B418" s="1" t="n"/>
      <c r="C418" s="2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  <c r="AW418" s="1" t="n"/>
      <c r="AX418" s="1" t="n"/>
      <c r="AY418" s="1" t="n"/>
      <c r="AZ418" s="1" t="n"/>
      <c r="BA418" s="1" t="n"/>
    </row>
    <row r="419" ht="16.5" customHeight="1" s="220">
      <c r="A419" s="1" t="n"/>
      <c r="B419" s="1" t="n"/>
      <c r="C419" s="2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  <c r="AX419" s="1" t="n"/>
      <c r="AY419" s="1" t="n"/>
      <c r="AZ419" s="1" t="n"/>
      <c r="BA419" s="1" t="n"/>
    </row>
    <row r="420" ht="16.5" customHeight="1" s="220">
      <c r="A420" s="1" t="n"/>
      <c r="B420" s="1" t="n"/>
      <c r="C420" s="2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  <c r="AW420" s="1" t="n"/>
      <c r="AX420" s="1" t="n"/>
      <c r="AY420" s="1" t="n"/>
      <c r="AZ420" s="1" t="n"/>
      <c r="BA420" s="1" t="n"/>
    </row>
    <row r="421" ht="16.5" customHeight="1" s="220">
      <c r="A421" s="1" t="n"/>
      <c r="B421" s="1" t="n"/>
      <c r="C421" s="2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  <c r="AX421" s="1" t="n"/>
      <c r="AY421" s="1" t="n"/>
      <c r="AZ421" s="1" t="n"/>
      <c r="BA421" s="1" t="n"/>
    </row>
    <row r="422" ht="16.5" customHeight="1" s="220">
      <c r="A422" s="1" t="n"/>
      <c r="B422" s="1" t="n"/>
      <c r="C422" s="2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  <c r="AW422" s="1" t="n"/>
      <c r="AX422" s="1" t="n"/>
      <c r="AY422" s="1" t="n"/>
      <c r="AZ422" s="1" t="n"/>
      <c r="BA422" s="1" t="n"/>
    </row>
    <row r="423" ht="16.5" customHeight="1" s="220">
      <c r="A423" s="1" t="n"/>
      <c r="B423" s="1" t="n"/>
      <c r="C423" s="2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  <c r="AX423" s="1" t="n"/>
      <c r="AY423" s="1" t="n"/>
      <c r="AZ423" s="1" t="n"/>
      <c r="BA423" s="1" t="n"/>
    </row>
    <row r="424" ht="16.5" customHeight="1" s="220">
      <c r="A424" s="1" t="n"/>
      <c r="B424" s="1" t="n"/>
      <c r="C424" s="2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  <c r="AW424" s="1" t="n"/>
      <c r="AX424" s="1" t="n"/>
      <c r="AY424" s="1" t="n"/>
      <c r="AZ424" s="1" t="n"/>
      <c r="BA424" s="1" t="n"/>
    </row>
    <row r="425" ht="16.5" customHeight="1" s="220">
      <c r="A425" s="1" t="n"/>
      <c r="B425" s="1" t="n"/>
      <c r="C425" s="2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  <c r="AX425" s="1" t="n"/>
      <c r="AY425" s="1" t="n"/>
      <c r="AZ425" s="1" t="n"/>
      <c r="BA425" s="1" t="n"/>
    </row>
    <row r="426" ht="16.5" customHeight="1" s="220">
      <c r="A426" s="1" t="n"/>
      <c r="B426" s="1" t="n"/>
      <c r="C426" s="2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  <c r="AW426" s="1" t="n"/>
      <c r="AX426" s="1" t="n"/>
      <c r="AY426" s="1" t="n"/>
      <c r="AZ426" s="1" t="n"/>
      <c r="BA426" s="1" t="n"/>
    </row>
    <row r="427" ht="16.5" customHeight="1" s="220">
      <c r="A427" s="1" t="n"/>
      <c r="B427" s="1" t="n"/>
      <c r="C427" s="2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  <c r="AX427" s="1" t="n"/>
      <c r="AY427" s="1" t="n"/>
      <c r="AZ427" s="1" t="n"/>
      <c r="BA427" s="1" t="n"/>
    </row>
    <row r="428" ht="16.5" customHeight="1" s="220">
      <c r="A428" s="1" t="n"/>
      <c r="B428" s="1" t="n"/>
      <c r="C428" s="2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  <c r="AW428" s="1" t="n"/>
      <c r="AX428" s="1" t="n"/>
      <c r="AY428" s="1" t="n"/>
      <c r="AZ428" s="1" t="n"/>
      <c r="BA428" s="1" t="n"/>
    </row>
    <row r="429" ht="16.5" customHeight="1" s="220">
      <c r="A429" s="1" t="n"/>
      <c r="B429" s="1" t="n"/>
      <c r="C429" s="2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  <c r="AX429" s="1" t="n"/>
      <c r="AY429" s="1" t="n"/>
      <c r="AZ429" s="1" t="n"/>
      <c r="BA429" s="1" t="n"/>
    </row>
    <row r="430" ht="16.5" customHeight="1" s="220">
      <c r="A430" s="1" t="n"/>
      <c r="B430" s="1" t="n"/>
      <c r="C430" s="2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  <c r="AW430" s="1" t="n"/>
      <c r="AX430" s="1" t="n"/>
      <c r="AY430" s="1" t="n"/>
      <c r="AZ430" s="1" t="n"/>
      <c r="BA430" s="1" t="n"/>
    </row>
    <row r="431" ht="16.5" customHeight="1" s="220">
      <c r="A431" s="1" t="n"/>
      <c r="B431" s="1" t="n"/>
      <c r="C431" s="2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  <c r="AX431" s="1" t="n"/>
      <c r="AY431" s="1" t="n"/>
      <c r="AZ431" s="1" t="n"/>
      <c r="BA431" s="1" t="n"/>
    </row>
    <row r="432" ht="16.5" customHeight="1" s="220">
      <c r="A432" s="1" t="n"/>
      <c r="B432" s="1" t="n"/>
      <c r="C432" s="2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  <c r="AW432" s="1" t="n"/>
      <c r="AX432" s="1" t="n"/>
      <c r="AY432" s="1" t="n"/>
      <c r="AZ432" s="1" t="n"/>
      <c r="BA432" s="1" t="n"/>
    </row>
    <row r="433" ht="16.5" customHeight="1" s="220">
      <c r="A433" s="1" t="n"/>
      <c r="B433" s="1" t="n"/>
      <c r="C433" s="2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  <c r="AX433" s="1" t="n"/>
      <c r="AY433" s="1" t="n"/>
      <c r="AZ433" s="1" t="n"/>
      <c r="BA433" s="1" t="n"/>
    </row>
    <row r="434" ht="16.5" customHeight="1" s="220">
      <c r="A434" s="1" t="n"/>
      <c r="B434" s="1" t="n"/>
      <c r="C434" s="2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  <c r="AS434" s="1" t="n"/>
      <c r="AT434" s="1" t="n"/>
      <c r="AU434" s="1" t="n"/>
      <c r="AV434" s="1" t="n"/>
      <c r="AW434" s="1" t="n"/>
      <c r="AX434" s="1" t="n"/>
      <c r="AY434" s="1" t="n"/>
      <c r="AZ434" s="1" t="n"/>
      <c r="BA434" s="1" t="n"/>
    </row>
    <row r="435" ht="16.5" customHeight="1" s="220">
      <c r="A435" s="1" t="n"/>
      <c r="B435" s="1" t="n"/>
      <c r="C435" s="2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  <c r="AX435" s="1" t="n"/>
      <c r="AY435" s="1" t="n"/>
      <c r="AZ435" s="1" t="n"/>
      <c r="BA435" s="1" t="n"/>
    </row>
    <row r="436" ht="16.5" customHeight="1" s="220">
      <c r="A436" s="1" t="n"/>
      <c r="B436" s="1" t="n"/>
      <c r="C436" s="2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  <c r="AW436" s="1" t="n"/>
      <c r="AX436" s="1" t="n"/>
      <c r="AY436" s="1" t="n"/>
      <c r="AZ436" s="1" t="n"/>
      <c r="BA436" s="1" t="n"/>
    </row>
    <row r="437" ht="16.5" customHeight="1" s="220">
      <c r="A437" s="1" t="n"/>
      <c r="B437" s="1" t="n"/>
      <c r="C437" s="2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  <c r="AX437" s="1" t="n"/>
      <c r="AY437" s="1" t="n"/>
      <c r="AZ437" s="1" t="n"/>
      <c r="BA437" s="1" t="n"/>
    </row>
    <row r="438" ht="16.5" customHeight="1" s="220">
      <c r="A438" s="1" t="n"/>
      <c r="B438" s="1" t="n"/>
      <c r="C438" s="2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  <c r="AW438" s="1" t="n"/>
      <c r="AX438" s="1" t="n"/>
      <c r="AY438" s="1" t="n"/>
      <c r="AZ438" s="1" t="n"/>
      <c r="BA438" s="1" t="n"/>
    </row>
    <row r="439" ht="16.5" customHeight="1" s="220">
      <c r="A439" s="1" t="n"/>
      <c r="B439" s="1" t="n"/>
      <c r="C439" s="2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  <c r="AX439" s="1" t="n"/>
      <c r="AY439" s="1" t="n"/>
      <c r="AZ439" s="1" t="n"/>
      <c r="BA439" s="1" t="n"/>
    </row>
    <row r="440" ht="16.5" customHeight="1" s="220">
      <c r="A440" s="1" t="n"/>
      <c r="B440" s="1" t="n"/>
      <c r="C440" s="2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  <c r="AW440" s="1" t="n"/>
      <c r="AX440" s="1" t="n"/>
      <c r="AY440" s="1" t="n"/>
      <c r="AZ440" s="1" t="n"/>
      <c r="BA440" s="1" t="n"/>
    </row>
    <row r="441" ht="16.5" customHeight="1" s="220">
      <c r="A441" s="1" t="n"/>
      <c r="B441" s="1" t="n"/>
      <c r="C441" s="2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  <c r="AX441" s="1" t="n"/>
      <c r="AY441" s="1" t="n"/>
      <c r="AZ441" s="1" t="n"/>
      <c r="BA441" s="1" t="n"/>
    </row>
    <row r="442" ht="16.5" customHeight="1" s="220">
      <c r="A442" s="1" t="n"/>
      <c r="B442" s="1" t="n"/>
      <c r="C442" s="2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  <c r="AW442" s="1" t="n"/>
      <c r="AX442" s="1" t="n"/>
      <c r="AY442" s="1" t="n"/>
      <c r="AZ442" s="1" t="n"/>
      <c r="BA442" s="1" t="n"/>
    </row>
    <row r="443" ht="16.5" customHeight="1" s="220">
      <c r="A443" s="1" t="n"/>
      <c r="B443" s="1" t="n"/>
      <c r="C443" s="2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  <c r="AX443" s="1" t="n"/>
      <c r="AY443" s="1" t="n"/>
      <c r="AZ443" s="1" t="n"/>
      <c r="BA443" s="1" t="n"/>
    </row>
    <row r="444" ht="16.5" customHeight="1" s="220">
      <c r="A444" s="1" t="n"/>
      <c r="B444" s="1" t="n"/>
      <c r="C444" s="2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  <c r="AW444" s="1" t="n"/>
      <c r="AX444" s="1" t="n"/>
      <c r="AY444" s="1" t="n"/>
      <c r="AZ444" s="1" t="n"/>
      <c r="BA444" s="1" t="n"/>
    </row>
    <row r="445" ht="16.5" customHeight="1" s="220">
      <c r="A445" s="1" t="n"/>
      <c r="B445" s="1" t="n"/>
      <c r="C445" s="2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  <c r="AW445" s="1" t="n"/>
      <c r="AX445" s="1" t="n"/>
      <c r="AY445" s="1" t="n"/>
      <c r="AZ445" s="1" t="n"/>
      <c r="BA445" s="1" t="n"/>
    </row>
    <row r="446" ht="16.5" customHeight="1" s="220">
      <c r="A446" s="1" t="n"/>
      <c r="B446" s="1" t="n"/>
      <c r="C446" s="2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  <c r="AW446" s="1" t="n"/>
      <c r="AX446" s="1" t="n"/>
      <c r="AY446" s="1" t="n"/>
      <c r="AZ446" s="1" t="n"/>
      <c r="BA446" s="1" t="n"/>
    </row>
    <row r="447" ht="16.5" customHeight="1" s="220">
      <c r="A447" s="1" t="n"/>
      <c r="B447" s="1" t="n"/>
      <c r="C447" s="2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  <c r="AX447" s="1" t="n"/>
      <c r="AY447" s="1" t="n"/>
      <c r="AZ447" s="1" t="n"/>
      <c r="BA447" s="1" t="n"/>
    </row>
    <row r="448" ht="16.5" customHeight="1" s="220">
      <c r="A448" s="1" t="n"/>
      <c r="B448" s="1" t="n"/>
      <c r="C448" s="2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  <c r="AW448" s="1" t="n"/>
      <c r="AX448" s="1" t="n"/>
      <c r="AY448" s="1" t="n"/>
      <c r="AZ448" s="1" t="n"/>
      <c r="BA448" s="1" t="n"/>
    </row>
    <row r="449" ht="16.5" customHeight="1" s="220">
      <c r="A449" s="1" t="n"/>
      <c r="B449" s="1" t="n"/>
      <c r="C449" s="2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  <c r="AX449" s="1" t="n"/>
      <c r="AY449" s="1" t="n"/>
      <c r="AZ449" s="1" t="n"/>
      <c r="BA449" s="1" t="n"/>
    </row>
    <row r="450" ht="16.5" customHeight="1" s="220">
      <c r="A450" s="1" t="n"/>
      <c r="B450" s="1" t="n"/>
      <c r="C450" s="2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  <c r="AS450" s="1" t="n"/>
      <c r="AT450" s="1" t="n"/>
      <c r="AU450" s="1" t="n"/>
      <c r="AV450" s="1" t="n"/>
      <c r="AW450" s="1" t="n"/>
      <c r="AX450" s="1" t="n"/>
      <c r="AY450" s="1" t="n"/>
      <c r="AZ450" s="1" t="n"/>
      <c r="BA450" s="1" t="n"/>
    </row>
    <row r="451" ht="16.5" customHeight="1" s="220">
      <c r="A451" s="1" t="n"/>
      <c r="B451" s="1" t="n"/>
      <c r="C451" s="2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  <c r="AW451" s="1" t="n"/>
      <c r="AX451" s="1" t="n"/>
      <c r="AY451" s="1" t="n"/>
      <c r="AZ451" s="1" t="n"/>
      <c r="BA451" s="1" t="n"/>
    </row>
    <row r="452" ht="16.5" customHeight="1" s="220">
      <c r="A452" s="1" t="n"/>
      <c r="B452" s="1" t="n"/>
      <c r="C452" s="2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  <c r="AS452" s="1" t="n"/>
      <c r="AT452" s="1" t="n"/>
      <c r="AU452" s="1" t="n"/>
      <c r="AV452" s="1" t="n"/>
      <c r="AW452" s="1" t="n"/>
      <c r="AX452" s="1" t="n"/>
      <c r="AY452" s="1" t="n"/>
      <c r="AZ452" s="1" t="n"/>
      <c r="BA452" s="1" t="n"/>
    </row>
    <row r="453" ht="16.5" customHeight="1" s="220">
      <c r="A453" s="1" t="n"/>
      <c r="B453" s="1" t="n"/>
      <c r="C453" s="2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  <c r="AW453" s="1" t="n"/>
      <c r="AX453" s="1" t="n"/>
      <c r="AY453" s="1" t="n"/>
      <c r="AZ453" s="1" t="n"/>
      <c r="BA453" s="1" t="n"/>
    </row>
    <row r="454" ht="16.5" customHeight="1" s="220">
      <c r="A454" s="1" t="n"/>
      <c r="B454" s="1" t="n"/>
      <c r="C454" s="2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  <c r="AS454" s="1" t="n"/>
      <c r="AT454" s="1" t="n"/>
      <c r="AU454" s="1" t="n"/>
      <c r="AV454" s="1" t="n"/>
      <c r="AW454" s="1" t="n"/>
      <c r="AX454" s="1" t="n"/>
      <c r="AY454" s="1" t="n"/>
      <c r="AZ454" s="1" t="n"/>
      <c r="BA454" s="1" t="n"/>
    </row>
    <row r="455" ht="16.5" customHeight="1" s="220">
      <c r="A455" s="1" t="n"/>
      <c r="B455" s="1" t="n"/>
      <c r="C455" s="2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  <c r="AW455" s="1" t="n"/>
      <c r="AX455" s="1" t="n"/>
      <c r="AY455" s="1" t="n"/>
      <c r="AZ455" s="1" t="n"/>
      <c r="BA455" s="1" t="n"/>
    </row>
    <row r="456" ht="16.5" customHeight="1" s="220">
      <c r="A456" s="1" t="n"/>
      <c r="B456" s="1" t="n"/>
      <c r="C456" s="2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  <c r="AS456" s="1" t="n"/>
      <c r="AT456" s="1" t="n"/>
      <c r="AU456" s="1" t="n"/>
      <c r="AV456" s="1" t="n"/>
      <c r="AW456" s="1" t="n"/>
      <c r="AX456" s="1" t="n"/>
      <c r="AY456" s="1" t="n"/>
      <c r="AZ456" s="1" t="n"/>
      <c r="BA456" s="1" t="n"/>
    </row>
    <row r="457" ht="16.5" customHeight="1" s="220">
      <c r="A457" s="1" t="n"/>
      <c r="B457" s="1" t="n"/>
      <c r="C457" s="2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  <c r="AW457" s="1" t="n"/>
      <c r="AX457" s="1" t="n"/>
      <c r="AY457" s="1" t="n"/>
      <c r="AZ457" s="1" t="n"/>
      <c r="BA457" s="1" t="n"/>
    </row>
    <row r="458" ht="16.5" customHeight="1" s="220">
      <c r="A458" s="1" t="n"/>
      <c r="B458" s="1" t="n"/>
      <c r="C458" s="2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  <c r="AS458" s="1" t="n"/>
      <c r="AT458" s="1" t="n"/>
      <c r="AU458" s="1" t="n"/>
      <c r="AV458" s="1" t="n"/>
      <c r="AW458" s="1" t="n"/>
      <c r="AX458" s="1" t="n"/>
      <c r="AY458" s="1" t="n"/>
      <c r="AZ458" s="1" t="n"/>
      <c r="BA458" s="1" t="n"/>
    </row>
    <row r="459" ht="16.5" customHeight="1" s="220">
      <c r="A459" s="1" t="n"/>
      <c r="B459" s="1" t="n"/>
      <c r="C459" s="2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  <c r="AW459" s="1" t="n"/>
      <c r="AX459" s="1" t="n"/>
      <c r="AY459" s="1" t="n"/>
      <c r="AZ459" s="1" t="n"/>
      <c r="BA459" s="1" t="n"/>
    </row>
    <row r="460" ht="16.5" customHeight="1" s="220">
      <c r="A460" s="1" t="n"/>
      <c r="B460" s="1" t="n"/>
      <c r="C460" s="2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  <c r="AS460" s="1" t="n"/>
      <c r="AT460" s="1" t="n"/>
      <c r="AU460" s="1" t="n"/>
      <c r="AV460" s="1" t="n"/>
      <c r="AW460" s="1" t="n"/>
      <c r="AX460" s="1" t="n"/>
      <c r="AY460" s="1" t="n"/>
      <c r="AZ460" s="1" t="n"/>
      <c r="BA460" s="1" t="n"/>
    </row>
    <row r="461" ht="16.5" customHeight="1" s="220">
      <c r="A461" s="1" t="n"/>
      <c r="B461" s="1" t="n"/>
      <c r="C461" s="2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  <c r="AW461" s="1" t="n"/>
      <c r="AX461" s="1" t="n"/>
      <c r="AY461" s="1" t="n"/>
      <c r="AZ461" s="1" t="n"/>
      <c r="BA461" s="1" t="n"/>
    </row>
    <row r="462" ht="16.5" customHeight="1" s="220">
      <c r="A462" s="1" t="n"/>
      <c r="B462" s="1" t="n"/>
      <c r="C462" s="2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  <c r="AS462" s="1" t="n"/>
      <c r="AT462" s="1" t="n"/>
      <c r="AU462" s="1" t="n"/>
      <c r="AV462" s="1" t="n"/>
      <c r="AW462" s="1" t="n"/>
      <c r="AX462" s="1" t="n"/>
      <c r="AY462" s="1" t="n"/>
      <c r="AZ462" s="1" t="n"/>
      <c r="BA462" s="1" t="n"/>
    </row>
    <row r="463" ht="16.5" customHeight="1" s="220">
      <c r="A463" s="1" t="n"/>
      <c r="B463" s="1" t="n"/>
      <c r="C463" s="2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  <c r="AW463" s="1" t="n"/>
      <c r="AX463" s="1" t="n"/>
      <c r="AY463" s="1" t="n"/>
      <c r="AZ463" s="1" t="n"/>
      <c r="BA463" s="1" t="n"/>
    </row>
    <row r="464" ht="16.5" customHeight="1" s="220">
      <c r="A464" s="1" t="n"/>
      <c r="B464" s="1" t="n"/>
      <c r="C464" s="2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  <c r="AS464" s="1" t="n"/>
      <c r="AT464" s="1" t="n"/>
      <c r="AU464" s="1" t="n"/>
      <c r="AV464" s="1" t="n"/>
      <c r="AW464" s="1" t="n"/>
      <c r="AX464" s="1" t="n"/>
      <c r="AY464" s="1" t="n"/>
      <c r="AZ464" s="1" t="n"/>
      <c r="BA464" s="1" t="n"/>
    </row>
    <row r="465" ht="16.5" customHeight="1" s="220">
      <c r="A465" s="1" t="n"/>
      <c r="B465" s="1" t="n"/>
      <c r="C465" s="2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  <c r="AW465" s="1" t="n"/>
      <c r="AX465" s="1" t="n"/>
      <c r="AY465" s="1" t="n"/>
      <c r="AZ465" s="1" t="n"/>
      <c r="BA465" s="1" t="n"/>
    </row>
    <row r="466" ht="16.5" customHeight="1" s="220">
      <c r="A466" s="1" t="n"/>
      <c r="B466" s="1" t="n"/>
      <c r="C466" s="2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  <c r="AS466" s="1" t="n"/>
      <c r="AT466" s="1" t="n"/>
      <c r="AU466" s="1" t="n"/>
      <c r="AV466" s="1" t="n"/>
      <c r="AW466" s="1" t="n"/>
      <c r="AX466" s="1" t="n"/>
      <c r="AY466" s="1" t="n"/>
      <c r="AZ466" s="1" t="n"/>
      <c r="BA466" s="1" t="n"/>
    </row>
    <row r="467" ht="16.5" customHeight="1" s="220">
      <c r="A467" s="1" t="n"/>
      <c r="B467" s="1" t="n"/>
      <c r="C467" s="2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  <c r="AW467" s="1" t="n"/>
      <c r="AX467" s="1" t="n"/>
      <c r="AY467" s="1" t="n"/>
      <c r="AZ467" s="1" t="n"/>
      <c r="BA467" s="1" t="n"/>
    </row>
    <row r="468" ht="16.5" customHeight="1" s="220">
      <c r="A468" s="1" t="n"/>
      <c r="B468" s="1" t="n"/>
      <c r="C468" s="2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  <c r="AS468" s="1" t="n"/>
      <c r="AT468" s="1" t="n"/>
      <c r="AU468" s="1" t="n"/>
      <c r="AV468" s="1" t="n"/>
      <c r="AW468" s="1" t="n"/>
      <c r="AX468" s="1" t="n"/>
      <c r="AY468" s="1" t="n"/>
      <c r="AZ468" s="1" t="n"/>
      <c r="BA468" s="1" t="n"/>
    </row>
    <row r="469" ht="16.5" customHeight="1" s="220">
      <c r="A469" s="1" t="n"/>
      <c r="B469" s="1" t="n"/>
      <c r="C469" s="2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  <c r="AW469" s="1" t="n"/>
      <c r="AX469" s="1" t="n"/>
      <c r="AY469" s="1" t="n"/>
      <c r="AZ469" s="1" t="n"/>
      <c r="BA469" s="1" t="n"/>
    </row>
    <row r="470" ht="16.5" customHeight="1" s="220">
      <c r="A470" s="1" t="n"/>
      <c r="B470" s="1" t="n"/>
      <c r="C470" s="2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  <c r="AS470" s="1" t="n"/>
      <c r="AT470" s="1" t="n"/>
      <c r="AU470" s="1" t="n"/>
      <c r="AV470" s="1" t="n"/>
      <c r="AW470" s="1" t="n"/>
      <c r="AX470" s="1" t="n"/>
      <c r="AY470" s="1" t="n"/>
      <c r="AZ470" s="1" t="n"/>
      <c r="BA470" s="1" t="n"/>
    </row>
    <row r="471" ht="16.5" customHeight="1" s="220">
      <c r="A471" s="1" t="n"/>
      <c r="B471" s="1" t="n"/>
      <c r="C471" s="2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  <c r="AW471" s="1" t="n"/>
      <c r="AX471" s="1" t="n"/>
      <c r="AY471" s="1" t="n"/>
      <c r="AZ471" s="1" t="n"/>
      <c r="BA471" s="1" t="n"/>
    </row>
    <row r="472" ht="16.5" customHeight="1" s="220">
      <c r="A472" s="1" t="n"/>
      <c r="B472" s="1" t="n"/>
      <c r="C472" s="2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  <c r="AS472" s="1" t="n"/>
      <c r="AT472" s="1" t="n"/>
      <c r="AU472" s="1" t="n"/>
      <c r="AV472" s="1" t="n"/>
      <c r="AW472" s="1" t="n"/>
      <c r="AX472" s="1" t="n"/>
      <c r="AY472" s="1" t="n"/>
      <c r="AZ472" s="1" t="n"/>
      <c r="BA472" s="1" t="n"/>
    </row>
    <row r="473" ht="16.5" customHeight="1" s="220">
      <c r="A473" s="1" t="n"/>
      <c r="B473" s="1" t="n"/>
      <c r="C473" s="2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  <c r="AW473" s="1" t="n"/>
      <c r="AX473" s="1" t="n"/>
      <c r="AY473" s="1" t="n"/>
      <c r="AZ473" s="1" t="n"/>
      <c r="BA473" s="1" t="n"/>
    </row>
    <row r="474" ht="16.5" customHeight="1" s="220">
      <c r="A474" s="1" t="n"/>
      <c r="B474" s="1" t="n"/>
      <c r="C474" s="2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  <c r="AS474" s="1" t="n"/>
      <c r="AT474" s="1" t="n"/>
      <c r="AU474" s="1" t="n"/>
      <c r="AV474" s="1" t="n"/>
      <c r="AW474" s="1" t="n"/>
      <c r="AX474" s="1" t="n"/>
      <c r="AY474" s="1" t="n"/>
      <c r="AZ474" s="1" t="n"/>
      <c r="BA474" s="1" t="n"/>
    </row>
    <row r="475" ht="16.5" customHeight="1" s="220">
      <c r="A475" s="1" t="n"/>
      <c r="B475" s="1" t="n"/>
      <c r="C475" s="2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  <c r="AW475" s="1" t="n"/>
      <c r="AX475" s="1" t="n"/>
      <c r="AY475" s="1" t="n"/>
      <c r="AZ475" s="1" t="n"/>
      <c r="BA475" s="1" t="n"/>
    </row>
    <row r="476" ht="16.5" customHeight="1" s="220">
      <c r="A476" s="1" t="n"/>
      <c r="B476" s="1" t="n"/>
      <c r="C476" s="2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  <c r="AS476" s="1" t="n"/>
      <c r="AT476" s="1" t="n"/>
      <c r="AU476" s="1" t="n"/>
      <c r="AV476" s="1" t="n"/>
      <c r="AW476" s="1" t="n"/>
      <c r="AX476" s="1" t="n"/>
      <c r="AY476" s="1" t="n"/>
      <c r="AZ476" s="1" t="n"/>
      <c r="BA476" s="1" t="n"/>
    </row>
    <row r="477" ht="16.5" customHeight="1" s="220">
      <c r="A477" s="1" t="n"/>
      <c r="B477" s="1" t="n"/>
      <c r="C477" s="2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  <c r="AW477" s="1" t="n"/>
      <c r="AX477" s="1" t="n"/>
      <c r="AY477" s="1" t="n"/>
      <c r="AZ477" s="1" t="n"/>
      <c r="BA477" s="1" t="n"/>
    </row>
    <row r="478" ht="16.5" customHeight="1" s="220">
      <c r="A478" s="1" t="n"/>
      <c r="B478" s="1" t="n"/>
      <c r="C478" s="2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  <c r="AS478" s="1" t="n"/>
      <c r="AT478" s="1" t="n"/>
      <c r="AU478" s="1" t="n"/>
      <c r="AV478" s="1" t="n"/>
      <c r="AW478" s="1" t="n"/>
      <c r="AX478" s="1" t="n"/>
      <c r="AY478" s="1" t="n"/>
      <c r="AZ478" s="1" t="n"/>
      <c r="BA478" s="1" t="n"/>
    </row>
    <row r="479" ht="16.5" customHeight="1" s="220">
      <c r="A479" s="1" t="n"/>
      <c r="B479" s="1" t="n"/>
      <c r="C479" s="2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  <c r="AW479" s="1" t="n"/>
      <c r="AX479" s="1" t="n"/>
      <c r="AY479" s="1" t="n"/>
      <c r="AZ479" s="1" t="n"/>
      <c r="BA479" s="1" t="n"/>
    </row>
    <row r="480" ht="16.5" customHeight="1" s="220">
      <c r="A480" s="1" t="n"/>
      <c r="B480" s="1" t="n"/>
      <c r="C480" s="2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  <c r="AS480" s="1" t="n"/>
      <c r="AT480" s="1" t="n"/>
      <c r="AU480" s="1" t="n"/>
      <c r="AV480" s="1" t="n"/>
      <c r="AW480" s="1" t="n"/>
      <c r="AX480" s="1" t="n"/>
      <c r="AY480" s="1" t="n"/>
      <c r="AZ480" s="1" t="n"/>
      <c r="BA480" s="1" t="n"/>
    </row>
    <row r="481" ht="16.5" customHeight="1" s="220">
      <c r="A481" s="1" t="n"/>
      <c r="B481" s="1" t="n"/>
      <c r="C481" s="2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  <c r="AW481" s="1" t="n"/>
      <c r="AX481" s="1" t="n"/>
      <c r="AY481" s="1" t="n"/>
      <c r="AZ481" s="1" t="n"/>
      <c r="BA481" s="1" t="n"/>
    </row>
    <row r="482" ht="16.5" customHeight="1" s="220">
      <c r="A482" s="1" t="n"/>
      <c r="B482" s="1" t="n"/>
      <c r="C482" s="2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  <c r="AR482" s="1" t="n"/>
      <c r="AS482" s="1" t="n"/>
      <c r="AT482" s="1" t="n"/>
      <c r="AU482" s="1" t="n"/>
      <c r="AV482" s="1" t="n"/>
      <c r="AW482" s="1" t="n"/>
      <c r="AX482" s="1" t="n"/>
      <c r="AY482" s="1" t="n"/>
      <c r="AZ482" s="1" t="n"/>
      <c r="BA482" s="1" t="n"/>
    </row>
    <row r="483" ht="16.5" customHeight="1" s="220">
      <c r="A483" s="1" t="n"/>
      <c r="B483" s="1" t="n"/>
      <c r="C483" s="2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  <c r="AW483" s="1" t="n"/>
      <c r="AX483" s="1" t="n"/>
      <c r="AY483" s="1" t="n"/>
      <c r="AZ483" s="1" t="n"/>
      <c r="BA483" s="1" t="n"/>
    </row>
    <row r="484" ht="16.5" customHeight="1" s="220">
      <c r="A484" s="1" t="n"/>
      <c r="B484" s="1" t="n"/>
      <c r="C484" s="2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  <c r="AS484" s="1" t="n"/>
      <c r="AT484" s="1" t="n"/>
      <c r="AU484" s="1" t="n"/>
      <c r="AV484" s="1" t="n"/>
      <c r="AW484" s="1" t="n"/>
      <c r="AX484" s="1" t="n"/>
      <c r="AY484" s="1" t="n"/>
      <c r="AZ484" s="1" t="n"/>
      <c r="BA484" s="1" t="n"/>
    </row>
    <row r="485" ht="16.5" customHeight="1" s="220">
      <c r="A485" s="1" t="n"/>
      <c r="B485" s="1" t="n"/>
      <c r="C485" s="2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  <c r="AW485" s="1" t="n"/>
      <c r="AX485" s="1" t="n"/>
      <c r="AY485" s="1" t="n"/>
      <c r="AZ485" s="1" t="n"/>
      <c r="BA485" s="1" t="n"/>
    </row>
    <row r="486" ht="16.5" customHeight="1" s="220">
      <c r="A486" s="1" t="n"/>
      <c r="B486" s="1" t="n"/>
      <c r="C486" s="2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  <c r="AS486" s="1" t="n"/>
      <c r="AT486" s="1" t="n"/>
      <c r="AU486" s="1" t="n"/>
      <c r="AV486" s="1" t="n"/>
      <c r="AW486" s="1" t="n"/>
      <c r="AX486" s="1" t="n"/>
      <c r="AY486" s="1" t="n"/>
      <c r="AZ486" s="1" t="n"/>
      <c r="BA486" s="1" t="n"/>
    </row>
    <row r="487" ht="16.5" customHeight="1" s="220">
      <c r="A487" s="1" t="n"/>
      <c r="B487" s="1" t="n"/>
      <c r="C487" s="2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  <c r="AW487" s="1" t="n"/>
      <c r="AX487" s="1" t="n"/>
      <c r="AY487" s="1" t="n"/>
      <c r="AZ487" s="1" t="n"/>
      <c r="BA487" s="1" t="n"/>
    </row>
    <row r="488" ht="16.5" customHeight="1" s="220">
      <c r="A488" s="1" t="n"/>
      <c r="B488" s="1" t="n"/>
      <c r="C488" s="2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  <c r="AS488" s="1" t="n"/>
      <c r="AT488" s="1" t="n"/>
      <c r="AU488" s="1" t="n"/>
      <c r="AV488" s="1" t="n"/>
      <c r="AW488" s="1" t="n"/>
      <c r="AX488" s="1" t="n"/>
      <c r="AY488" s="1" t="n"/>
      <c r="AZ488" s="1" t="n"/>
      <c r="BA488" s="1" t="n"/>
    </row>
    <row r="489" ht="16.5" customHeight="1" s="220">
      <c r="A489" s="1" t="n"/>
      <c r="B489" s="1" t="n"/>
      <c r="C489" s="2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  <c r="AW489" s="1" t="n"/>
      <c r="AX489" s="1" t="n"/>
      <c r="AY489" s="1" t="n"/>
      <c r="AZ489" s="1" t="n"/>
      <c r="BA489" s="1" t="n"/>
    </row>
    <row r="490" ht="16.5" customHeight="1" s="220">
      <c r="A490" s="1" t="n"/>
      <c r="B490" s="1" t="n"/>
      <c r="C490" s="2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  <c r="AS490" s="1" t="n"/>
      <c r="AT490" s="1" t="n"/>
      <c r="AU490" s="1" t="n"/>
      <c r="AV490" s="1" t="n"/>
      <c r="AW490" s="1" t="n"/>
      <c r="AX490" s="1" t="n"/>
      <c r="AY490" s="1" t="n"/>
      <c r="AZ490" s="1" t="n"/>
      <c r="BA490" s="1" t="n"/>
    </row>
    <row r="491" ht="16.5" customHeight="1" s="220">
      <c r="A491" s="1" t="n"/>
      <c r="B491" s="1" t="n"/>
      <c r="C491" s="2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  <c r="AW491" s="1" t="n"/>
      <c r="AX491" s="1" t="n"/>
      <c r="AY491" s="1" t="n"/>
      <c r="AZ491" s="1" t="n"/>
      <c r="BA491" s="1" t="n"/>
    </row>
    <row r="492" ht="16.5" customHeight="1" s="220">
      <c r="A492" s="1" t="n"/>
      <c r="B492" s="1" t="n"/>
      <c r="C492" s="2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  <c r="AS492" s="1" t="n"/>
      <c r="AT492" s="1" t="n"/>
      <c r="AU492" s="1" t="n"/>
      <c r="AV492" s="1" t="n"/>
      <c r="AW492" s="1" t="n"/>
      <c r="AX492" s="1" t="n"/>
      <c r="AY492" s="1" t="n"/>
      <c r="AZ492" s="1" t="n"/>
      <c r="BA492" s="1" t="n"/>
    </row>
    <row r="493" ht="16.5" customHeight="1" s="220">
      <c r="A493" s="1" t="n"/>
      <c r="B493" s="1" t="n"/>
      <c r="C493" s="2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  <c r="AW493" s="1" t="n"/>
      <c r="AX493" s="1" t="n"/>
      <c r="AY493" s="1" t="n"/>
      <c r="AZ493" s="1" t="n"/>
      <c r="BA493" s="1" t="n"/>
    </row>
    <row r="494" ht="16.5" customHeight="1" s="220">
      <c r="A494" s="1" t="n"/>
      <c r="B494" s="1" t="n"/>
      <c r="C494" s="2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  <c r="AS494" s="1" t="n"/>
      <c r="AT494" s="1" t="n"/>
      <c r="AU494" s="1" t="n"/>
      <c r="AV494" s="1" t="n"/>
      <c r="AW494" s="1" t="n"/>
      <c r="AX494" s="1" t="n"/>
      <c r="AY494" s="1" t="n"/>
      <c r="AZ494" s="1" t="n"/>
      <c r="BA494" s="1" t="n"/>
    </row>
    <row r="495" ht="16.5" customHeight="1" s="220">
      <c r="A495" s="1" t="n"/>
      <c r="B495" s="1" t="n"/>
      <c r="C495" s="2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  <c r="AW495" s="1" t="n"/>
      <c r="AX495" s="1" t="n"/>
      <c r="AY495" s="1" t="n"/>
      <c r="AZ495" s="1" t="n"/>
      <c r="BA495" s="1" t="n"/>
    </row>
    <row r="496" ht="16.5" customHeight="1" s="220">
      <c r="A496" s="1" t="n"/>
      <c r="B496" s="1" t="n"/>
      <c r="C496" s="2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  <c r="AS496" s="1" t="n"/>
      <c r="AT496" s="1" t="n"/>
      <c r="AU496" s="1" t="n"/>
      <c r="AV496" s="1" t="n"/>
      <c r="AW496" s="1" t="n"/>
      <c r="AX496" s="1" t="n"/>
      <c r="AY496" s="1" t="n"/>
      <c r="AZ496" s="1" t="n"/>
      <c r="BA496" s="1" t="n"/>
    </row>
    <row r="497" ht="16.5" customHeight="1" s="220">
      <c r="A497" s="1" t="n"/>
      <c r="B497" s="1" t="n"/>
      <c r="C497" s="2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  <c r="AW497" s="1" t="n"/>
      <c r="AX497" s="1" t="n"/>
      <c r="AY497" s="1" t="n"/>
      <c r="AZ497" s="1" t="n"/>
      <c r="BA497" s="1" t="n"/>
    </row>
    <row r="498" ht="16.5" customHeight="1" s="220">
      <c r="A498" s="1" t="n"/>
      <c r="B498" s="1" t="n"/>
      <c r="C498" s="2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  <c r="AS498" s="1" t="n"/>
      <c r="AT498" s="1" t="n"/>
      <c r="AU498" s="1" t="n"/>
      <c r="AV498" s="1" t="n"/>
      <c r="AW498" s="1" t="n"/>
      <c r="AX498" s="1" t="n"/>
      <c r="AY498" s="1" t="n"/>
      <c r="AZ498" s="1" t="n"/>
      <c r="BA498" s="1" t="n"/>
    </row>
    <row r="499" ht="16.5" customHeight="1" s="220">
      <c r="A499" s="1" t="n"/>
      <c r="B499" s="1" t="n"/>
      <c r="C499" s="2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  <c r="AW499" s="1" t="n"/>
      <c r="AX499" s="1" t="n"/>
      <c r="AY499" s="1" t="n"/>
      <c r="AZ499" s="1" t="n"/>
      <c r="BA499" s="1" t="n"/>
    </row>
    <row r="500" ht="16.5" customHeight="1" s="220">
      <c r="A500" s="1" t="n"/>
      <c r="B500" s="1" t="n"/>
      <c r="C500" s="2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  <c r="AR500" s="1" t="n"/>
      <c r="AS500" s="1" t="n"/>
      <c r="AT500" s="1" t="n"/>
      <c r="AU500" s="1" t="n"/>
      <c r="AV500" s="1" t="n"/>
      <c r="AW500" s="1" t="n"/>
      <c r="AX500" s="1" t="n"/>
      <c r="AY500" s="1" t="n"/>
      <c r="AZ500" s="1" t="n"/>
      <c r="BA500" s="1" t="n"/>
    </row>
    <row r="501" ht="16.5" customHeight="1" s="220">
      <c r="A501" s="1" t="n"/>
      <c r="B501" s="1" t="n"/>
      <c r="C501" s="2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  <c r="AR501" s="1" t="n"/>
      <c r="AS501" s="1" t="n"/>
      <c r="AT501" s="1" t="n"/>
      <c r="AU501" s="1" t="n"/>
      <c r="AV501" s="1" t="n"/>
      <c r="AW501" s="1" t="n"/>
      <c r="AX501" s="1" t="n"/>
      <c r="AY501" s="1" t="n"/>
      <c r="AZ501" s="1" t="n"/>
      <c r="BA501" s="1" t="n"/>
    </row>
    <row r="502" ht="16.5" customHeight="1" s="220">
      <c r="A502" s="1" t="n"/>
      <c r="B502" s="1" t="n"/>
      <c r="C502" s="2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  <c r="AR502" s="1" t="n"/>
      <c r="AS502" s="1" t="n"/>
      <c r="AT502" s="1" t="n"/>
      <c r="AU502" s="1" t="n"/>
      <c r="AV502" s="1" t="n"/>
      <c r="AW502" s="1" t="n"/>
      <c r="AX502" s="1" t="n"/>
      <c r="AY502" s="1" t="n"/>
      <c r="AZ502" s="1" t="n"/>
      <c r="BA502" s="1" t="n"/>
    </row>
    <row r="503" ht="16.5" customHeight="1" s="220">
      <c r="A503" s="1" t="n"/>
      <c r="B503" s="1" t="n"/>
      <c r="C503" s="2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  <c r="AR503" s="1" t="n"/>
      <c r="AS503" s="1" t="n"/>
      <c r="AT503" s="1" t="n"/>
      <c r="AU503" s="1" t="n"/>
      <c r="AV503" s="1" t="n"/>
      <c r="AW503" s="1" t="n"/>
      <c r="AX503" s="1" t="n"/>
      <c r="AY503" s="1" t="n"/>
      <c r="AZ503" s="1" t="n"/>
      <c r="BA503" s="1" t="n"/>
    </row>
    <row r="504" ht="16.5" customHeight="1" s="220">
      <c r="A504" s="1" t="n"/>
      <c r="B504" s="1" t="n"/>
      <c r="C504" s="2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  <c r="AR504" s="1" t="n"/>
      <c r="AS504" s="1" t="n"/>
      <c r="AT504" s="1" t="n"/>
      <c r="AU504" s="1" t="n"/>
      <c r="AV504" s="1" t="n"/>
      <c r="AW504" s="1" t="n"/>
      <c r="AX504" s="1" t="n"/>
      <c r="AY504" s="1" t="n"/>
      <c r="AZ504" s="1" t="n"/>
      <c r="BA504" s="1" t="n"/>
    </row>
    <row r="505" ht="16.5" customHeight="1" s="220">
      <c r="A505" s="1" t="n"/>
      <c r="B505" s="1" t="n"/>
      <c r="C505" s="2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  <c r="AR505" s="1" t="n"/>
      <c r="AS505" s="1" t="n"/>
      <c r="AT505" s="1" t="n"/>
      <c r="AU505" s="1" t="n"/>
      <c r="AV505" s="1" t="n"/>
      <c r="AW505" s="1" t="n"/>
      <c r="AX505" s="1" t="n"/>
      <c r="AY505" s="1" t="n"/>
      <c r="AZ505" s="1" t="n"/>
      <c r="BA505" s="1" t="n"/>
    </row>
    <row r="506" ht="16.5" customHeight="1" s="220">
      <c r="A506" s="1" t="n"/>
      <c r="B506" s="1" t="n"/>
      <c r="C506" s="2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  <c r="AR506" s="1" t="n"/>
      <c r="AS506" s="1" t="n"/>
      <c r="AT506" s="1" t="n"/>
      <c r="AU506" s="1" t="n"/>
      <c r="AV506" s="1" t="n"/>
      <c r="AW506" s="1" t="n"/>
      <c r="AX506" s="1" t="n"/>
      <c r="AY506" s="1" t="n"/>
      <c r="AZ506" s="1" t="n"/>
      <c r="BA506" s="1" t="n"/>
    </row>
    <row r="507" ht="16.5" customHeight="1" s="220">
      <c r="A507" s="1" t="n"/>
      <c r="B507" s="1" t="n"/>
      <c r="C507" s="2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  <c r="AR507" s="1" t="n"/>
      <c r="AS507" s="1" t="n"/>
      <c r="AT507" s="1" t="n"/>
      <c r="AU507" s="1" t="n"/>
      <c r="AV507" s="1" t="n"/>
      <c r="AW507" s="1" t="n"/>
      <c r="AX507" s="1" t="n"/>
      <c r="AY507" s="1" t="n"/>
      <c r="AZ507" s="1" t="n"/>
      <c r="BA507" s="1" t="n"/>
    </row>
    <row r="508" ht="16.5" customHeight="1" s="220">
      <c r="A508" s="1" t="n"/>
      <c r="B508" s="1" t="n"/>
      <c r="C508" s="2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  <c r="AR508" s="1" t="n"/>
      <c r="AS508" s="1" t="n"/>
      <c r="AT508" s="1" t="n"/>
      <c r="AU508" s="1" t="n"/>
      <c r="AV508" s="1" t="n"/>
      <c r="AW508" s="1" t="n"/>
      <c r="AX508" s="1" t="n"/>
      <c r="AY508" s="1" t="n"/>
      <c r="AZ508" s="1" t="n"/>
      <c r="BA508" s="1" t="n"/>
    </row>
    <row r="509" ht="16.5" customHeight="1" s="220">
      <c r="A509" s="1" t="n"/>
      <c r="B509" s="1" t="n"/>
      <c r="C509" s="2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  <c r="AR509" s="1" t="n"/>
      <c r="AS509" s="1" t="n"/>
      <c r="AT509" s="1" t="n"/>
      <c r="AU509" s="1" t="n"/>
      <c r="AV509" s="1" t="n"/>
      <c r="AW509" s="1" t="n"/>
      <c r="AX509" s="1" t="n"/>
      <c r="AY509" s="1" t="n"/>
      <c r="AZ509" s="1" t="n"/>
      <c r="BA509" s="1" t="n"/>
    </row>
    <row r="510" ht="16.5" customHeight="1" s="220">
      <c r="A510" s="1" t="n"/>
      <c r="B510" s="1" t="n"/>
      <c r="C510" s="2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  <c r="AR510" s="1" t="n"/>
      <c r="AS510" s="1" t="n"/>
      <c r="AT510" s="1" t="n"/>
      <c r="AU510" s="1" t="n"/>
      <c r="AV510" s="1" t="n"/>
      <c r="AW510" s="1" t="n"/>
      <c r="AX510" s="1" t="n"/>
      <c r="AY510" s="1" t="n"/>
      <c r="AZ510" s="1" t="n"/>
      <c r="BA510" s="1" t="n"/>
    </row>
    <row r="511" ht="16.5" customHeight="1" s="220">
      <c r="A511" s="1" t="n"/>
      <c r="B511" s="1" t="n"/>
      <c r="C511" s="2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  <c r="AR511" s="1" t="n"/>
      <c r="AS511" s="1" t="n"/>
      <c r="AT511" s="1" t="n"/>
      <c r="AU511" s="1" t="n"/>
      <c r="AV511" s="1" t="n"/>
      <c r="AW511" s="1" t="n"/>
      <c r="AX511" s="1" t="n"/>
      <c r="AY511" s="1" t="n"/>
      <c r="AZ511" s="1" t="n"/>
      <c r="BA511" s="1" t="n"/>
    </row>
    <row r="512" ht="16.5" customHeight="1" s="220">
      <c r="A512" s="1" t="n"/>
      <c r="B512" s="1" t="n"/>
      <c r="C512" s="2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  <c r="AR512" s="1" t="n"/>
      <c r="AS512" s="1" t="n"/>
      <c r="AT512" s="1" t="n"/>
      <c r="AU512" s="1" t="n"/>
      <c r="AV512" s="1" t="n"/>
      <c r="AW512" s="1" t="n"/>
      <c r="AX512" s="1" t="n"/>
      <c r="AY512" s="1" t="n"/>
      <c r="AZ512" s="1" t="n"/>
      <c r="BA512" s="1" t="n"/>
    </row>
    <row r="513" ht="16.5" customHeight="1" s="220">
      <c r="A513" s="1" t="n"/>
      <c r="B513" s="1" t="n"/>
      <c r="C513" s="2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  <c r="AR513" s="1" t="n"/>
      <c r="AS513" s="1" t="n"/>
      <c r="AT513" s="1" t="n"/>
      <c r="AU513" s="1" t="n"/>
      <c r="AV513" s="1" t="n"/>
      <c r="AW513" s="1" t="n"/>
      <c r="AX513" s="1" t="n"/>
      <c r="AY513" s="1" t="n"/>
      <c r="AZ513" s="1" t="n"/>
      <c r="BA513" s="1" t="n"/>
    </row>
    <row r="514" ht="16.5" customHeight="1" s="220">
      <c r="A514" s="1" t="n"/>
      <c r="B514" s="1" t="n"/>
      <c r="C514" s="2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  <c r="AR514" s="1" t="n"/>
      <c r="AS514" s="1" t="n"/>
      <c r="AT514" s="1" t="n"/>
      <c r="AU514" s="1" t="n"/>
      <c r="AV514" s="1" t="n"/>
      <c r="AW514" s="1" t="n"/>
      <c r="AX514" s="1" t="n"/>
      <c r="AY514" s="1" t="n"/>
      <c r="AZ514" s="1" t="n"/>
      <c r="BA514" s="1" t="n"/>
    </row>
    <row r="515" ht="16.5" customHeight="1" s="220">
      <c r="A515" s="1" t="n"/>
      <c r="B515" s="1" t="n"/>
      <c r="C515" s="2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  <c r="AR515" s="1" t="n"/>
      <c r="AS515" s="1" t="n"/>
      <c r="AT515" s="1" t="n"/>
      <c r="AU515" s="1" t="n"/>
      <c r="AV515" s="1" t="n"/>
      <c r="AW515" s="1" t="n"/>
      <c r="AX515" s="1" t="n"/>
      <c r="AY515" s="1" t="n"/>
      <c r="AZ515" s="1" t="n"/>
      <c r="BA515" s="1" t="n"/>
    </row>
    <row r="516" ht="16.5" customHeight="1" s="220">
      <c r="A516" s="1" t="n"/>
      <c r="B516" s="1" t="n"/>
      <c r="C516" s="2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  <c r="AR516" s="1" t="n"/>
      <c r="AS516" s="1" t="n"/>
      <c r="AT516" s="1" t="n"/>
      <c r="AU516" s="1" t="n"/>
      <c r="AV516" s="1" t="n"/>
      <c r="AW516" s="1" t="n"/>
      <c r="AX516" s="1" t="n"/>
      <c r="AY516" s="1" t="n"/>
      <c r="AZ516" s="1" t="n"/>
      <c r="BA516" s="1" t="n"/>
    </row>
    <row r="517" ht="16.5" customHeight="1" s="220">
      <c r="A517" s="1" t="n"/>
      <c r="B517" s="1" t="n"/>
      <c r="C517" s="2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  <c r="AR517" s="1" t="n"/>
      <c r="AS517" s="1" t="n"/>
      <c r="AT517" s="1" t="n"/>
      <c r="AU517" s="1" t="n"/>
      <c r="AV517" s="1" t="n"/>
      <c r="AW517" s="1" t="n"/>
      <c r="AX517" s="1" t="n"/>
      <c r="AY517" s="1" t="n"/>
      <c r="AZ517" s="1" t="n"/>
      <c r="BA517" s="1" t="n"/>
    </row>
    <row r="518" ht="16.5" customHeight="1" s="220">
      <c r="A518" s="1" t="n"/>
      <c r="B518" s="1" t="n"/>
      <c r="C518" s="2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  <c r="AR518" s="1" t="n"/>
      <c r="AS518" s="1" t="n"/>
      <c r="AT518" s="1" t="n"/>
      <c r="AU518" s="1" t="n"/>
      <c r="AV518" s="1" t="n"/>
      <c r="AW518" s="1" t="n"/>
      <c r="AX518" s="1" t="n"/>
      <c r="AY518" s="1" t="n"/>
      <c r="AZ518" s="1" t="n"/>
      <c r="BA518" s="1" t="n"/>
    </row>
    <row r="519" ht="16.5" customHeight="1" s="220">
      <c r="A519" s="1" t="n"/>
      <c r="B519" s="1" t="n"/>
      <c r="C519" s="2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  <c r="AR519" s="1" t="n"/>
      <c r="AS519" s="1" t="n"/>
      <c r="AT519" s="1" t="n"/>
      <c r="AU519" s="1" t="n"/>
      <c r="AV519" s="1" t="n"/>
      <c r="AW519" s="1" t="n"/>
      <c r="AX519" s="1" t="n"/>
      <c r="AY519" s="1" t="n"/>
      <c r="AZ519" s="1" t="n"/>
      <c r="BA519" s="1" t="n"/>
    </row>
    <row r="520" ht="16.5" customHeight="1" s="220">
      <c r="A520" s="1" t="n"/>
      <c r="B520" s="1" t="n"/>
      <c r="C520" s="2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  <c r="AR520" s="1" t="n"/>
      <c r="AS520" s="1" t="n"/>
      <c r="AT520" s="1" t="n"/>
      <c r="AU520" s="1" t="n"/>
      <c r="AV520" s="1" t="n"/>
      <c r="AW520" s="1" t="n"/>
      <c r="AX520" s="1" t="n"/>
      <c r="AY520" s="1" t="n"/>
      <c r="AZ520" s="1" t="n"/>
      <c r="BA520" s="1" t="n"/>
    </row>
    <row r="521" ht="16.5" customHeight="1" s="220">
      <c r="A521" s="1" t="n"/>
      <c r="B521" s="1" t="n"/>
      <c r="C521" s="2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  <c r="AR521" s="1" t="n"/>
      <c r="AS521" s="1" t="n"/>
      <c r="AT521" s="1" t="n"/>
      <c r="AU521" s="1" t="n"/>
      <c r="AV521" s="1" t="n"/>
      <c r="AW521" s="1" t="n"/>
      <c r="AX521" s="1" t="n"/>
      <c r="AY521" s="1" t="n"/>
      <c r="AZ521" s="1" t="n"/>
      <c r="BA521" s="1" t="n"/>
    </row>
    <row r="522" ht="16.5" customHeight="1" s="220">
      <c r="A522" s="1" t="n"/>
      <c r="B522" s="1" t="n"/>
      <c r="C522" s="2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  <c r="AR522" s="1" t="n"/>
      <c r="AS522" s="1" t="n"/>
      <c r="AT522" s="1" t="n"/>
      <c r="AU522" s="1" t="n"/>
      <c r="AV522" s="1" t="n"/>
      <c r="AW522" s="1" t="n"/>
      <c r="AX522" s="1" t="n"/>
      <c r="AY522" s="1" t="n"/>
      <c r="AZ522" s="1" t="n"/>
      <c r="BA522" s="1" t="n"/>
    </row>
    <row r="523" ht="16.5" customHeight="1" s="220">
      <c r="A523" s="1" t="n"/>
      <c r="B523" s="1" t="n"/>
      <c r="C523" s="2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  <c r="AR523" s="1" t="n"/>
      <c r="AS523" s="1" t="n"/>
      <c r="AT523" s="1" t="n"/>
      <c r="AU523" s="1" t="n"/>
      <c r="AV523" s="1" t="n"/>
      <c r="AW523" s="1" t="n"/>
      <c r="AX523" s="1" t="n"/>
      <c r="AY523" s="1" t="n"/>
      <c r="AZ523" s="1" t="n"/>
      <c r="BA523" s="1" t="n"/>
    </row>
    <row r="524" ht="16.5" customHeight="1" s="220">
      <c r="A524" s="1" t="n"/>
      <c r="B524" s="1" t="n"/>
      <c r="C524" s="2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  <c r="AR524" s="1" t="n"/>
      <c r="AS524" s="1" t="n"/>
      <c r="AT524" s="1" t="n"/>
      <c r="AU524" s="1" t="n"/>
      <c r="AV524" s="1" t="n"/>
      <c r="AW524" s="1" t="n"/>
      <c r="AX524" s="1" t="n"/>
      <c r="AY524" s="1" t="n"/>
      <c r="AZ524" s="1" t="n"/>
      <c r="BA524" s="1" t="n"/>
    </row>
    <row r="525" ht="16.5" customHeight="1" s="220">
      <c r="A525" s="1" t="n"/>
      <c r="B525" s="1" t="n"/>
      <c r="C525" s="2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  <c r="AR525" s="1" t="n"/>
      <c r="AS525" s="1" t="n"/>
      <c r="AT525" s="1" t="n"/>
      <c r="AU525" s="1" t="n"/>
      <c r="AV525" s="1" t="n"/>
      <c r="AW525" s="1" t="n"/>
      <c r="AX525" s="1" t="n"/>
      <c r="AY525" s="1" t="n"/>
      <c r="AZ525" s="1" t="n"/>
      <c r="BA525" s="1" t="n"/>
    </row>
    <row r="526" ht="16.5" customHeight="1" s="220">
      <c r="A526" s="1" t="n"/>
      <c r="B526" s="1" t="n"/>
      <c r="C526" s="2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  <c r="AR526" s="1" t="n"/>
      <c r="AS526" s="1" t="n"/>
      <c r="AT526" s="1" t="n"/>
      <c r="AU526" s="1" t="n"/>
      <c r="AV526" s="1" t="n"/>
      <c r="AW526" s="1" t="n"/>
      <c r="AX526" s="1" t="n"/>
      <c r="AY526" s="1" t="n"/>
      <c r="AZ526" s="1" t="n"/>
      <c r="BA526" s="1" t="n"/>
    </row>
    <row r="527" ht="16.5" customHeight="1" s="220">
      <c r="A527" s="1" t="n"/>
      <c r="B527" s="1" t="n"/>
      <c r="C527" s="2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  <c r="AR527" s="1" t="n"/>
      <c r="AS527" s="1" t="n"/>
      <c r="AT527" s="1" t="n"/>
      <c r="AU527" s="1" t="n"/>
      <c r="AV527" s="1" t="n"/>
      <c r="AW527" s="1" t="n"/>
      <c r="AX527" s="1" t="n"/>
      <c r="AY527" s="1" t="n"/>
      <c r="AZ527" s="1" t="n"/>
      <c r="BA527" s="1" t="n"/>
    </row>
    <row r="528" ht="16.5" customHeight="1" s="220">
      <c r="A528" s="1" t="n"/>
      <c r="B528" s="1" t="n"/>
      <c r="C528" s="2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  <c r="AR528" s="1" t="n"/>
      <c r="AS528" s="1" t="n"/>
      <c r="AT528" s="1" t="n"/>
      <c r="AU528" s="1" t="n"/>
      <c r="AV528" s="1" t="n"/>
      <c r="AW528" s="1" t="n"/>
      <c r="AX528" s="1" t="n"/>
      <c r="AY528" s="1" t="n"/>
      <c r="AZ528" s="1" t="n"/>
      <c r="BA528" s="1" t="n"/>
    </row>
    <row r="529" ht="16.5" customHeight="1" s="220">
      <c r="A529" s="1" t="n"/>
      <c r="B529" s="1" t="n"/>
      <c r="C529" s="2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  <c r="AR529" s="1" t="n"/>
      <c r="AS529" s="1" t="n"/>
      <c r="AT529" s="1" t="n"/>
      <c r="AU529" s="1" t="n"/>
      <c r="AV529" s="1" t="n"/>
      <c r="AW529" s="1" t="n"/>
      <c r="AX529" s="1" t="n"/>
      <c r="AY529" s="1" t="n"/>
      <c r="AZ529" s="1" t="n"/>
      <c r="BA529" s="1" t="n"/>
    </row>
    <row r="530" ht="16.5" customHeight="1" s="220">
      <c r="A530" s="1" t="n"/>
      <c r="B530" s="1" t="n"/>
      <c r="C530" s="2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  <c r="AR530" s="1" t="n"/>
      <c r="AS530" s="1" t="n"/>
      <c r="AT530" s="1" t="n"/>
      <c r="AU530" s="1" t="n"/>
      <c r="AV530" s="1" t="n"/>
      <c r="AW530" s="1" t="n"/>
      <c r="AX530" s="1" t="n"/>
      <c r="AY530" s="1" t="n"/>
      <c r="AZ530" s="1" t="n"/>
      <c r="BA530" s="1" t="n"/>
    </row>
    <row r="531" ht="16.5" customHeight="1" s="220">
      <c r="A531" s="1" t="n"/>
      <c r="B531" s="1" t="n"/>
      <c r="C531" s="2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  <c r="AR531" s="1" t="n"/>
      <c r="AS531" s="1" t="n"/>
      <c r="AT531" s="1" t="n"/>
      <c r="AU531" s="1" t="n"/>
      <c r="AV531" s="1" t="n"/>
      <c r="AW531" s="1" t="n"/>
      <c r="AX531" s="1" t="n"/>
      <c r="AY531" s="1" t="n"/>
      <c r="AZ531" s="1" t="n"/>
      <c r="BA531" s="1" t="n"/>
    </row>
    <row r="532" ht="16.5" customHeight="1" s="220">
      <c r="A532" s="1" t="n"/>
      <c r="B532" s="1" t="n"/>
      <c r="C532" s="2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  <c r="AR532" s="1" t="n"/>
      <c r="AS532" s="1" t="n"/>
      <c r="AT532" s="1" t="n"/>
      <c r="AU532" s="1" t="n"/>
      <c r="AV532" s="1" t="n"/>
      <c r="AW532" s="1" t="n"/>
      <c r="AX532" s="1" t="n"/>
      <c r="AY532" s="1" t="n"/>
      <c r="AZ532" s="1" t="n"/>
      <c r="BA532" s="1" t="n"/>
    </row>
    <row r="533" ht="16.5" customHeight="1" s="220">
      <c r="A533" s="1" t="n"/>
      <c r="B533" s="1" t="n"/>
      <c r="C533" s="2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  <c r="AR533" s="1" t="n"/>
      <c r="AS533" s="1" t="n"/>
      <c r="AT533" s="1" t="n"/>
      <c r="AU533" s="1" t="n"/>
      <c r="AV533" s="1" t="n"/>
      <c r="AW533" s="1" t="n"/>
      <c r="AX533" s="1" t="n"/>
      <c r="AY533" s="1" t="n"/>
      <c r="AZ533" s="1" t="n"/>
      <c r="BA533" s="1" t="n"/>
    </row>
    <row r="534" ht="16.5" customHeight="1" s="220">
      <c r="A534" s="1" t="n"/>
      <c r="B534" s="1" t="n"/>
      <c r="C534" s="2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  <c r="AR534" s="1" t="n"/>
      <c r="AS534" s="1" t="n"/>
      <c r="AT534" s="1" t="n"/>
      <c r="AU534" s="1" t="n"/>
      <c r="AV534" s="1" t="n"/>
      <c r="AW534" s="1" t="n"/>
      <c r="AX534" s="1" t="n"/>
      <c r="AY534" s="1" t="n"/>
      <c r="AZ534" s="1" t="n"/>
      <c r="BA534" s="1" t="n"/>
    </row>
    <row r="535" ht="16.5" customHeight="1" s="220">
      <c r="A535" s="1" t="n"/>
      <c r="B535" s="1" t="n"/>
      <c r="C535" s="2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  <c r="AR535" s="1" t="n"/>
      <c r="AS535" s="1" t="n"/>
      <c r="AT535" s="1" t="n"/>
      <c r="AU535" s="1" t="n"/>
      <c r="AV535" s="1" t="n"/>
      <c r="AW535" s="1" t="n"/>
      <c r="AX535" s="1" t="n"/>
      <c r="AY535" s="1" t="n"/>
      <c r="AZ535" s="1" t="n"/>
      <c r="BA535" s="1" t="n"/>
    </row>
    <row r="536" ht="16.5" customHeight="1" s="220">
      <c r="A536" s="1" t="n"/>
      <c r="B536" s="1" t="n"/>
      <c r="C536" s="2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  <c r="AR536" s="1" t="n"/>
      <c r="AS536" s="1" t="n"/>
      <c r="AT536" s="1" t="n"/>
      <c r="AU536" s="1" t="n"/>
      <c r="AV536" s="1" t="n"/>
      <c r="AW536" s="1" t="n"/>
      <c r="AX536" s="1" t="n"/>
      <c r="AY536" s="1" t="n"/>
      <c r="AZ536" s="1" t="n"/>
      <c r="BA536" s="1" t="n"/>
    </row>
    <row r="537" ht="16.5" customHeight="1" s="220">
      <c r="A537" s="1" t="n"/>
      <c r="B537" s="1" t="n"/>
      <c r="C537" s="2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  <c r="AR537" s="1" t="n"/>
      <c r="AS537" s="1" t="n"/>
      <c r="AT537" s="1" t="n"/>
      <c r="AU537" s="1" t="n"/>
      <c r="AV537" s="1" t="n"/>
      <c r="AW537" s="1" t="n"/>
      <c r="AX537" s="1" t="n"/>
      <c r="AY537" s="1" t="n"/>
      <c r="AZ537" s="1" t="n"/>
      <c r="BA537" s="1" t="n"/>
    </row>
    <row r="538" ht="16.5" customHeight="1" s="220">
      <c r="A538" s="1" t="n"/>
      <c r="B538" s="1" t="n"/>
      <c r="C538" s="2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  <c r="AR538" s="1" t="n"/>
      <c r="AS538" s="1" t="n"/>
      <c r="AT538" s="1" t="n"/>
      <c r="AU538" s="1" t="n"/>
      <c r="AV538" s="1" t="n"/>
      <c r="AW538" s="1" t="n"/>
      <c r="AX538" s="1" t="n"/>
      <c r="AY538" s="1" t="n"/>
      <c r="AZ538" s="1" t="n"/>
      <c r="BA538" s="1" t="n"/>
    </row>
    <row r="539" ht="16.5" customHeight="1" s="220">
      <c r="A539" s="1" t="n"/>
      <c r="B539" s="1" t="n"/>
      <c r="C539" s="2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  <c r="AR539" s="1" t="n"/>
      <c r="AS539" s="1" t="n"/>
      <c r="AT539" s="1" t="n"/>
      <c r="AU539" s="1" t="n"/>
      <c r="AV539" s="1" t="n"/>
      <c r="AW539" s="1" t="n"/>
      <c r="AX539" s="1" t="n"/>
      <c r="AY539" s="1" t="n"/>
      <c r="AZ539" s="1" t="n"/>
      <c r="BA539" s="1" t="n"/>
    </row>
    <row r="540" ht="16.5" customHeight="1" s="220">
      <c r="A540" s="1" t="n"/>
      <c r="B540" s="1" t="n"/>
      <c r="C540" s="2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  <c r="AR540" s="1" t="n"/>
      <c r="AS540" s="1" t="n"/>
      <c r="AT540" s="1" t="n"/>
      <c r="AU540" s="1" t="n"/>
      <c r="AV540" s="1" t="n"/>
      <c r="AW540" s="1" t="n"/>
      <c r="AX540" s="1" t="n"/>
      <c r="AY540" s="1" t="n"/>
      <c r="AZ540" s="1" t="n"/>
      <c r="BA540" s="1" t="n"/>
    </row>
    <row r="541" ht="16.5" customHeight="1" s="220">
      <c r="A541" s="1" t="n"/>
      <c r="B541" s="1" t="n"/>
      <c r="C541" s="2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  <c r="AR541" s="1" t="n"/>
      <c r="AS541" s="1" t="n"/>
      <c r="AT541" s="1" t="n"/>
      <c r="AU541" s="1" t="n"/>
      <c r="AV541" s="1" t="n"/>
      <c r="AW541" s="1" t="n"/>
      <c r="AX541" s="1" t="n"/>
      <c r="AY541" s="1" t="n"/>
      <c r="AZ541" s="1" t="n"/>
      <c r="BA541" s="1" t="n"/>
    </row>
    <row r="542" ht="16.5" customHeight="1" s="220">
      <c r="A542" s="1" t="n"/>
      <c r="B542" s="1" t="n"/>
      <c r="C542" s="2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  <c r="AR542" s="1" t="n"/>
      <c r="AS542" s="1" t="n"/>
      <c r="AT542" s="1" t="n"/>
      <c r="AU542" s="1" t="n"/>
      <c r="AV542" s="1" t="n"/>
      <c r="AW542" s="1" t="n"/>
      <c r="AX542" s="1" t="n"/>
      <c r="AY542" s="1" t="n"/>
      <c r="AZ542" s="1" t="n"/>
      <c r="BA542" s="1" t="n"/>
    </row>
    <row r="543" ht="16.5" customHeight="1" s="220">
      <c r="A543" s="1" t="n"/>
      <c r="B543" s="1" t="n"/>
      <c r="C543" s="2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  <c r="AR543" s="1" t="n"/>
      <c r="AS543" s="1" t="n"/>
      <c r="AT543" s="1" t="n"/>
      <c r="AU543" s="1" t="n"/>
      <c r="AV543" s="1" t="n"/>
      <c r="AW543" s="1" t="n"/>
      <c r="AX543" s="1" t="n"/>
      <c r="AY543" s="1" t="n"/>
      <c r="AZ543" s="1" t="n"/>
      <c r="BA543" s="1" t="n"/>
    </row>
    <row r="544" ht="16.5" customHeight="1" s="220">
      <c r="A544" s="1" t="n"/>
      <c r="B544" s="1" t="n"/>
      <c r="C544" s="2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  <c r="AR544" s="1" t="n"/>
      <c r="AS544" s="1" t="n"/>
      <c r="AT544" s="1" t="n"/>
      <c r="AU544" s="1" t="n"/>
      <c r="AV544" s="1" t="n"/>
      <c r="AW544" s="1" t="n"/>
      <c r="AX544" s="1" t="n"/>
      <c r="AY544" s="1" t="n"/>
      <c r="AZ544" s="1" t="n"/>
      <c r="BA544" s="1" t="n"/>
    </row>
    <row r="545" ht="16.5" customHeight="1" s="220">
      <c r="A545" s="1" t="n"/>
      <c r="B545" s="1" t="n"/>
      <c r="C545" s="2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  <c r="AR545" s="1" t="n"/>
      <c r="AS545" s="1" t="n"/>
      <c r="AT545" s="1" t="n"/>
      <c r="AU545" s="1" t="n"/>
      <c r="AV545" s="1" t="n"/>
      <c r="AW545" s="1" t="n"/>
      <c r="AX545" s="1" t="n"/>
      <c r="AY545" s="1" t="n"/>
      <c r="AZ545" s="1" t="n"/>
      <c r="BA545" s="1" t="n"/>
    </row>
    <row r="546" ht="16.5" customHeight="1" s="220">
      <c r="A546" s="1" t="n"/>
      <c r="B546" s="1" t="n"/>
      <c r="C546" s="2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  <c r="AR546" s="1" t="n"/>
      <c r="AS546" s="1" t="n"/>
      <c r="AT546" s="1" t="n"/>
      <c r="AU546" s="1" t="n"/>
      <c r="AV546" s="1" t="n"/>
      <c r="AW546" s="1" t="n"/>
      <c r="AX546" s="1" t="n"/>
      <c r="AY546" s="1" t="n"/>
      <c r="AZ546" s="1" t="n"/>
      <c r="BA546" s="1" t="n"/>
    </row>
    <row r="547" ht="16.5" customHeight="1" s="220">
      <c r="A547" s="1" t="n"/>
      <c r="B547" s="1" t="n"/>
      <c r="C547" s="2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  <c r="AR547" s="1" t="n"/>
      <c r="AS547" s="1" t="n"/>
      <c r="AT547" s="1" t="n"/>
      <c r="AU547" s="1" t="n"/>
      <c r="AV547" s="1" t="n"/>
      <c r="AW547" s="1" t="n"/>
      <c r="AX547" s="1" t="n"/>
      <c r="AY547" s="1" t="n"/>
      <c r="AZ547" s="1" t="n"/>
      <c r="BA547" s="1" t="n"/>
    </row>
    <row r="548" ht="16.5" customHeight="1" s="220">
      <c r="A548" s="1" t="n"/>
      <c r="B548" s="1" t="n"/>
      <c r="C548" s="2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  <c r="AR548" s="1" t="n"/>
      <c r="AS548" s="1" t="n"/>
      <c r="AT548" s="1" t="n"/>
      <c r="AU548" s="1" t="n"/>
      <c r="AV548" s="1" t="n"/>
      <c r="AW548" s="1" t="n"/>
      <c r="AX548" s="1" t="n"/>
      <c r="AY548" s="1" t="n"/>
      <c r="AZ548" s="1" t="n"/>
      <c r="BA548" s="1" t="n"/>
    </row>
    <row r="549" ht="16.5" customHeight="1" s="220">
      <c r="A549" s="1" t="n"/>
      <c r="B549" s="1" t="n"/>
      <c r="C549" s="2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  <c r="AR549" s="1" t="n"/>
      <c r="AS549" s="1" t="n"/>
      <c r="AT549" s="1" t="n"/>
      <c r="AU549" s="1" t="n"/>
      <c r="AV549" s="1" t="n"/>
      <c r="AW549" s="1" t="n"/>
      <c r="AX549" s="1" t="n"/>
      <c r="AY549" s="1" t="n"/>
      <c r="AZ549" s="1" t="n"/>
      <c r="BA549" s="1" t="n"/>
    </row>
    <row r="550" ht="16.5" customHeight="1" s="220">
      <c r="A550" s="1" t="n"/>
      <c r="B550" s="1" t="n"/>
      <c r="C550" s="2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  <c r="AR550" s="1" t="n"/>
      <c r="AS550" s="1" t="n"/>
      <c r="AT550" s="1" t="n"/>
      <c r="AU550" s="1" t="n"/>
      <c r="AV550" s="1" t="n"/>
      <c r="AW550" s="1" t="n"/>
      <c r="AX550" s="1" t="n"/>
      <c r="AY550" s="1" t="n"/>
      <c r="AZ550" s="1" t="n"/>
      <c r="BA550" s="1" t="n"/>
    </row>
    <row r="551" ht="16.5" customHeight="1" s="220">
      <c r="A551" s="1" t="n"/>
      <c r="B551" s="1" t="n"/>
      <c r="C551" s="2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  <c r="AR551" s="1" t="n"/>
      <c r="AS551" s="1" t="n"/>
      <c r="AT551" s="1" t="n"/>
      <c r="AU551" s="1" t="n"/>
      <c r="AV551" s="1" t="n"/>
      <c r="AW551" s="1" t="n"/>
      <c r="AX551" s="1" t="n"/>
      <c r="AY551" s="1" t="n"/>
      <c r="AZ551" s="1" t="n"/>
      <c r="BA551" s="1" t="n"/>
    </row>
    <row r="552" ht="16.5" customHeight="1" s="220">
      <c r="A552" s="1" t="n"/>
      <c r="B552" s="1" t="n"/>
      <c r="C552" s="2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  <c r="AR552" s="1" t="n"/>
      <c r="AS552" s="1" t="n"/>
      <c r="AT552" s="1" t="n"/>
      <c r="AU552" s="1" t="n"/>
      <c r="AV552" s="1" t="n"/>
      <c r="AW552" s="1" t="n"/>
      <c r="AX552" s="1" t="n"/>
      <c r="AY552" s="1" t="n"/>
      <c r="AZ552" s="1" t="n"/>
      <c r="BA552" s="1" t="n"/>
    </row>
    <row r="553" ht="16.5" customHeight="1" s="220">
      <c r="A553" s="1" t="n"/>
      <c r="B553" s="1" t="n"/>
      <c r="C553" s="2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  <c r="AR553" s="1" t="n"/>
      <c r="AS553" s="1" t="n"/>
      <c r="AT553" s="1" t="n"/>
      <c r="AU553" s="1" t="n"/>
      <c r="AV553" s="1" t="n"/>
      <c r="AW553" s="1" t="n"/>
      <c r="AX553" s="1" t="n"/>
      <c r="AY553" s="1" t="n"/>
      <c r="AZ553" s="1" t="n"/>
      <c r="BA553" s="1" t="n"/>
    </row>
    <row r="554" ht="16.5" customHeight="1" s="220">
      <c r="A554" s="1" t="n"/>
      <c r="B554" s="1" t="n"/>
      <c r="C554" s="2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  <c r="AR554" s="1" t="n"/>
      <c r="AS554" s="1" t="n"/>
      <c r="AT554" s="1" t="n"/>
      <c r="AU554" s="1" t="n"/>
      <c r="AV554" s="1" t="n"/>
      <c r="AW554" s="1" t="n"/>
      <c r="AX554" s="1" t="n"/>
      <c r="AY554" s="1" t="n"/>
      <c r="AZ554" s="1" t="n"/>
      <c r="BA554" s="1" t="n"/>
    </row>
    <row r="555" ht="16.5" customHeight="1" s="220">
      <c r="A555" s="1" t="n"/>
      <c r="B555" s="1" t="n"/>
      <c r="C555" s="2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  <c r="AR555" s="1" t="n"/>
      <c r="AS555" s="1" t="n"/>
      <c r="AT555" s="1" t="n"/>
      <c r="AU555" s="1" t="n"/>
      <c r="AV555" s="1" t="n"/>
      <c r="AW555" s="1" t="n"/>
      <c r="AX555" s="1" t="n"/>
      <c r="AY555" s="1" t="n"/>
      <c r="AZ555" s="1" t="n"/>
      <c r="BA555" s="1" t="n"/>
    </row>
    <row r="556" ht="16.5" customHeight="1" s="220">
      <c r="A556" s="1" t="n"/>
      <c r="B556" s="1" t="n"/>
      <c r="C556" s="2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  <c r="AR556" s="1" t="n"/>
      <c r="AS556" s="1" t="n"/>
      <c r="AT556" s="1" t="n"/>
      <c r="AU556" s="1" t="n"/>
      <c r="AV556" s="1" t="n"/>
      <c r="AW556" s="1" t="n"/>
      <c r="AX556" s="1" t="n"/>
      <c r="AY556" s="1" t="n"/>
      <c r="AZ556" s="1" t="n"/>
      <c r="BA556" s="1" t="n"/>
    </row>
    <row r="557" ht="16.5" customHeight="1" s="220">
      <c r="A557" s="1" t="n"/>
      <c r="B557" s="1" t="n"/>
      <c r="C557" s="2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  <c r="AR557" s="1" t="n"/>
      <c r="AS557" s="1" t="n"/>
      <c r="AT557" s="1" t="n"/>
      <c r="AU557" s="1" t="n"/>
      <c r="AV557" s="1" t="n"/>
      <c r="AW557" s="1" t="n"/>
      <c r="AX557" s="1" t="n"/>
      <c r="AY557" s="1" t="n"/>
      <c r="AZ557" s="1" t="n"/>
      <c r="BA557" s="1" t="n"/>
    </row>
    <row r="558" ht="16.5" customHeight="1" s="220">
      <c r="A558" s="1" t="n"/>
      <c r="B558" s="1" t="n"/>
      <c r="C558" s="2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  <c r="AR558" s="1" t="n"/>
      <c r="AS558" s="1" t="n"/>
      <c r="AT558" s="1" t="n"/>
      <c r="AU558" s="1" t="n"/>
      <c r="AV558" s="1" t="n"/>
      <c r="AW558" s="1" t="n"/>
      <c r="AX558" s="1" t="n"/>
      <c r="AY558" s="1" t="n"/>
      <c r="AZ558" s="1" t="n"/>
      <c r="BA558" s="1" t="n"/>
    </row>
    <row r="559" ht="16.5" customHeight="1" s="220">
      <c r="A559" s="1" t="n"/>
      <c r="B559" s="1" t="n"/>
      <c r="C559" s="2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  <c r="AR559" s="1" t="n"/>
      <c r="AS559" s="1" t="n"/>
      <c r="AT559" s="1" t="n"/>
      <c r="AU559" s="1" t="n"/>
      <c r="AV559" s="1" t="n"/>
      <c r="AW559" s="1" t="n"/>
      <c r="AX559" s="1" t="n"/>
      <c r="AY559" s="1" t="n"/>
      <c r="AZ559" s="1" t="n"/>
      <c r="BA559" s="1" t="n"/>
    </row>
    <row r="560" ht="16.5" customHeight="1" s="220">
      <c r="A560" s="1" t="n"/>
      <c r="B560" s="1" t="n"/>
      <c r="C560" s="2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  <c r="AR560" s="1" t="n"/>
      <c r="AS560" s="1" t="n"/>
      <c r="AT560" s="1" t="n"/>
      <c r="AU560" s="1" t="n"/>
      <c r="AV560" s="1" t="n"/>
      <c r="AW560" s="1" t="n"/>
      <c r="AX560" s="1" t="n"/>
      <c r="AY560" s="1" t="n"/>
      <c r="AZ560" s="1" t="n"/>
      <c r="BA560" s="1" t="n"/>
    </row>
    <row r="561" ht="16.5" customHeight="1" s="220">
      <c r="A561" s="1" t="n"/>
      <c r="B561" s="1" t="n"/>
      <c r="C561" s="2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  <c r="AR561" s="1" t="n"/>
      <c r="AS561" s="1" t="n"/>
      <c r="AT561" s="1" t="n"/>
      <c r="AU561" s="1" t="n"/>
      <c r="AV561" s="1" t="n"/>
      <c r="AW561" s="1" t="n"/>
      <c r="AX561" s="1" t="n"/>
      <c r="AY561" s="1" t="n"/>
      <c r="AZ561" s="1" t="n"/>
      <c r="BA561" s="1" t="n"/>
    </row>
    <row r="562" ht="16.5" customHeight="1" s="220">
      <c r="A562" s="1" t="n"/>
      <c r="B562" s="1" t="n"/>
      <c r="C562" s="2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  <c r="AR562" s="1" t="n"/>
      <c r="AS562" s="1" t="n"/>
      <c r="AT562" s="1" t="n"/>
      <c r="AU562" s="1" t="n"/>
      <c r="AV562" s="1" t="n"/>
      <c r="AW562" s="1" t="n"/>
      <c r="AX562" s="1" t="n"/>
      <c r="AY562" s="1" t="n"/>
      <c r="AZ562" s="1" t="n"/>
      <c r="BA562" s="1" t="n"/>
    </row>
    <row r="563" ht="16.5" customHeight="1" s="220">
      <c r="A563" s="1" t="n"/>
      <c r="B563" s="1" t="n"/>
      <c r="C563" s="2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  <c r="AR563" s="1" t="n"/>
      <c r="AS563" s="1" t="n"/>
      <c r="AT563" s="1" t="n"/>
      <c r="AU563" s="1" t="n"/>
      <c r="AV563" s="1" t="n"/>
      <c r="AW563" s="1" t="n"/>
      <c r="AX563" s="1" t="n"/>
      <c r="AY563" s="1" t="n"/>
      <c r="AZ563" s="1" t="n"/>
      <c r="BA563" s="1" t="n"/>
    </row>
    <row r="564" ht="16.5" customHeight="1" s="220">
      <c r="A564" s="1" t="n"/>
      <c r="B564" s="1" t="n"/>
      <c r="C564" s="2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Q564" s="1" t="n"/>
      <c r="AR564" s="1" t="n"/>
      <c r="AS564" s="1" t="n"/>
      <c r="AT564" s="1" t="n"/>
      <c r="AU564" s="1" t="n"/>
      <c r="AV564" s="1" t="n"/>
      <c r="AW564" s="1" t="n"/>
      <c r="AX564" s="1" t="n"/>
      <c r="AY564" s="1" t="n"/>
      <c r="AZ564" s="1" t="n"/>
      <c r="BA564" s="1" t="n"/>
    </row>
    <row r="565" ht="16.5" customHeight="1" s="220">
      <c r="A565" s="1" t="n"/>
      <c r="B565" s="1" t="n"/>
      <c r="C565" s="2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  <c r="AR565" s="1" t="n"/>
      <c r="AS565" s="1" t="n"/>
      <c r="AT565" s="1" t="n"/>
      <c r="AU565" s="1" t="n"/>
      <c r="AV565" s="1" t="n"/>
      <c r="AW565" s="1" t="n"/>
      <c r="AX565" s="1" t="n"/>
      <c r="AY565" s="1" t="n"/>
      <c r="AZ565" s="1" t="n"/>
      <c r="BA565" s="1" t="n"/>
    </row>
    <row r="566" ht="16.5" customHeight="1" s="220">
      <c r="A566" s="1" t="n"/>
      <c r="B566" s="1" t="n"/>
      <c r="C566" s="2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  <c r="AR566" s="1" t="n"/>
      <c r="AS566" s="1" t="n"/>
      <c r="AT566" s="1" t="n"/>
      <c r="AU566" s="1" t="n"/>
      <c r="AV566" s="1" t="n"/>
      <c r="AW566" s="1" t="n"/>
      <c r="AX566" s="1" t="n"/>
      <c r="AY566" s="1" t="n"/>
      <c r="AZ566" s="1" t="n"/>
      <c r="BA566" s="1" t="n"/>
    </row>
    <row r="567" ht="16.5" customHeight="1" s="220">
      <c r="A567" s="1" t="n"/>
      <c r="B567" s="1" t="n"/>
      <c r="C567" s="2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  <c r="AR567" s="1" t="n"/>
      <c r="AS567" s="1" t="n"/>
      <c r="AT567" s="1" t="n"/>
      <c r="AU567" s="1" t="n"/>
      <c r="AV567" s="1" t="n"/>
      <c r="AW567" s="1" t="n"/>
      <c r="AX567" s="1" t="n"/>
      <c r="AY567" s="1" t="n"/>
      <c r="AZ567" s="1" t="n"/>
      <c r="BA567" s="1" t="n"/>
    </row>
    <row r="568" ht="16.5" customHeight="1" s="220">
      <c r="A568" s="1" t="n"/>
      <c r="B568" s="1" t="n"/>
      <c r="C568" s="2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  <c r="AR568" s="1" t="n"/>
      <c r="AS568" s="1" t="n"/>
      <c r="AT568" s="1" t="n"/>
      <c r="AU568" s="1" t="n"/>
      <c r="AV568" s="1" t="n"/>
      <c r="AW568" s="1" t="n"/>
      <c r="AX568" s="1" t="n"/>
      <c r="AY568" s="1" t="n"/>
      <c r="AZ568" s="1" t="n"/>
      <c r="BA568" s="1" t="n"/>
    </row>
    <row r="569" ht="16.5" customHeight="1" s="220">
      <c r="A569" s="1" t="n"/>
      <c r="B569" s="1" t="n"/>
      <c r="C569" s="2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  <c r="AR569" s="1" t="n"/>
      <c r="AS569" s="1" t="n"/>
      <c r="AT569" s="1" t="n"/>
      <c r="AU569" s="1" t="n"/>
      <c r="AV569" s="1" t="n"/>
      <c r="AW569" s="1" t="n"/>
      <c r="AX569" s="1" t="n"/>
      <c r="AY569" s="1" t="n"/>
      <c r="AZ569" s="1" t="n"/>
      <c r="BA569" s="1" t="n"/>
    </row>
    <row r="570" ht="16.5" customHeight="1" s="220">
      <c r="A570" s="1" t="n"/>
      <c r="B570" s="1" t="n"/>
      <c r="C570" s="2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Q570" s="1" t="n"/>
      <c r="AR570" s="1" t="n"/>
      <c r="AS570" s="1" t="n"/>
      <c r="AT570" s="1" t="n"/>
      <c r="AU570" s="1" t="n"/>
      <c r="AV570" s="1" t="n"/>
      <c r="AW570" s="1" t="n"/>
      <c r="AX570" s="1" t="n"/>
      <c r="AY570" s="1" t="n"/>
      <c r="AZ570" s="1" t="n"/>
      <c r="BA570" s="1" t="n"/>
    </row>
    <row r="571" ht="16.5" customHeight="1" s="220">
      <c r="A571" s="1" t="n"/>
      <c r="B571" s="1" t="n"/>
      <c r="C571" s="2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  <c r="AR571" s="1" t="n"/>
      <c r="AS571" s="1" t="n"/>
      <c r="AT571" s="1" t="n"/>
      <c r="AU571" s="1" t="n"/>
      <c r="AV571" s="1" t="n"/>
      <c r="AW571" s="1" t="n"/>
      <c r="AX571" s="1" t="n"/>
      <c r="AY571" s="1" t="n"/>
      <c r="AZ571" s="1" t="n"/>
      <c r="BA571" s="1" t="n"/>
    </row>
    <row r="572" ht="16.5" customHeight="1" s="220">
      <c r="A572" s="1" t="n"/>
      <c r="B572" s="1" t="n"/>
      <c r="C572" s="2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Q572" s="1" t="n"/>
      <c r="AR572" s="1" t="n"/>
      <c r="AS572" s="1" t="n"/>
      <c r="AT572" s="1" t="n"/>
      <c r="AU572" s="1" t="n"/>
      <c r="AV572" s="1" t="n"/>
      <c r="AW572" s="1" t="n"/>
      <c r="AX572" s="1" t="n"/>
      <c r="AY572" s="1" t="n"/>
      <c r="AZ572" s="1" t="n"/>
      <c r="BA572" s="1" t="n"/>
    </row>
    <row r="573" ht="16.5" customHeight="1" s="220">
      <c r="A573" s="1" t="n"/>
      <c r="B573" s="1" t="n"/>
      <c r="C573" s="2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  <c r="AR573" s="1" t="n"/>
      <c r="AS573" s="1" t="n"/>
      <c r="AT573" s="1" t="n"/>
      <c r="AU573" s="1" t="n"/>
      <c r="AV573" s="1" t="n"/>
      <c r="AW573" s="1" t="n"/>
      <c r="AX573" s="1" t="n"/>
      <c r="AY573" s="1" t="n"/>
      <c r="AZ573" s="1" t="n"/>
      <c r="BA573" s="1" t="n"/>
    </row>
    <row r="574" ht="16.5" customHeight="1" s="220">
      <c r="A574" s="1" t="n"/>
      <c r="B574" s="1" t="n"/>
      <c r="C574" s="2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  <c r="AR574" s="1" t="n"/>
      <c r="AS574" s="1" t="n"/>
      <c r="AT574" s="1" t="n"/>
      <c r="AU574" s="1" t="n"/>
      <c r="AV574" s="1" t="n"/>
      <c r="AW574" s="1" t="n"/>
      <c r="AX574" s="1" t="n"/>
      <c r="AY574" s="1" t="n"/>
      <c r="AZ574" s="1" t="n"/>
      <c r="BA574" s="1" t="n"/>
    </row>
    <row r="575" ht="16.5" customHeight="1" s="220">
      <c r="A575" s="1" t="n"/>
      <c r="B575" s="1" t="n"/>
      <c r="C575" s="2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  <c r="AR575" s="1" t="n"/>
      <c r="AS575" s="1" t="n"/>
      <c r="AT575" s="1" t="n"/>
      <c r="AU575" s="1" t="n"/>
      <c r="AV575" s="1" t="n"/>
      <c r="AW575" s="1" t="n"/>
      <c r="AX575" s="1" t="n"/>
      <c r="AY575" s="1" t="n"/>
      <c r="AZ575" s="1" t="n"/>
      <c r="BA575" s="1" t="n"/>
    </row>
    <row r="576" ht="16.5" customHeight="1" s="220">
      <c r="A576" s="1" t="n"/>
      <c r="B576" s="1" t="n"/>
      <c r="C576" s="2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  <c r="AR576" s="1" t="n"/>
      <c r="AS576" s="1" t="n"/>
      <c r="AT576" s="1" t="n"/>
      <c r="AU576" s="1" t="n"/>
      <c r="AV576" s="1" t="n"/>
      <c r="AW576" s="1" t="n"/>
      <c r="AX576" s="1" t="n"/>
      <c r="AY576" s="1" t="n"/>
      <c r="AZ576" s="1" t="n"/>
      <c r="BA576" s="1" t="n"/>
    </row>
    <row r="577" ht="16.5" customHeight="1" s="220">
      <c r="A577" s="1" t="n"/>
      <c r="B577" s="1" t="n"/>
      <c r="C577" s="2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  <c r="AR577" s="1" t="n"/>
      <c r="AS577" s="1" t="n"/>
      <c r="AT577" s="1" t="n"/>
      <c r="AU577" s="1" t="n"/>
      <c r="AV577" s="1" t="n"/>
      <c r="AW577" s="1" t="n"/>
      <c r="AX577" s="1" t="n"/>
      <c r="AY577" s="1" t="n"/>
      <c r="AZ577" s="1" t="n"/>
      <c r="BA577" s="1" t="n"/>
    </row>
    <row r="578" ht="16.5" customHeight="1" s="220">
      <c r="A578" s="1" t="n"/>
      <c r="B578" s="1" t="n"/>
      <c r="C578" s="2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  <c r="AR578" s="1" t="n"/>
      <c r="AS578" s="1" t="n"/>
      <c r="AT578" s="1" t="n"/>
      <c r="AU578" s="1" t="n"/>
      <c r="AV578" s="1" t="n"/>
      <c r="AW578" s="1" t="n"/>
      <c r="AX578" s="1" t="n"/>
      <c r="AY578" s="1" t="n"/>
      <c r="AZ578" s="1" t="n"/>
      <c r="BA578" s="1" t="n"/>
    </row>
    <row r="579" ht="16.5" customHeight="1" s="220">
      <c r="A579" s="1" t="n"/>
      <c r="B579" s="1" t="n"/>
      <c r="C579" s="2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  <c r="AR579" s="1" t="n"/>
      <c r="AS579" s="1" t="n"/>
      <c r="AT579" s="1" t="n"/>
      <c r="AU579" s="1" t="n"/>
      <c r="AV579" s="1" t="n"/>
      <c r="AW579" s="1" t="n"/>
      <c r="AX579" s="1" t="n"/>
      <c r="AY579" s="1" t="n"/>
      <c r="AZ579" s="1" t="n"/>
      <c r="BA579" s="1" t="n"/>
    </row>
    <row r="580" ht="16.5" customHeight="1" s="220">
      <c r="A580" s="1" t="n"/>
      <c r="B580" s="1" t="n"/>
      <c r="C580" s="2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  <c r="AR580" s="1" t="n"/>
      <c r="AS580" s="1" t="n"/>
      <c r="AT580" s="1" t="n"/>
      <c r="AU580" s="1" t="n"/>
      <c r="AV580" s="1" t="n"/>
      <c r="AW580" s="1" t="n"/>
      <c r="AX580" s="1" t="n"/>
      <c r="AY580" s="1" t="n"/>
      <c r="AZ580" s="1" t="n"/>
      <c r="BA580" s="1" t="n"/>
    </row>
    <row r="581" ht="16.5" customHeight="1" s="220">
      <c r="A581" s="1" t="n"/>
      <c r="B581" s="1" t="n"/>
      <c r="C581" s="2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  <c r="AR581" s="1" t="n"/>
      <c r="AS581" s="1" t="n"/>
      <c r="AT581" s="1" t="n"/>
      <c r="AU581" s="1" t="n"/>
      <c r="AV581" s="1" t="n"/>
      <c r="AW581" s="1" t="n"/>
      <c r="AX581" s="1" t="n"/>
      <c r="AY581" s="1" t="n"/>
      <c r="AZ581" s="1" t="n"/>
      <c r="BA581" s="1" t="n"/>
    </row>
    <row r="582" ht="16.5" customHeight="1" s="220">
      <c r="A582" s="1" t="n"/>
      <c r="B582" s="1" t="n"/>
      <c r="C582" s="2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Q582" s="1" t="n"/>
      <c r="AR582" s="1" t="n"/>
      <c r="AS582" s="1" t="n"/>
      <c r="AT582" s="1" t="n"/>
      <c r="AU582" s="1" t="n"/>
      <c r="AV582" s="1" t="n"/>
      <c r="AW582" s="1" t="n"/>
      <c r="AX582" s="1" t="n"/>
      <c r="AY582" s="1" t="n"/>
      <c r="AZ582" s="1" t="n"/>
      <c r="BA582" s="1" t="n"/>
    </row>
    <row r="583" ht="16.5" customHeight="1" s="220">
      <c r="A583" s="1" t="n"/>
      <c r="B583" s="1" t="n"/>
      <c r="C583" s="2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  <c r="AR583" s="1" t="n"/>
      <c r="AS583" s="1" t="n"/>
      <c r="AT583" s="1" t="n"/>
      <c r="AU583" s="1" t="n"/>
      <c r="AV583" s="1" t="n"/>
      <c r="AW583" s="1" t="n"/>
      <c r="AX583" s="1" t="n"/>
      <c r="AY583" s="1" t="n"/>
      <c r="AZ583" s="1" t="n"/>
      <c r="BA583" s="1" t="n"/>
    </row>
    <row r="584" ht="16.5" customHeight="1" s="220">
      <c r="A584" s="1" t="n"/>
      <c r="B584" s="1" t="n"/>
      <c r="C584" s="2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  <c r="AR584" s="1" t="n"/>
      <c r="AS584" s="1" t="n"/>
      <c r="AT584" s="1" t="n"/>
      <c r="AU584" s="1" t="n"/>
      <c r="AV584" s="1" t="n"/>
      <c r="AW584" s="1" t="n"/>
      <c r="AX584" s="1" t="n"/>
      <c r="AY584" s="1" t="n"/>
      <c r="AZ584" s="1" t="n"/>
      <c r="BA584" s="1" t="n"/>
    </row>
    <row r="585" ht="16.5" customHeight="1" s="220">
      <c r="A585" s="1" t="n"/>
      <c r="B585" s="1" t="n"/>
      <c r="C585" s="2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  <c r="AR585" s="1" t="n"/>
      <c r="AS585" s="1" t="n"/>
      <c r="AT585" s="1" t="n"/>
      <c r="AU585" s="1" t="n"/>
      <c r="AV585" s="1" t="n"/>
      <c r="AW585" s="1" t="n"/>
      <c r="AX585" s="1" t="n"/>
      <c r="AY585" s="1" t="n"/>
      <c r="AZ585" s="1" t="n"/>
      <c r="BA585" s="1" t="n"/>
    </row>
    <row r="586" ht="16.5" customHeight="1" s="220">
      <c r="A586" s="1" t="n"/>
      <c r="B586" s="1" t="n"/>
      <c r="C586" s="2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  <c r="AR586" s="1" t="n"/>
      <c r="AS586" s="1" t="n"/>
      <c r="AT586" s="1" t="n"/>
      <c r="AU586" s="1" t="n"/>
      <c r="AV586" s="1" t="n"/>
      <c r="AW586" s="1" t="n"/>
      <c r="AX586" s="1" t="n"/>
      <c r="AY586" s="1" t="n"/>
      <c r="AZ586" s="1" t="n"/>
      <c r="BA586" s="1" t="n"/>
    </row>
    <row r="587" ht="16.5" customHeight="1" s="220">
      <c r="A587" s="1" t="n"/>
      <c r="B587" s="1" t="n"/>
      <c r="C587" s="2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  <c r="AR587" s="1" t="n"/>
      <c r="AS587" s="1" t="n"/>
      <c r="AT587" s="1" t="n"/>
      <c r="AU587" s="1" t="n"/>
      <c r="AV587" s="1" t="n"/>
      <c r="AW587" s="1" t="n"/>
      <c r="AX587" s="1" t="n"/>
      <c r="AY587" s="1" t="n"/>
      <c r="AZ587" s="1" t="n"/>
      <c r="BA587" s="1" t="n"/>
    </row>
    <row r="588" ht="16.5" customHeight="1" s="220">
      <c r="A588" s="1" t="n"/>
      <c r="B588" s="1" t="n"/>
      <c r="C588" s="2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Q588" s="1" t="n"/>
      <c r="AR588" s="1" t="n"/>
      <c r="AS588" s="1" t="n"/>
      <c r="AT588" s="1" t="n"/>
      <c r="AU588" s="1" t="n"/>
      <c r="AV588" s="1" t="n"/>
      <c r="AW588" s="1" t="n"/>
      <c r="AX588" s="1" t="n"/>
      <c r="AY588" s="1" t="n"/>
      <c r="AZ588" s="1" t="n"/>
      <c r="BA588" s="1" t="n"/>
    </row>
    <row r="589" ht="16.5" customHeight="1" s="220">
      <c r="A589" s="1" t="n"/>
      <c r="B589" s="1" t="n"/>
      <c r="C589" s="2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  <c r="AR589" s="1" t="n"/>
      <c r="AS589" s="1" t="n"/>
      <c r="AT589" s="1" t="n"/>
      <c r="AU589" s="1" t="n"/>
      <c r="AV589" s="1" t="n"/>
      <c r="AW589" s="1" t="n"/>
      <c r="AX589" s="1" t="n"/>
      <c r="AY589" s="1" t="n"/>
      <c r="AZ589" s="1" t="n"/>
      <c r="BA589" s="1" t="n"/>
    </row>
    <row r="590" ht="16.5" customHeight="1" s="220">
      <c r="A590" s="1" t="n"/>
      <c r="B590" s="1" t="n"/>
      <c r="C590" s="2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  <c r="AR590" s="1" t="n"/>
      <c r="AS590" s="1" t="n"/>
      <c r="AT590" s="1" t="n"/>
      <c r="AU590" s="1" t="n"/>
      <c r="AV590" s="1" t="n"/>
      <c r="AW590" s="1" t="n"/>
      <c r="AX590" s="1" t="n"/>
      <c r="AY590" s="1" t="n"/>
      <c r="AZ590" s="1" t="n"/>
      <c r="BA590" s="1" t="n"/>
    </row>
    <row r="591" ht="16.5" customHeight="1" s="220">
      <c r="A591" s="1" t="n"/>
      <c r="B591" s="1" t="n"/>
      <c r="C591" s="2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  <c r="AR591" s="1" t="n"/>
      <c r="AS591" s="1" t="n"/>
      <c r="AT591" s="1" t="n"/>
      <c r="AU591" s="1" t="n"/>
      <c r="AV591" s="1" t="n"/>
      <c r="AW591" s="1" t="n"/>
      <c r="AX591" s="1" t="n"/>
      <c r="AY591" s="1" t="n"/>
      <c r="AZ591" s="1" t="n"/>
      <c r="BA591" s="1" t="n"/>
    </row>
    <row r="592" ht="16.5" customHeight="1" s="220">
      <c r="A592" s="1" t="n"/>
      <c r="B592" s="1" t="n"/>
      <c r="C592" s="2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Q592" s="1" t="n"/>
      <c r="AR592" s="1" t="n"/>
      <c r="AS592" s="1" t="n"/>
      <c r="AT592" s="1" t="n"/>
      <c r="AU592" s="1" t="n"/>
      <c r="AV592" s="1" t="n"/>
      <c r="AW592" s="1" t="n"/>
      <c r="AX592" s="1" t="n"/>
      <c r="AY592" s="1" t="n"/>
      <c r="AZ592" s="1" t="n"/>
      <c r="BA592" s="1" t="n"/>
    </row>
    <row r="593" ht="16.5" customHeight="1" s="220">
      <c r="A593" s="1" t="n"/>
      <c r="B593" s="1" t="n"/>
      <c r="C593" s="2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  <c r="AR593" s="1" t="n"/>
      <c r="AS593" s="1" t="n"/>
      <c r="AT593" s="1" t="n"/>
      <c r="AU593" s="1" t="n"/>
      <c r="AV593" s="1" t="n"/>
      <c r="AW593" s="1" t="n"/>
      <c r="AX593" s="1" t="n"/>
      <c r="AY593" s="1" t="n"/>
      <c r="AZ593" s="1" t="n"/>
      <c r="BA593" s="1" t="n"/>
    </row>
    <row r="594" ht="16.5" customHeight="1" s="220">
      <c r="A594" s="1" t="n"/>
      <c r="B594" s="1" t="n"/>
      <c r="C594" s="2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Q594" s="1" t="n"/>
      <c r="AR594" s="1" t="n"/>
      <c r="AS594" s="1" t="n"/>
      <c r="AT594" s="1" t="n"/>
      <c r="AU594" s="1" t="n"/>
      <c r="AV594" s="1" t="n"/>
      <c r="AW594" s="1" t="n"/>
      <c r="AX594" s="1" t="n"/>
      <c r="AY594" s="1" t="n"/>
      <c r="AZ594" s="1" t="n"/>
      <c r="BA594" s="1" t="n"/>
    </row>
    <row r="595" ht="16.5" customHeight="1" s="220">
      <c r="A595" s="1" t="n"/>
      <c r="B595" s="1" t="n"/>
      <c r="C595" s="2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  <c r="AR595" s="1" t="n"/>
      <c r="AS595" s="1" t="n"/>
      <c r="AT595" s="1" t="n"/>
      <c r="AU595" s="1" t="n"/>
      <c r="AV595" s="1" t="n"/>
      <c r="AW595" s="1" t="n"/>
      <c r="AX595" s="1" t="n"/>
      <c r="AY595" s="1" t="n"/>
      <c r="AZ595" s="1" t="n"/>
      <c r="BA595" s="1" t="n"/>
    </row>
    <row r="596" ht="16.5" customHeight="1" s="220">
      <c r="A596" s="1" t="n"/>
      <c r="B596" s="1" t="n"/>
      <c r="C596" s="2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  <c r="AR596" s="1" t="n"/>
      <c r="AS596" s="1" t="n"/>
      <c r="AT596" s="1" t="n"/>
      <c r="AU596" s="1" t="n"/>
      <c r="AV596" s="1" t="n"/>
      <c r="AW596" s="1" t="n"/>
      <c r="AX596" s="1" t="n"/>
      <c r="AY596" s="1" t="n"/>
      <c r="AZ596" s="1" t="n"/>
      <c r="BA596" s="1" t="n"/>
    </row>
    <row r="597" ht="16.5" customHeight="1" s="220">
      <c r="A597" s="1" t="n"/>
      <c r="B597" s="1" t="n"/>
      <c r="C597" s="2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  <c r="AR597" s="1" t="n"/>
      <c r="AS597" s="1" t="n"/>
      <c r="AT597" s="1" t="n"/>
      <c r="AU597" s="1" t="n"/>
      <c r="AV597" s="1" t="n"/>
      <c r="AW597" s="1" t="n"/>
      <c r="AX597" s="1" t="n"/>
      <c r="AY597" s="1" t="n"/>
      <c r="AZ597" s="1" t="n"/>
      <c r="BA597" s="1" t="n"/>
    </row>
    <row r="598" ht="16.5" customHeight="1" s="220">
      <c r="A598" s="1" t="n"/>
      <c r="B598" s="1" t="n"/>
      <c r="C598" s="2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Q598" s="1" t="n"/>
      <c r="AR598" s="1" t="n"/>
      <c r="AS598" s="1" t="n"/>
      <c r="AT598" s="1" t="n"/>
      <c r="AU598" s="1" t="n"/>
      <c r="AV598" s="1" t="n"/>
      <c r="AW598" s="1" t="n"/>
      <c r="AX598" s="1" t="n"/>
      <c r="AY598" s="1" t="n"/>
      <c r="AZ598" s="1" t="n"/>
      <c r="BA598" s="1" t="n"/>
    </row>
    <row r="599" ht="16.5" customHeight="1" s="220">
      <c r="A599" s="1" t="n"/>
      <c r="B599" s="1" t="n"/>
      <c r="C599" s="2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  <c r="AR599" s="1" t="n"/>
      <c r="AS599" s="1" t="n"/>
      <c r="AT599" s="1" t="n"/>
      <c r="AU599" s="1" t="n"/>
      <c r="AV599" s="1" t="n"/>
      <c r="AW599" s="1" t="n"/>
      <c r="AX599" s="1" t="n"/>
      <c r="AY599" s="1" t="n"/>
      <c r="AZ599" s="1" t="n"/>
      <c r="BA599" s="1" t="n"/>
    </row>
    <row r="600" ht="16.5" customHeight="1" s="220">
      <c r="A600" s="1" t="n"/>
      <c r="B600" s="1" t="n"/>
      <c r="C600" s="2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Q600" s="1" t="n"/>
      <c r="AR600" s="1" t="n"/>
      <c r="AS600" s="1" t="n"/>
      <c r="AT600" s="1" t="n"/>
      <c r="AU600" s="1" t="n"/>
      <c r="AV600" s="1" t="n"/>
      <c r="AW600" s="1" t="n"/>
      <c r="AX600" s="1" t="n"/>
      <c r="AY600" s="1" t="n"/>
      <c r="AZ600" s="1" t="n"/>
      <c r="BA600" s="1" t="n"/>
    </row>
    <row r="601" ht="16.5" customHeight="1" s="220">
      <c r="A601" s="1" t="n"/>
      <c r="B601" s="1" t="n"/>
      <c r="C601" s="2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  <c r="AR601" s="1" t="n"/>
      <c r="AS601" s="1" t="n"/>
      <c r="AT601" s="1" t="n"/>
      <c r="AU601" s="1" t="n"/>
      <c r="AV601" s="1" t="n"/>
      <c r="AW601" s="1" t="n"/>
      <c r="AX601" s="1" t="n"/>
      <c r="AY601" s="1" t="n"/>
      <c r="AZ601" s="1" t="n"/>
      <c r="BA601" s="1" t="n"/>
    </row>
    <row r="602" ht="16.5" customHeight="1" s="220">
      <c r="A602" s="1" t="n"/>
      <c r="B602" s="1" t="n"/>
      <c r="C602" s="2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Q602" s="1" t="n"/>
      <c r="AR602" s="1" t="n"/>
      <c r="AS602" s="1" t="n"/>
      <c r="AT602" s="1" t="n"/>
      <c r="AU602" s="1" t="n"/>
      <c r="AV602" s="1" t="n"/>
      <c r="AW602" s="1" t="n"/>
      <c r="AX602" s="1" t="n"/>
      <c r="AY602" s="1" t="n"/>
      <c r="AZ602" s="1" t="n"/>
      <c r="BA602" s="1" t="n"/>
    </row>
    <row r="603" ht="16.5" customHeight="1" s="220">
      <c r="A603" s="1" t="n"/>
      <c r="B603" s="1" t="n"/>
      <c r="C603" s="2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  <c r="AR603" s="1" t="n"/>
      <c r="AS603" s="1" t="n"/>
      <c r="AT603" s="1" t="n"/>
      <c r="AU603" s="1" t="n"/>
      <c r="AV603" s="1" t="n"/>
      <c r="AW603" s="1" t="n"/>
      <c r="AX603" s="1" t="n"/>
      <c r="AY603" s="1" t="n"/>
      <c r="AZ603" s="1" t="n"/>
      <c r="BA603" s="1" t="n"/>
    </row>
    <row r="604" ht="16.5" customHeight="1" s="220">
      <c r="A604" s="1" t="n"/>
      <c r="B604" s="1" t="n"/>
      <c r="C604" s="2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  <c r="AR604" s="1" t="n"/>
      <c r="AS604" s="1" t="n"/>
      <c r="AT604" s="1" t="n"/>
      <c r="AU604" s="1" t="n"/>
      <c r="AV604" s="1" t="n"/>
      <c r="AW604" s="1" t="n"/>
      <c r="AX604" s="1" t="n"/>
      <c r="AY604" s="1" t="n"/>
      <c r="AZ604" s="1" t="n"/>
      <c r="BA604" s="1" t="n"/>
    </row>
    <row r="605" ht="16.5" customHeight="1" s="220">
      <c r="A605" s="1" t="n"/>
      <c r="B605" s="1" t="n"/>
      <c r="C605" s="2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  <c r="AR605" s="1" t="n"/>
      <c r="AS605" s="1" t="n"/>
      <c r="AT605" s="1" t="n"/>
      <c r="AU605" s="1" t="n"/>
      <c r="AV605" s="1" t="n"/>
      <c r="AW605" s="1" t="n"/>
      <c r="AX605" s="1" t="n"/>
      <c r="AY605" s="1" t="n"/>
      <c r="AZ605" s="1" t="n"/>
      <c r="BA605" s="1" t="n"/>
    </row>
    <row r="606" ht="16.5" customHeight="1" s="220">
      <c r="A606" s="1" t="n"/>
      <c r="B606" s="1" t="n"/>
      <c r="C606" s="2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  <c r="AR606" s="1" t="n"/>
      <c r="AS606" s="1" t="n"/>
      <c r="AT606" s="1" t="n"/>
      <c r="AU606" s="1" t="n"/>
      <c r="AV606" s="1" t="n"/>
      <c r="AW606" s="1" t="n"/>
      <c r="AX606" s="1" t="n"/>
      <c r="AY606" s="1" t="n"/>
      <c r="AZ606" s="1" t="n"/>
      <c r="BA606" s="1" t="n"/>
    </row>
    <row r="607" ht="16.5" customHeight="1" s="220">
      <c r="A607" s="1" t="n"/>
      <c r="B607" s="1" t="n"/>
      <c r="C607" s="2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  <c r="AR607" s="1" t="n"/>
      <c r="AS607" s="1" t="n"/>
      <c r="AT607" s="1" t="n"/>
      <c r="AU607" s="1" t="n"/>
      <c r="AV607" s="1" t="n"/>
      <c r="AW607" s="1" t="n"/>
      <c r="AX607" s="1" t="n"/>
      <c r="AY607" s="1" t="n"/>
      <c r="AZ607" s="1" t="n"/>
      <c r="BA607" s="1" t="n"/>
    </row>
    <row r="608" ht="16.5" customHeight="1" s="220">
      <c r="A608" s="1" t="n"/>
      <c r="B608" s="1" t="n"/>
      <c r="C608" s="2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  <c r="AR608" s="1" t="n"/>
      <c r="AS608" s="1" t="n"/>
      <c r="AT608" s="1" t="n"/>
      <c r="AU608" s="1" t="n"/>
      <c r="AV608" s="1" t="n"/>
      <c r="AW608" s="1" t="n"/>
      <c r="AX608" s="1" t="n"/>
      <c r="AY608" s="1" t="n"/>
      <c r="AZ608" s="1" t="n"/>
      <c r="BA608" s="1" t="n"/>
    </row>
    <row r="609" ht="16.5" customHeight="1" s="220">
      <c r="A609" s="1" t="n"/>
      <c r="B609" s="1" t="n"/>
      <c r="C609" s="2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  <c r="AR609" s="1" t="n"/>
      <c r="AS609" s="1" t="n"/>
      <c r="AT609" s="1" t="n"/>
      <c r="AU609" s="1" t="n"/>
      <c r="AV609" s="1" t="n"/>
      <c r="AW609" s="1" t="n"/>
      <c r="AX609" s="1" t="n"/>
      <c r="AY609" s="1" t="n"/>
      <c r="AZ609" s="1" t="n"/>
      <c r="BA609" s="1" t="n"/>
    </row>
    <row r="610" ht="16.5" customHeight="1" s="220">
      <c r="A610" s="1" t="n"/>
      <c r="B610" s="1" t="n"/>
      <c r="C610" s="2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  <c r="AR610" s="1" t="n"/>
      <c r="AS610" s="1" t="n"/>
      <c r="AT610" s="1" t="n"/>
      <c r="AU610" s="1" t="n"/>
      <c r="AV610" s="1" t="n"/>
      <c r="AW610" s="1" t="n"/>
      <c r="AX610" s="1" t="n"/>
      <c r="AY610" s="1" t="n"/>
      <c r="AZ610" s="1" t="n"/>
      <c r="BA610" s="1" t="n"/>
    </row>
    <row r="611" ht="16.5" customHeight="1" s="220">
      <c r="A611" s="1" t="n"/>
      <c r="B611" s="1" t="n"/>
      <c r="C611" s="2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  <c r="AR611" s="1" t="n"/>
      <c r="AS611" s="1" t="n"/>
      <c r="AT611" s="1" t="n"/>
      <c r="AU611" s="1" t="n"/>
      <c r="AV611" s="1" t="n"/>
      <c r="AW611" s="1" t="n"/>
      <c r="AX611" s="1" t="n"/>
      <c r="AY611" s="1" t="n"/>
      <c r="AZ611" s="1" t="n"/>
      <c r="BA611" s="1" t="n"/>
    </row>
    <row r="612" ht="16.5" customHeight="1" s="220">
      <c r="A612" s="1" t="n"/>
      <c r="B612" s="1" t="n"/>
      <c r="C612" s="2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  <c r="AR612" s="1" t="n"/>
      <c r="AS612" s="1" t="n"/>
      <c r="AT612" s="1" t="n"/>
      <c r="AU612" s="1" t="n"/>
      <c r="AV612" s="1" t="n"/>
      <c r="AW612" s="1" t="n"/>
      <c r="AX612" s="1" t="n"/>
      <c r="AY612" s="1" t="n"/>
      <c r="AZ612" s="1" t="n"/>
      <c r="BA612" s="1" t="n"/>
    </row>
    <row r="613" ht="16.5" customHeight="1" s="220">
      <c r="A613" s="1" t="n"/>
      <c r="B613" s="1" t="n"/>
      <c r="C613" s="2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  <c r="AR613" s="1" t="n"/>
      <c r="AS613" s="1" t="n"/>
      <c r="AT613" s="1" t="n"/>
      <c r="AU613" s="1" t="n"/>
      <c r="AV613" s="1" t="n"/>
      <c r="AW613" s="1" t="n"/>
      <c r="AX613" s="1" t="n"/>
      <c r="AY613" s="1" t="n"/>
      <c r="AZ613" s="1" t="n"/>
      <c r="BA613" s="1" t="n"/>
    </row>
    <row r="614" ht="16.5" customHeight="1" s="220">
      <c r="A614" s="1" t="n"/>
      <c r="B614" s="1" t="n"/>
      <c r="C614" s="2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  <c r="AR614" s="1" t="n"/>
      <c r="AS614" s="1" t="n"/>
      <c r="AT614" s="1" t="n"/>
      <c r="AU614" s="1" t="n"/>
      <c r="AV614" s="1" t="n"/>
      <c r="AW614" s="1" t="n"/>
      <c r="AX614" s="1" t="n"/>
      <c r="AY614" s="1" t="n"/>
      <c r="AZ614" s="1" t="n"/>
      <c r="BA614" s="1" t="n"/>
    </row>
    <row r="615" ht="16.5" customHeight="1" s="220">
      <c r="A615" s="1" t="n"/>
      <c r="B615" s="1" t="n"/>
      <c r="C615" s="2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  <c r="AR615" s="1" t="n"/>
      <c r="AS615" s="1" t="n"/>
      <c r="AT615" s="1" t="n"/>
      <c r="AU615" s="1" t="n"/>
      <c r="AV615" s="1" t="n"/>
      <c r="AW615" s="1" t="n"/>
      <c r="AX615" s="1" t="n"/>
      <c r="AY615" s="1" t="n"/>
      <c r="AZ615" s="1" t="n"/>
      <c r="BA615" s="1" t="n"/>
    </row>
    <row r="616" ht="16.5" customHeight="1" s="220">
      <c r="A616" s="1" t="n"/>
      <c r="B616" s="1" t="n"/>
      <c r="C616" s="2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  <c r="AR616" s="1" t="n"/>
      <c r="AS616" s="1" t="n"/>
      <c r="AT616" s="1" t="n"/>
      <c r="AU616" s="1" t="n"/>
      <c r="AV616" s="1" t="n"/>
      <c r="AW616" s="1" t="n"/>
      <c r="AX616" s="1" t="n"/>
      <c r="AY616" s="1" t="n"/>
      <c r="AZ616" s="1" t="n"/>
      <c r="BA616" s="1" t="n"/>
    </row>
    <row r="617" ht="16.5" customHeight="1" s="220">
      <c r="A617" s="1" t="n"/>
      <c r="B617" s="1" t="n"/>
      <c r="C617" s="2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  <c r="AR617" s="1" t="n"/>
      <c r="AS617" s="1" t="n"/>
      <c r="AT617" s="1" t="n"/>
      <c r="AU617" s="1" t="n"/>
      <c r="AV617" s="1" t="n"/>
      <c r="AW617" s="1" t="n"/>
      <c r="AX617" s="1" t="n"/>
      <c r="AY617" s="1" t="n"/>
      <c r="AZ617" s="1" t="n"/>
      <c r="BA617" s="1" t="n"/>
    </row>
    <row r="618" ht="16.5" customHeight="1" s="220">
      <c r="A618" s="1" t="n"/>
      <c r="B618" s="1" t="n"/>
      <c r="C618" s="2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  <c r="AR618" s="1" t="n"/>
      <c r="AS618" s="1" t="n"/>
      <c r="AT618" s="1" t="n"/>
      <c r="AU618" s="1" t="n"/>
      <c r="AV618" s="1" t="n"/>
      <c r="AW618" s="1" t="n"/>
      <c r="AX618" s="1" t="n"/>
      <c r="AY618" s="1" t="n"/>
      <c r="AZ618" s="1" t="n"/>
      <c r="BA618" s="1" t="n"/>
    </row>
    <row r="619" ht="16.5" customHeight="1" s="220">
      <c r="A619" s="1" t="n"/>
      <c r="B619" s="1" t="n"/>
      <c r="C619" s="2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  <c r="AR619" s="1" t="n"/>
      <c r="AS619" s="1" t="n"/>
      <c r="AT619" s="1" t="n"/>
      <c r="AU619" s="1" t="n"/>
      <c r="AV619" s="1" t="n"/>
      <c r="AW619" s="1" t="n"/>
      <c r="AX619" s="1" t="n"/>
      <c r="AY619" s="1" t="n"/>
      <c r="AZ619" s="1" t="n"/>
      <c r="BA619" s="1" t="n"/>
    </row>
    <row r="620" ht="16.5" customHeight="1" s="220">
      <c r="A620" s="1" t="n"/>
      <c r="B620" s="1" t="n"/>
      <c r="C620" s="2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Q620" s="1" t="n"/>
      <c r="AR620" s="1" t="n"/>
      <c r="AS620" s="1" t="n"/>
      <c r="AT620" s="1" t="n"/>
      <c r="AU620" s="1" t="n"/>
      <c r="AV620" s="1" t="n"/>
      <c r="AW620" s="1" t="n"/>
      <c r="AX620" s="1" t="n"/>
      <c r="AY620" s="1" t="n"/>
      <c r="AZ620" s="1" t="n"/>
      <c r="BA620" s="1" t="n"/>
    </row>
    <row r="621" ht="16.5" customHeight="1" s="220">
      <c r="A621" s="1" t="n"/>
      <c r="B621" s="1" t="n"/>
      <c r="C621" s="2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  <c r="AR621" s="1" t="n"/>
      <c r="AS621" s="1" t="n"/>
      <c r="AT621" s="1" t="n"/>
      <c r="AU621" s="1" t="n"/>
      <c r="AV621" s="1" t="n"/>
      <c r="AW621" s="1" t="n"/>
      <c r="AX621" s="1" t="n"/>
      <c r="AY621" s="1" t="n"/>
      <c r="AZ621" s="1" t="n"/>
      <c r="BA621" s="1" t="n"/>
    </row>
    <row r="622" ht="16.5" customHeight="1" s="220">
      <c r="A622" s="1" t="n"/>
      <c r="B622" s="1" t="n"/>
      <c r="C622" s="2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  <c r="AR622" s="1" t="n"/>
      <c r="AS622" s="1" t="n"/>
      <c r="AT622" s="1" t="n"/>
      <c r="AU622" s="1" t="n"/>
      <c r="AV622" s="1" t="n"/>
      <c r="AW622" s="1" t="n"/>
      <c r="AX622" s="1" t="n"/>
      <c r="AY622" s="1" t="n"/>
      <c r="AZ622" s="1" t="n"/>
      <c r="BA622" s="1" t="n"/>
    </row>
    <row r="623" ht="16.5" customHeight="1" s="220">
      <c r="A623" s="1" t="n"/>
      <c r="B623" s="1" t="n"/>
      <c r="C623" s="2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  <c r="AR623" s="1" t="n"/>
      <c r="AS623" s="1" t="n"/>
      <c r="AT623" s="1" t="n"/>
      <c r="AU623" s="1" t="n"/>
      <c r="AV623" s="1" t="n"/>
      <c r="AW623" s="1" t="n"/>
      <c r="AX623" s="1" t="n"/>
      <c r="AY623" s="1" t="n"/>
      <c r="AZ623" s="1" t="n"/>
      <c r="BA623" s="1" t="n"/>
    </row>
    <row r="624" ht="16.5" customHeight="1" s="220">
      <c r="A624" s="1" t="n"/>
      <c r="B624" s="1" t="n"/>
      <c r="C624" s="2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  <c r="AR624" s="1" t="n"/>
      <c r="AS624" s="1" t="n"/>
      <c r="AT624" s="1" t="n"/>
      <c r="AU624" s="1" t="n"/>
      <c r="AV624" s="1" t="n"/>
      <c r="AW624" s="1" t="n"/>
      <c r="AX624" s="1" t="n"/>
      <c r="AY624" s="1" t="n"/>
      <c r="AZ624" s="1" t="n"/>
      <c r="BA624" s="1" t="n"/>
    </row>
    <row r="625" ht="16.5" customHeight="1" s="220">
      <c r="A625" s="1" t="n"/>
      <c r="B625" s="1" t="n"/>
      <c r="C625" s="2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  <c r="AR625" s="1" t="n"/>
      <c r="AS625" s="1" t="n"/>
      <c r="AT625" s="1" t="n"/>
      <c r="AU625" s="1" t="n"/>
      <c r="AV625" s="1" t="n"/>
      <c r="AW625" s="1" t="n"/>
      <c r="AX625" s="1" t="n"/>
      <c r="AY625" s="1" t="n"/>
      <c r="AZ625" s="1" t="n"/>
      <c r="BA625" s="1" t="n"/>
    </row>
    <row r="626" ht="16.5" customHeight="1" s="220">
      <c r="A626" s="1" t="n"/>
      <c r="B626" s="1" t="n"/>
      <c r="C626" s="2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  <c r="AR626" s="1" t="n"/>
      <c r="AS626" s="1" t="n"/>
      <c r="AT626" s="1" t="n"/>
      <c r="AU626" s="1" t="n"/>
      <c r="AV626" s="1" t="n"/>
      <c r="AW626" s="1" t="n"/>
      <c r="AX626" s="1" t="n"/>
      <c r="AY626" s="1" t="n"/>
      <c r="AZ626" s="1" t="n"/>
      <c r="BA626" s="1" t="n"/>
    </row>
    <row r="627" ht="16.5" customHeight="1" s="220">
      <c r="A627" s="1" t="n"/>
      <c r="B627" s="1" t="n"/>
      <c r="C627" s="2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  <c r="AR627" s="1" t="n"/>
      <c r="AS627" s="1" t="n"/>
      <c r="AT627" s="1" t="n"/>
      <c r="AU627" s="1" t="n"/>
      <c r="AV627" s="1" t="n"/>
      <c r="AW627" s="1" t="n"/>
      <c r="AX627" s="1" t="n"/>
      <c r="AY627" s="1" t="n"/>
      <c r="AZ627" s="1" t="n"/>
      <c r="BA627" s="1" t="n"/>
    </row>
    <row r="628" ht="16.5" customHeight="1" s="220">
      <c r="A628" s="1" t="n"/>
      <c r="B628" s="1" t="n"/>
      <c r="C628" s="2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  <c r="AR628" s="1" t="n"/>
      <c r="AS628" s="1" t="n"/>
      <c r="AT628" s="1" t="n"/>
      <c r="AU628" s="1" t="n"/>
      <c r="AV628" s="1" t="n"/>
      <c r="AW628" s="1" t="n"/>
      <c r="AX628" s="1" t="n"/>
      <c r="AY628" s="1" t="n"/>
      <c r="AZ628" s="1" t="n"/>
      <c r="BA628" s="1" t="n"/>
    </row>
    <row r="629" ht="16.5" customHeight="1" s="220">
      <c r="A629" s="1" t="n"/>
      <c r="B629" s="1" t="n"/>
      <c r="C629" s="2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  <c r="AR629" s="1" t="n"/>
      <c r="AS629" s="1" t="n"/>
      <c r="AT629" s="1" t="n"/>
      <c r="AU629" s="1" t="n"/>
      <c r="AV629" s="1" t="n"/>
      <c r="AW629" s="1" t="n"/>
      <c r="AX629" s="1" t="n"/>
      <c r="AY629" s="1" t="n"/>
      <c r="AZ629" s="1" t="n"/>
      <c r="BA629" s="1" t="n"/>
    </row>
    <row r="630" ht="16.5" customHeight="1" s="220">
      <c r="A630" s="1" t="n"/>
      <c r="B630" s="1" t="n"/>
      <c r="C630" s="2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  <c r="AR630" s="1" t="n"/>
      <c r="AS630" s="1" t="n"/>
      <c r="AT630" s="1" t="n"/>
      <c r="AU630" s="1" t="n"/>
      <c r="AV630" s="1" t="n"/>
      <c r="AW630" s="1" t="n"/>
      <c r="AX630" s="1" t="n"/>
      <c r="AY630" s="1" t="n"/>
      <c r="AZ630" s="1" t="n"/>
      <c r="BA630" s="1" t="n"/>
    </row>
    <row r="631" ht="16.5" customHeight="1" s="220">
      <c r="A631" s="1" t="n"/>
      <c r="B631" s="1" t="n"/>
      <c r="C631" s="2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  <c r="AR631" s="1" t="n"/>
      <c r="AS631" s="1" t="n"/>
      <c r="AT631" s="1" t="n"/>
      <c r="AU631" s="1" t="n"/>
      <c r="AV631" s="1" t="n"/>
      <c r="AW631" s="1" t="n"/>
      <c r="AX631" s="1" t="n"/>
      <c r="AY631" s="1" t="n"/>
      <c r="AZ631" s="1" t="n"/>
      <c r="BA631" s="1" t="n"/>
    </row>
    <row r="632" ht="16.5" customHeight="1" s="220">
      <c r="A632" s="1" t="n"/>
      <c r="B632" s="1" t="n"/>
      <c r="C632" s="2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  <c r="AR632" s="1" t="n"/>
      <c r="AS632" s="1" t="n"/>
      <c r="AT632" s="1" t="n"/>
      <c r="AU632" s="1" t="n"/>
      <c r="AV632" s="1" t="n"/>
      <c r="AW632" s="1" t="n"/>
      <c r="AX632" s="1" t="n"/>
      <c r="AY632" s="1" t="n"/>
      <c r="AZ632" s="1" t="n"/>
      <c r="BA632" s="1" t="n"/>
    </row>
    <row r="633" ht="16.5" customHeight="1" s="220">
      <c r="A633" s="1" t="n"/>
      <c r="B633" s="1" t="n"/>
      <c r="C633" s="2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  <c r="AR633" s="1" t="n"/>
      <c r="AS633" s="1" t="n"/>
      <c r="AT633" s="1" t="n"/>
      <c r="AU633" s="1" t="n"/>
      <c r="AV633" s="1" t="n"/>
      <c r="AW633" s="1" t="n"/>
      <c r="AX633" s="1" t="n"/>
      <c r="AY633" s="1" t="n"/>
      <c r="AZ633" s="1" t="n"/>
      <c r="BA633" s="1" t="n"/>
    </row>
    <row r="634" ht="16.5" customHeight="1" s="220">
      <c r="A634" s="1" t="n"/>
      <c r="B634" s="1" t="n"/>
      <c r="C634" s="2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Q634" s="1" t="n"/>
      <c r="AR634" s="1" t="n"/>
      <c r="AS634" s="1" t="n"/>
      <c r="AT634" s="1" t="n"/>
      <c r="AU634" s="1" t="n"/>
      <c r="AV634" s="1" t="n"/>
      <c r="AW634" s="1" t="n"/>
      <c r="AX634" s="1" t="n"/>
      <c r="AY634" s="1" t="n"/>
      <c r="AZ634" s="1" t="n"/>
      <c r="BA634" s="1" t="n"/>
    </row>
    <row r="635" ht="16.5" customHeight="1" s="220">
      <c r="A635" s="1" t="n"/>
      <c r="B635" s="1" t="n"/>
      <c r="C635" s="2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  <c r="AR635" s="1" t="n"/>
      <c r="AS635" s="1" t="n"/>
      <c r="AT635" s="1" t="n"/>
      <c r="AU635" s="1" t="n"/>
      <c r="AV635" s="1" t="n"/>
      <c r="AW635" s="1" t="n"/>
      <c r="AX635" s="1" t="n"/>
      <c r="AY635" s="1" t="n"/>
      <c r="AZ635" s="1" t="n"/>
      <c r="BA635" s="1" t="n"/>
    </row>
    <row r="636" ht="16.5" customHeight="1" s="220">
      <c r="A636" s="1" t="n"/>
      <c r="B636" s="1" t="n"/>
      <c r="C636" s="2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Q636" s="1" t="n"/>
      <c r="AR636" s="1" t="n"/>
      <c r="AS636" s="1" t="n"/>
      <c r="AT636" s="1" t="n"/>
      <c r="AU636" s="1" t="n"/>
      <c r="AV636" s="1" t="n"/>
      <c r="AW636" s="1" t="n"/>
      <c r="AX636" s="1" t="n"/>
      <c r="AY636" s="1" t="n"/>
      <c r="AZ636" s="1" t="n"/>
      <c r="BA636" s="1" t="n"/>
    </row>
    <row r="637" ht="16.5" customHeight="1" s="220">
      <c r="A637" s="1" t="n"/>
      <c r="B637" s="1" t="n"/>
      <c r="C637" s="2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  <c r="AR637" s="1" t="n"/>
      <c r="AS637" s="1" t="n"/>
      <c r="AT637" s="1" t="n"/>
      <c r="AU637" s="1" t="n"/>
      <c r="AV637" s="1" t="n"/>
      <c r="AW637" s="1" t="n"/>
      <c r="AX637" s="1" t="n"/>
      <c r="AY637" s="1" t="n"/>
      <c r="AZ637" s="1" t="n"/>
      <c r="BA637" s="1" t="n"/>
    </row>
    <row r="638" ht="16.5" customHeight="1" s="220">
      <c r="A638" s="1" t="n"/>
      <c r="B638" s="1" t="n"/>
      <c r="C638" s="2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  <c r="AR638" s="1" t="n"/>
      <c r="AS638" s="1" t="n"/>
      <c r="AT638" s="1" t="n"/>
      <c r="AU638" s="1" t="n"/>
      <c r="AV638" s="1" t="n"/>
      <c r="AW638" s="1" t="n"/>
      <c r="AX638" s="1" t="n"/>
      <c r="AY638" s="1" t="n"/>
      <c r="AZ638" s="1" t="n"/>
      <c r="BA638" s="1" t="n"/>
    </row>
    <row r="639" ht="16.5" customHeight="1" s="220">
      <c r="A639" s="1" t="n"/>
      <c r="B639" s="1" t="n"/>
      <c r="C639" s="2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  <c r="AR639" s="1" t="n"/>
      <c r="AS639" s="1" t="n"/>
      <c r="AT639" s="1" t="n"/>
      <c r="AU639" s="1" t="n"/>
      <c r="AV639" s="1" t="n"/>
      <c r="AW639" s="1" t="n"/>
      <c r="AX639" s="1" t="n"/>
      <c r="AY639" s="1" t="n"/>
      <c r="AZ639" s="1" t="n"/>
      <c r="BA639" s="1" t="n"/>
    </row>
    <row r="640" ht="16.5" customHeight="1" s="220">
      <c r="A640" s="1" t="n"/>
      <c r="B640" s="1" t="n"/>
      <c r="C640" s="2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  <c r="AR640" s="1" t="n"/>
      <c r="AS640" s="1" t="n"/>
      <c r="AT640" s="1" t="n"/>
      <c r="AU640" s="1" t="n"/>
      <c r="AV640" s="1" t="n"/>
      <c r="AW640" s="1" t="n"/>
      <c r="AX640" s="1" t="n"/>
      <c r="AY640" s="1" t="n"/>
      <c r="AZ640" s="1" t="n"/>
      <c r="BA640" s="1" t="n"/>
    </row>
    <row r="641" ht="16.5" customHeight="1" s="220">
      <c r="A641" s="1" t="n"/>
      <c r="B641" s="1" t="n"/>
      <c r="C641" s="2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  <c r="AR641" s="1" t="n"/>
      <c r="AS641" s="1" t="n"/>
      <c r="AT641" s="1" t="n"/>
      <c r="AU641" s="1" t="n"/>
      <c r="AV641" s="1" t="n"/>
      <c r="AW641" s="1" t="n"/>
      <c r="AX641" s="1" t="n"/>
      <c r="AY641" s="1" t="n"/>
      <c r="AZ641" s="1" t="n"/>
      <c r="BA641" s="1" t="n"/>
    </row>
    <row r="642" ht="16.5" customHeight="1" s="220">
      <c r="A642" s="1" t="n"/>
      <c r="B642" s="1" t="n"/>
      <c r="C642" s="2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  <c r="AR642" s="1" t="n"/>
      <c r="AS642" s="1" t="n"/>
      <c r="AT642" s="1" t="n"/>
      <c r="AU642" s="1" t="n"/>
      <c r="AV642" s="1" t="n"/>
      <c r="AW642" s="1" t="n"/>
      <c r="AX642" s="1" t="n"/>
      <c r="AY642" s="1" t="n"/>
      <c r="AZ642" s="1" t="n"/>
      <c r="BA642" s="1" t="n"/>
    </row>
    <row r="643" ht="16.5" customHeight="1" s="220">
      <c r="A643" s="1" t="n"/>
      <c r="B643" s="1" t="n"/>
      <c r="C643" s="2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  <c r="AR643" s="1" t="n"/>
      <c r="AS643" s="1" t="n"/>
      <c r="AT643" s="1" t="n"/>
      <c r="AU643" s="1" t="n"/>
      <c r="AV643" s="1" t="n"/>
      <c r="AW643" s="1" t="n"/>
      <c r="AX643" s="1" t="n"/>
      <c r="AY643" s="1" t="n"/>
      <c r="AZ643" s="1" t="n"/>
      <c r="BA643" s="1" t="n"/>
    </row>
    <row r="644" ht="16.5" customHeight="1" s="220">
      <c r="A644" s="1" t="n"/>
      <c r="B644" s="1" t="n"/>
      <c r="C644" s="2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  <c r="AR644" s="1" t="n"/>
      <c r="AS644" s="1" t="n"/>
      <c r="AT644" s="1" t="n"/>
      <c r="AU644" s="1" t="n"/>
      <c r="AV644" s="1" t="n"/>
      <c r="AW644" s="1" t="n"/>
      <c r="AX644" s="1" t="n"/>
      <c r="AY644" s="1" t="n"/>
      <c r="AZ644" s="1" t="n"/>
      <c r="BA644" s="1" t="n"/>
    </row>
    <row r="645" ht="16.5" customHeight="1" s="220">
      <c r="A645" s="1" t="n"/>
      <c r="B645" s="1" t="n"/>
      <c r="C645" s="2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  <c r="AR645" s="1" t="n"/>
      <c r="AS645" s="1" t="n"/>
      <c r="AT645" s="1" t="n"/>
      <c r="AU645" s="1" t="n"/>
      <c r="AV645" s="1" t="n"/>
      <c r="AW645" s="1" t="n"/>
      <c r="AX645" s="1" t="n"/>
      <c r="AY645" s="1" t="n"/>
      <c r="AZ645" s="1" t="n"/>
      <c r="BA645" s="1" t="n"/>
    </row>
    <row r="646" ht="16.5" customHeight="1" s="220">
      <c r="A646" s="1" t="n"/>
      <c r="B646" s="1" t="n"/>
      <c r="C646" s="2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  <c r="AR646" s="1" t="n"/>
      <c r="AS646" s="1" t="n"/>
      <c r="AT646" s="1" t="n"/>
      <c r="AU646" s="1" t="n"/>
      <c r="AV646" s="1" t="n"/>
      <c r="AW646" s="1" t="n"/>
      <c r="AX646" s="1" t="n"/>
      <c r="AY646" s="1" t="n"/>
      <c r="AZ646" s="1" t="n"/>
      <c r="BA646" s="1" t="n"/>
    </row>
    <row r="647" ht="16.5" customHeight="1" s="220">
      <c r="A647" s="1" t="n"/>
      <c r="B647" s="1" t="n"/>
      <c r="C647" s="2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  <c r="AR647" s="1" t="n"/>
      <c r="AS647" s="1" t="n"/>
      <c r="AT647" s="1" t="n"/>
      <c r="AU647" s="1" t="n"/>
      <c r="AV647" s="1" t="n"/>
      <c r="AW647" s="1" t="n"/>
      <c r="AX647" s="1" t="n"/>
      <c r="AY647" s="1" t="n"/>
      <c r="AZ647" s="1" t="n"/>
      <c r="BA647" s="1" t="n"/>
    </row>
    <row r="648" ht="16.5" customHeight="1" s="220">
      <c r="A648" s="1" t="n"/>
      <c r="B648" s="1" t="n"/>
      <c r="C648" s="2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  <c r="AR648" s="1" t="n"/>
      <c r="AS648" s="1" t="n"/>
      <c r="AT648" s="1" t="n"/>
      <c r="AU648" s="1" t="n"/>
      <c r="AV648" s="1" t="n"/>
      <c r="AW648" s="1" t="n"/>
      <c r="AX648" s="1" t="n"/>
      <c r="AY648" s="1" t="n"/>
      <c r="AZ648" s="1" t="n"/>
      <c r="BA648" s="1" t="n"/>
    </row>
    <row r="649" ht="16.5" customHeight="1" s="220">
      <c r="A649" s="1" t="n"/>
      <c r="B649" s="1" t="n"/>
      <c r="C649" s="2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  <c r="AR649" s="1" t="n"/>
      <c r="AS649" s="1" t="n"/>
      <c r="AT649" s="1" t="n"/>
      <c r="AU649" s="1" t="n"/>
      <c r="AV649" s="1" t="n"/>
      <c r="AW649" s="1" t="n"/>
      <c r="AX649" s="1" t="n"/>
      <c r="AY649" s="1" t="n"/>
      <c r="AZ649" s="1" t="n"/>
      <c r="BA649" s="1" t="n"/>
    </row>
    <row r="650" ht="16.5" customHeight="1" s="220">
      <c r="A650" s="1" t="n"/>
      <c r="B650" s="1" t="n"/>
      <c r="C650" s="2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  <c r="AR650" s="1" t="n"/>
      <c r="AS650" s="1" t="n"/>
      <c r="AT650" s="1" t="n"/>
      <c r="AU650" s="1" t="n"/>
      <c r="AV650" s="1" t="n"/>
      <c r="AW650" s="1" t="n"/>
      <c r="AX650" s="1" t="n"/>
      <c r="AY650" s="1" t="n"/>
      <c r="AZ650" s="1" t="n"/>
      <c r="BA650" s="1" t="n"/>
    </row>
    <row r="651" ht="16.5" customHeight="1" s="220">
      <c r="A651" s="1" t="n"/>
      <c r="B651" s="1" t="n"/>
      <c r="C651" s="2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  <c r="AR651" s="1" t="n"/>
      <c r="AS651" s="1" t="n"/>
      <c r="AT651" s="1" t="n"/>
      <c r="AU651" s="1" t="n"/>
      <c r="AV651" s="1" t="n"/>
      <c r="AW651" s="1" t="n"/>
      <c r="AX651" s="1" t="n"/>
      <c r="AY651" s="1" t="n"/>
      <c r="AZ651" s="1" t="n"/>
      <c r="BA651" s="1" t="n"/>
    </row>
    <row r="652" ht="16.5" customHeight="1" s="220">
      <c r="A652" s="1" t="n"/>
      <c r="B652" s="1" t="n"/>
      <c r="C652" s="2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  <c r="AR652" s="1" t="n"/>
      <c r="AS652" s="1" t="n"/>
      <c r="AT652" s="1" t="n"/>
      <c r="AU652" s="1" t="n"/>
      <c r="AV652" s="1" t="n"/>
      <c r="AW652" s="1" t="n"/>
      <c r="AX652" s="1" t="n"/>
      <c r="AY652" s="1" t="n"/>
      <c r="AZ652" s="1" t="n"/>
      <c r="BA652" s="1" t="n"/>
    </row>
    <row r="653" ht="16.5" customHeight="1" s="220">
      <c r="A653" s="1" t="n"/>
      <c r="B653" s="1" t="n"/>
      <c r="C653" s="2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  <c r="AR653" s="1" t="n"/>
      <c r="AS653" s="1" t="n"/>
      <c r="AT653" s="1" t="n"/>
      <c r="AU653" s="1" t="n"/>
      <c r="AV653" s="1" t="n"/>
      <c r="AW653" s="1" t="n"/>
      <c r="AX653" s="1" t="n"/>
      <c r="AY653" s="1" t="n"/>
      <c r="AZ653" s="1" t="n"/>
      <c r="BA653" s="1" t="n"/>
    </row>
    <row r="654" ht="16.5" customHeight="1" s="220">
      <c r="A654" s="1" t="n"/>
      <c r="B654" s="1" t="n"/>
      <c r="C654" s="2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  <c r="AR654" s="1" t="n"/>
      <c r="AS654" s="1" t="n"/>
      <c r="AT654" s="1" t="n"/>
      <c r="AU654" s="1" t="n"/>
      <c r="AV654" s="1" t="n"/>
      <c r="AW654" s="1" t="n"/>
      <c r="AX654" s="1" t="n"/>
      <c r="AY654" s="1" t="n"/>
      <c r="AZ654" s="1" t="n"/>
      <c r="BA654" s="1" t="n"/>
    </row>
    <row r="655" ht="16.5" customHeight="1" s="220">
      <c r="A655" s="1" t="n"/>
      <c r="B655" s="1" t="n"/>
      <c r="C655" s="2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  <c r="AR655" s="1" t="n"/>
      <c r="AS655" s="1" t="n"/>
      <c r="AT655" s="1" t="n"/>
      <c r="AU655" s="1" t="n"/>
      <c r="AV655" s="1" t="n"/>
      <c r="AW655" s="1" t="n"/>
      <c r="AX655" s="1" t="n"/>
      <c r="AY655" s="1" t="n"/>
      <c r="AZ655" s="1" t="n"/>
      <c r="BA655" s="1" t="n"/>
    </row>
    <row r="656" ht="16.5" customHeight="1" s="220">
      <c r="A656" s="1" t="n"/>
      <c r="B656" s="1" t="n"/>
      <c r="C656" s="2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  <c r="AR656" s="1" t="n"/>
      <c r="AS656" s="1" t="n"/>
      <c r="AT656" s="1" t="n"/>
      <c r="AU656" s="1" t="n"/>
      <c r="AV656" s="1" t="n"/>
      <c r="AW656" s="1" t="n"/>
      <c r="AX656" s="1" t="n"/>
      <c r="AY656" s="1" t="n"/>
      <c r="AZ656" s="1" t="n"/>
      <c r="BA656" s="1" t="n"/>
    </row>
    <row r="657" ht="16.5" customHeight="1" s="220">
      <c r="A657" s="1" t="n"/>
      <c r="B657" s="1" t="n"/>
      <c r="C657" s="2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  <c r="AW657" s="1" t="n"/>
      <c r="AX657" s="1" t="n"/>
      <c r="AY657" s="1" t="n"/>
      <c r="AZ657" s="1" t="n"/>
      <c r="BA657" s="1" t="n"/>
    </row>
    <row r="658" ht="16.5" customHeight="1" s="220">
      <c r="A658" s="1" t="n"/>
      <c r="B658" s="1" t="n"/>
      <c r="C658" s="2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</row>
    <row r="659" ht="16.5" customHeight="1" s="220">
      <c r="A659" s="1" t="n"/>
      <c r="B659" s="1" t="n"/>
      <c r="C659" s="2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</row>
    <row r="660" ht="16.5" customHeight="1" s="220">
      <c r="A660" s="1" t="n"/>
      <c r="B660" s="1" t="n"/>
      <c r="C660" s="2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</row>
    <row r="661" ht="16.5" customHeight="1" s="220">
      <c r="A661" s="1" t="n"/>
      <c r="B661" s="1" t="n"/>
      <c r="C661" s="2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</row>
    <row r="662" ht="16.5" customHeight="1" s="220">
      <c r="A662" s="1" t="n"/>
      <c r="B662" s="1" t="n"/>
      <c r="C662" s="2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  <c r="AY662" s="1" t="n"/>
      <c r="AZ662" s="1" t="n"/>
      <c r="BA662" s="1" t="n"/>
    </row>
    <row r="663" ht="16.5" customHeight="1" s="220">
      <c r="A663" s="1" t="n"/>
      <c r="B663" s="1" t="n"/>
      <c r="C663" s="2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  <c r="AR663" s="1" t="n"/>
      <c r="AS663" s="1" t="n"/>
      <c r="AT663" s="1" t="n"/>
      <c r="AU663" s="1" t="n"/>
      <c r="AV663" s="1" t="n"/>
      <c r="AW663" s="1" t="n"/>
      <c r="AX663" s="1" t="n"/>
      <c r="AY663" s="1" t="n"/>
      <c r="AZ663" s="1" t="n"/>
      <c r="BA663" s="1" t="n"/>
    </row>
    <row r="664" ht="16.5" customHeight="1" s="220">
      <c r="A664" s="1" t="n"/>
      <c r="B664" s="1" t="n"/>
      <c r="C664" s="2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  <c r="AR664" s="1" t="n"/>
      <c r="AS664" s="1" t="n"/>
      <c r="AT664" s="1" t="n"/>
      <c r="AU664" s="1" t="n"/>
      <c r="AV664" s="1" t="n"/>
      <c r="AW664" s="1" t="n"/>
      <c r="AX664" s="1" t="n"/>
      <c r="AY664" s="1" t="n"/>
      <c r="AZ664" s="1" t="n"/>
      <c r="BA664" s="1" t="n"/>
    </row>
    <row r="665" ht="16.5" customHeight="1" s="220">
      <c r="A665" s="1" t="n"/>
      <c r="B665" s="1" t="n"/>
      <c r="C665" s="2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  <c r="AR665" s="1" t="n"/>
      <c r="AS665" s="1" t="n"/>
      <c r="AT665" s="1" t="n"/>
      <c r="AU665" s="1" t="n"/>
      <c r="AV665" s="1" t="n"/>
      <c r="AW665" s="1" t="n"/>
      <c r="AX665" s="1" t="n"/>
      <c r="AY665" s="1" t="n"/>
      <c r="AZ665" s="1" t="n"/>
      <c r="BA665" s="1" t="n"/>
    </row>
    <row r="666" ht="16.5" customHeight="1" s="220">
      <c r="A666" s="1" t="n"/>
      <c r="B666" s="1" t="n"/>
      <c r="C666" s="2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  <c r="AR666" s="1" t="n"/>
      <c r="AS666" s="1" t="n"/>
      <c r="AT666" s="1" t="n"/>
      <c r="AU666" s="1" t="n"/>
      <c r="AV666" s="1" t="n"/>
      <c r="AW666" s="1" t="n"/>
      <c r="AX666" s="1" t="n"/>
      <c r="AY666" s="1" t="n"/>
      <c r="AZ666" s="1" t="n"/>
      <c r="BA666" s="1" t="n"/>
    </row>
    <row r="667" ht="16.5" customHeight="1" s="220">
      <c r="A667" s="1" t="n"/>
      <c r="B667" s="1" t="n"/>
      <c r="C667" s="2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  <c r="AR667" s="1" t="n"/>
      <c r="AS667" s="1" t="n"/>
      <c r="AT667" s="1" t="n"/>
      <c r="AU667" s="1" t="n"/>
      <c r="AV667" s="1" t="n"/>
      <c r="AW667" s="1" t="n"/>
      <c r="AX667" s="1" t="n"/>
      <c r="AY667" s="1" t="n"/>
      <c r="AZ667" s="1" t="n"/>
      <c r="BA667" s="1" t="n"/>
    </row>
    <row r="668" ht="16.5" customHeight="1" s="220">
      <c r="A668" s="1" t="n"/>
      <c r="B668" s="1" t="n"/>
      <c r="C668" s="2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  <c r="AR668" s="1" t="n"/>
      <c r="AS668" s="1" t="n"/>
      <c r="AT668" s="1" t="n"/>
      <c r="AU668" s="1" t="n"/>
      <c r="AV668" s="1" t="n"/>
      <c r="AW668" s="1" t="n"/>
      <c r="AX668" s="1" t="n"/>
      <c r="AY668" s="1" t="n"/>
      <c r="AZ668" s="1" t="n"/>
      <c r="BA668" s="1" t="n"/>
    </row>
    <row r="669" ht="16.5" customHeight="1" s="220">
      <c r="A669" s="1" t="n"/>
      <c r="B669" s="1" t="n"/>
      <c r="C669" s="2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  <c r="AR669" s="1" t="n"/>
      <c r="AS669" s="1" t="n"/>
      <c r="AT669" s="1" t="n"/>
      <c r="AU669" s="1" t="n"/>
      <c r="AV669" s="1" t="n"/>
      <c r="AW669" s="1" t="n"/>
      <c r="AX669" s="1" t="n"/>
      <c r="AY669" s="1" t="n"/>
      <c r="AZ669" s="1" t="n"/>
      <c r="BA669" s="1" t="n"/>
    </row>
    <row r="670" ht="16.5" customHeight="1" s="220">
      <c r="A670" s="1" t="n"/>
      <c r="B670" s="1" t="n"/>
      <c r="C670" s="2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  <c r="AR670" s="1" t="n"/>
      <c r="AS670" s="1" t="n"/>
      <c r="AT670" s="1" t="n"/>
      <c r="AU670" s="1" t="n"/>
      <c r="AV670" s="1" t="n"/>
      <c r="AW670" s="1" t="n"/>
      <c r="AX670" s="1" t="n"/>
      <c r="AY670" s="1" t="n"/>
      <c r="AZ670" s="1" t="n"/>
      <c r="BA670" s="1" t="n"/>
    </row>
    <row r="671" ht="16.5" customHeight="1" s="220">
      <c r="A671" s="1" t="n"/>
      <c r="B671" s="1" t="n"/>
      <c r="C671" s="2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  <c r="AR671" s="1" t="n"/>
      <c r="AS671" s="1" t="n"/>
      <c r="AT671" s="1" t="n"/>
      <c r="AU671" s="1" t="n"/>
      <c r="AV671" s="1" t="n"/>
      <c r="AW671" s="1" t="n"/>
      <c r="AX671" s="1" t="n"/>
      <c r="AY671" s="1" t="n"/>
      <c r="AZ671" s="1" t="n"/>
      <c r="BA671" s="1" t="n"/>
    </row>
    <row r="672" ht="16.5" customHeight="1" s="220">
      <c r="A672" s="1" t="n"/>
      <c r="B672" s="1" t="n"/>
      <c r="C672" s="2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  <c r="AR672" s="1" t="n"/>
      <c r="AS672" s="1" t="n"/>
      <c r="AT672" s="1" t="n"/>
      <c r="AU672" s="1" t="n"/>
      <c r="AV672" s="1" t="n"/>
      <c r="AW672" s="1" t="n"/>
      <c r="AX672" s="1" t="n"/>
      <c r="AY672" s="1" t="n"/>
      <c r="AZ672" s="1" t="n"/>
      <c r="BA672" s="1" t="n"/>
    </row>
    <row r="673" ht="16.5" customHeight="1" s="220">
      <c r="A673" s="1" t="n"/>
      <c r="B673" s="1" t="n"/>
      <c r="C673" s="2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  <c r="AR673" s="1" t="n"/>
      <c r="AS673" s="1" t="n"/>
      <c r="AT673" s="1" t="n"/>
      <c r="AU673" s="1" t="n"/>
      <c r="AV673" s="1" t="n"/>
      <c r="AW673" s="1" t="n"/>
      <c r="AX673" s="1" t="n"/>
      <c r="AY673" s="1" t="n"/>
      <c r="AZ673" s="1" t="n"/>
      <c r="BA673" s="1" t="n"/>
    </row>
    <row r="674" ht="16.5" customHeight="1" s="220">
      <c r="A674" s="1" t="n"/>
      <c r="B674" s="1" t="n"/>
      <c r="C674" s="2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  <c r="AR674" s="1" t="n"/>
      <c r="AS674" s="1" t="n"/>
      <c r="AT674" s="1" t="n"/>
      <c r="AU674" s="1" t="n"/>
      <c r="AV674" s="1" t="n"/>
      <c r="AW674" s="1" t="n"/>
      <c r="AX674" s="1" t="n"/>
      <c r="AY674" s="1" t="n"/>
      <c r="AZ674" s="1" t="n"/>
      <c r="BA674" s="1" t="n"/>
    </row>
    <row r="675" ht="16.5" customHeight="1" s="220">
      <c r="A675" s="1" t="n"/>
      <c r="B675" s="1" t="n"/>
      <c r="C675" s="2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  <c r="AR675" s="1" t="n"/>
      <c r="AS675" s="1" t="n"/>
      <c r="AT675" s="1" t="n"/>
      <c r="AU675" s="1" t="n"/>
      <c r="AV675" s="1" t="n"/>
      <c r="AW675" s="1" t="n"/>
      <c r="AX675" s="1" t="n"/>
      <c r="AY675" s="1" t="n"/>
      <c r="AZ675" s="1" t="n"/>
      <c r="BA675" s="1" t="n"/>
    </row>
    <row r="676" ht="16.5" customHeight="1" s="220">
      <c r="A676" s="1" t="n"/>
      <c r="B676" s="1" t="n"/>
      <c r="C676" s="2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Q676" s="1" t="n"/>
      <c r="AR676" s="1" t="n"/>
      <c r="AS676" s="1" t="n"/>
      <c r="AT676" s="1" t="n"/>
      <c r="AU676" s="1" t="n"/>
      <c r="AV676" s="1" t="n"/>
      <c r="AW676" s="1" t="n"/>
      <c r="AX676" s="1" t="n"/>
      <c r="AY676" s="1" t="n"/>
      <c r="AZ676" s="1" t="n"/>
      <c r="BA676" s="1" t="n"/>
    </row>
    <row r="677" ht="16.5" customHeight="1" s="220">
      <c r="A677" s="1" t="n"/>
      <c r="B677" s="1" t="n"/>
      <c r="C677" s="2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  <c r="AR677" s="1" t="n"/>
      <c r="AS677" s="1" t="n"/>
      <c r="AT677" s="1" t="n"/>
      <c r="AU677" s="1" t="n"/>
      <c r="AV677" s="1" t="n"/>
      <c r="AW677" s="1" t="n"/>
      <c r="AX677" s="1" t="n"/>
      <c r="AY677" s="1" t="n"/>
      <c r="AZ677" s="1" t="n"/>
      <c r="BA677" s="1" t="n"/>
    </row>
    <row r="678" ht="16.5" customHeight="1" s="220">
      <c r="A678" s="1" t="n"/>
      <c r="B678" s="1" t="n"/>
      <c r="C678" s="2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  <c r="AR678" s="1" t="n"/>
      <c r="AS678" s="1" t="n"/>
      <c r="AT678" s="1" t="n"/>
      <c r="AU678" s="1" t="n"/>
      <c r="AV678" s="1" t="n"/>
      <c r="AW678" s="1" t="n"/>
      <c r="AX678" s="1" t="n"/>
      <c r="AY678" s="1" t="n"/>
      <c r="AZ678" s="1" t="n"/>
      <c r="BA678" s="1" t="n"/>
    </row>
    <row r="679" ht="16.5" customHeight="1" s="220">
      <c r="A679" s="1" t="n"/>
      <c r="B679" s="1" t="n"/>
      <c r="C679" s="2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  <c r="AR679" s="1" t="n"/>
      <c r="AS679" s="1" t="n"/>
      <c r="AT679" s="1" t="n"/>
      <c r="AU679" s="1" t="n"/>
      <c r="AV679" s="1" t="n"/>
      <c r="AW679" s="1" t="n"/>
      <c r="AX679" s="1" t="n"/>
      <c r="AY679" s="1" t="n"/>
      <c r="AZ679" s="1" t="n"/>
      <c r="BA679" s="1" t="n"/>
    </row>
    <row r="680" ht="16.5" customHeight="1" s="220">
      <c r="A680" s="1" t="n"/>
      <c r="B680" s="1" t="n"/>
      <c r="C680" s="2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Q680" s="1" t="n"/>
      <c r="AR680" s="1" t="n"/>
      <c r="AS680" s="1" t="n"/>
      <c r="AT680" s="1" t="n"/>
      <c r="AU680" s="1" t="n"/>
      <c r="AV680" s="1" t="n"/>
      <c r="AW680" s="1" t="n"/>
      <c r="AX680" s="1" t="n"/>
      <c r="AY680" s="1" t="n"/>
      <c r="AZ680" s="1" t="n"/>
      <c r="BA680" s="1" t="n"/>
    </row>
    <row r="681" ht="16.5" customHeight="1" s="220">
      <c r="A681" s="1" t="n"/>
      <c r="B681" s="1" t="n"/>
      <c r="C681" s="2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  <c r="AR681" s="1" t="n"/>
      <c r="AS681" s="1" t="n"/>
      <c r="AT681" s="1" t="n"/>
      <c r="AU681" s="1" t="n"/>
      <c r="AV681" s="1" t="n"/>
      <c r="AW681" s="1" t="n"/>
      <c r="AX681" s="1" t="n"/>
      <c r="AY681" s="1" t="n"/>
      <c r="AZ681" s="1" t="n"/>
      <c r="BA681" s="1" t="n"/>
    </row>
    <row r="682" ht="16.5" customHeight="1" s="220">
      <c r="A682" s="1" t="n"/>
      <c r="B682" s="1" t="n"/>
      <c r="C682" s="2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  <c r="AR682" s="1" t="n"/>
      <c r="AS682" s="1" t="n"/>
      <c r="AT682" s="1" t="n"/>
      <c r="AU682" s="1" t="n"/>
      <c r="AV682" s="1" t="n"/>
      <c r="AW682" s="1" t="n"/>
      <c r="AX682" s="1" t="n"/>
      <c r="AY682" s="1" t="n"/>
      <c r="AZ682" s="1" t="n"/>
      <c r="BA682" s="1" t="n"/>
    </row>
    <row r="683" ht="16.5" customHeight="1" s="220">
      <c r="A683" s="1" t="n"/>
      <c r="B683" s="1" t="n"/>
      <c r="C683" s="2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  <c r="AR683" s="1" t="n"/>
      <c r="AS683" s="1" t="n"/>
      <c r="AT683" s="1" t="n"/>
      <c r="AU683" s="1" t="n"/>
      <c r="AV683" s="1" t="n"/>
      <c r="AW683" s="1" t="n"/>
      <c r="AX683" s="1" t="n"/>
      <c r="AY683" s="1" t="n"/>
      <c r="AZ683" s="1" t="n"/>
      <c r="BA683" s="1" t="n"/>
    </row>
    <row r="684" ht="16.5" customHeight="1" s="220">
      <c r="A684" s="1" t="n"/>
      <c r="B684" s="1" t="n"/>
      <c r="C684" s="2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  <c r="AR684" s="1" t="n"/>
      <c r="AS684" s="1" t="n"/>
      <c r="AT684" s="1" t="n"/>
      <c r="AU684" s="1" t="n"/>
      <c r="AV684" s="1" t="n"/>
      <c r="AW684" s="1" t="n"/>
      <c r="AX684" s="1" t="n"/>
      <c r="AY684" s="1" t="n"/>
      <c r="AZ684" s="1" t="n"/>
      <c r="BA684" s="1" t="n"/>
    </row>
    <row r="685" ht="16.5" customHeight="1" s="220">
      <c r="A685" s="1" t="n"/>
      <c r="B685" s="1" t="n"/>
      <c r="C685" s="2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  <c r="AR685" s="1" t="n"/>
      <c r="AS685" s="1" t="n"/>
      <c r="AT685" s="1" t="n"/>
      <c r="AU685" s="1" t="n"/>
      <c r="AV685" s="1" t="n"/>
      <c r="AW685" s="1" t="n"/>
      <c r="AX685" s="1" t="n"/>
      <c r="AY685" s="1" t="n"/>
      <c r="AZ685" s="1" t="n"/>
      <c r="BA685" s="1" t="n"/>
    </row>
    <row r="686" ht="16.5" customHeight="1" s="220">
      <c r="A686" s="1" t="n"/>
      <c r="B686" s="1" t="n"/>
      <c r="C686" s="2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  <c r="AR686" s="1" t="n"/>
      <c r="AS686" s="1" t="n"/>
      <c r="AT686" s="1" t="n"/>
      <c r="AU686" s="1" t="n"/>
      <c r="AV686" s="1" t="n"/>
      <c r="AW686" s="1" t="n"/>
      <c r="AX686" s="1" t="n"/>
      <c r="AY686" s="1" t="n"/>
      <c r="AZ686" s="1" t="n"/>
      <c r="BA686" s="1" t="n"/>
    </row>
    <row r="687" ht="16.5" customHeight="1" s="220">
      <c r="A687" s="1" t="n"/>
      <c r="B687" s="1" t="n"/>
      <c r="C687" s="2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  <c r="AR687" s="1" t="n"/>
      <c r="AS687" s="1" t="n"/>
      <c r="AT687" s="1" t="n"/>
      <c r="AU687" s="1" t="n"/>
      <c r="AV687" s="1" t="n"/>
      <c r="AW687" s="1" t="n"/>
      <c r="AX687" s="1" t="n"/>
      <c r="AY687" s="1" t="n"/>
      <c r="AZ687" s="1" t="n"/>
      <c r="BA687" s="1" t="n"/>
    </row>
    <row r="688" ht="16.5" customHeight="1" s="220">
      <c r="A688" s="1" t="n"/>
      <c r="B688" s="1" t="n"/>
      <c r="C688" s="2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  <c r="AR688" s="1" t="n"/>
      <c r="AS688" s="1" t="n"/>
      <c r="AT688" s="1" t="n"/>
      <c r="AU688" s="1" t="n"/>
      <c r="AV688" s="1" t="n"/>
      <c r="AW688" s="1" t="n"/>
      <c r="AX688" s="1" t="n"/>
      <c r="AY688" s="1" t="n"/>
      <c r="AZ688" s="1" t="n"/>
      <c r="BA688" s="1" t="n"/>
    </row>
    <row r="689" ht="16.5" customHeight="1" s="220">
      <c r="A689" s="1" t="n"/>
      <c r="B689" s="1" t="n"/>
      <c r="C689" s="2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  <c r="AR689" s="1" t="n"/>
      <c r="AS689" s="1" t="n"/>
      <c r="AT689" s="1" t="n"/>
      <c r="AU689" s="1" t="n"/>
      <c r="AV689" s="1" t="n"/>
      <c r="AW689" s="1" t="n"/>
      <c r="AX689" s="1" t="n"/>
      <c r="AY689" s="1" t="n"/>
      <c r="AZ689" s="1" t="n"/>
      <c r="BA689" s="1" t="n"/>
    </row>
    <row r="690" ht="16.5" customHeight="1" s="220">
      <c r="A690" s="1" t="n"/>
      <c r="B690" s="1" t="n"/>
      <c r="C690" s="2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  <c r="AR690" s="1" t="n"/>
      <c r="AS690" s="1" t="n"/>
      <c r="AT690" s="1" t="n"/>
      <c r="AU690" s="1" t="n"/>
      <c r="AV690" s="1" t="n"/>
      <c r="AW690" s="1" t="n"/>
      <c r="AX690" s="1" t="n"/>
      <c r="AY690" s="1" t="n"/>
      <c r="AZ690" s="1" t="n"/>
      <c r="BA690" s="1" t="n"/>
    </row>
    <row r="691" ht="16.5" customHeight="1" s="220">
      <c r="A691" s="1" t="n"/>
      <c r="B691" s="1" t="n"/>
      <c r="C691" s="2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  <c r="AR691" s="1" t="n"/>
      <c r="AS691" s="1" t="n"/>
      <c r="AT691" s="1" t="n"/>
      <c r="AU691" s="1" t="n"/>
      <c r="AV691" s="1" t="n"/>
      <c r="AW691" s="1" t="n"/>
      <c r="AX691" s="1" t="n"/>
      <c r="AY691" s="1" t="n"/>
      <c r="AZ691" s="1" t="n"/>
      <c r="BA691" s="1" t="n"/>
    </row>
    <row r="692" ht="16.5" customHeight="1" s="220">
      <c r="A692" s="1" t="n"/>
      <c r="B692" s="1" t="n"/>
      <c r="C692" s="2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  <c r="AR692" s="1" t="n"/>
      <c r="AS692" s="1" t="n"/>
      <c r="AT692" s="1" t="n"/>
      <c r="AU692" s="1" t="n"/>
      <c r="AV692" s="1" t="n"/>
      <c r="AW692" s="1" t="n"/>
      <c r="AX692" s="1" t="n"/>
      <c r="AY692" s="1" t="n"/>
      <c r="AZ692" s="1" t="n"/>
      <c r="BA692" s="1" t="n"/>
    </row>
    <row r="693" ht="16.5" customHeight="1" s="220">
      <c r="A693" s="1" t="n"/>
      <c r="B693" s="1" t="n"/>
      <c r="C693" s="2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  <c r="AR693" s="1" t="n"/>
      <c r="AS693" s="1" t="n"/>
      <c r="AT693" s="1" t="n"/>
      <c r="AU693" s="1" t="n"/>
      <c r="AV693" s="1" t="n"/>
      <c r="AW693" s="1" t="n"/>
      <c r="AX693" s="1" t="n"/>
      <c r="AY693" s="1" t="n"/>
      <c r="AZ693" s="1" t="n"/>
      <c r="BA693" s="1" t="n"/>
    </row>
    <row r="694" ht="16.5" customHeight="1" s="220">
      <c r="A694" s="1" t="n"/>
      <c r="B694" s="1" t="n"/>
      <c r="C694" s="2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  <c r="AR694" s="1" t="n"/>
      <c r="AS694" s="1" t="n"/>
      <c r="AT694" s="1" t="n"/>
      <c r="AU694" s="1" t="n"/>
      <c r="AV694" s="1" t="n"/>
      <c r="AW694" s="1" t="n"/>
      <c r="AX694" s="1" t="n"/>
      <c r="AY694" s="1" t="n"/>
      <c r="AZ694" s="1" t="n"/>
      <c r="BA694" s="1" t="n"/>
    </row>
    <row r="695" ht="16.5" customHeight="1" s="220">
      <c r="A695" s="1" t="n"/>
      <c r="B695" s="1" t="n"/>
      <c r="C695" s="2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  <c r="AR695" s="1" t="n"/>
      <c r="AS695" s="1" t="n"/>
      <c r="AT695" s="1" t="n"/>
      <c r="AU695" s="1" t="n"/>
      <c r="AV695" s="1" t="n"/>
      <c r="AW695" s="1" t="n"/>
      <c r="AX695" s="1" t="n"/>
      <c r="AY695" s="1" t="n"/>
      <c r="AZ695" s="1" t="n"/>
      <c r="BA695" s="1" t="n"/>
    </row>
    <row r="696" ht="16.5" customHeight="1" s="220">
      <c r="A696" s="1" t="n"/>
      <c r="B696" s="1" t="n"/>
      <c r="C696" s="2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  <c r="AR696" s="1" t="n"/>
      <c r="AS696" s="1" t="n"/>
      <c r="AT696" s="1" t="n"/>
      <c r="AU696" s="1" t="n"/>
      <c r="AV696" s="1" t="n"/>
      <c r="AW696" s="1" t="n"/>
      <c r="AX696" s="1" t="n"/>
      <c r="AY696" s="1" t="n"/>
      <c r="AZ696" s="1" t="n"/>
      <c r="BA696" s="1" t="n"/>
    </row>
    <row r="697" ht="16.5" customHeight="1" s="220">
      <c r="A697" s="1" t="n"/>
      <c r="B697" s="1" t="n"/>
      <c r="C697" s="2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  <c r="AR697" s="1" t="n"/>
      <c r="AS697" s="1" t="n"/>
      <c r="AT697" s="1" t="n"/>
      <c r="AU697" s="1" t="n"/>
      <c r="AV697" s="1" t="n"/>
      <c r="AW697" s="1" t="n"/>
      <c r="AX697" s="1" t="n"/>
      <c r="AY697" s="1" t="n"/>
      <c r="AZ697" s="1" t="n"/>
      <c r="BA697" s="1" t="n"/>
    </row>
    <row r="698" ht="16.5" customHeight="1" s="220">
      <c r="A698" s="1" t="n"/>
      <c r="B698" s="1" t="n"/>
      <c r="C698" s="2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Q698" s="1" t="n"/>
      <c r="AR698" s="1" t="n"/>
      <c r="AS698" s="1" t="n"/>
      <c r="AT698" s="1" t="n"/>
      <c r="AU698" s="1" t="n"/>
      <c r="AV698" s="1" t="n"/>
      <c r="AW698" s="1" t="n"/>
      <c r="AX698" s="1" t="n"/>
      <c r="AY698" s="1" t="n"/>
      <c r="AZ698" s="1" t="n"/>
      <c r="BA698" s="1" t="n"/>
    </row>
    <row r="699" ht="16.5" customHeight="1" s="220">
      <c r="A699" s="1" t="n"/>
      <c r="B699" s="1" t="n"/>
      <c r="C699" s="2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  <c r="AR699" s="1" t="n"/>
      <c r="AS699" s="1" t="n"/>
      <c r="AT699" s="1" t="n"/>
      <c r="AU699" s="1" t="n"/>
      <c r="AV699" s="1" t="n"/>
      <c r="AW699" s="1" t="n"/>
      <c r="AX699" s="1" t="n"/>
      <c r="AY699" s="1" t="n"/>
      <c r="AZ699" s="1" t="n"/>
      <c r="BA699" s="1" t="n"/>
    </row>
    <row r="700" ht="16.5" customHeight="1" s="220">
      <c r="A700" s="1" t="n"/>
      <c r="B700" s="1" t="n"/>
      <c r="C700" s="2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Q700" s="1" t="n"/>
      <c r="AR700" s="1" t="n"/>
      <c r="AS700" s="1" t="n"/>
      <c r="AT700" s="1" t="n"/>
      <c r="AU700" s="1" t="n"/>
      <c r="AV700" s="1" t="n"/>
      <c r="AW700" s="1" t="n"/>
      <c r="AX700" s="1" t="n"/>
      <c r="AY700" s="1" t="n"/>
      <c r="AZ700" s="1" t="n"/>
      <c r="BA700" s="1" t="n"/>
    </row>
    <row r="701" ht="16.5" customHeight="1" s="220">
      <c r="A701" s="1" t="n"/>
      <c r="B701" s="1" t="n"/>
      <c r="C701" s="2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  <c r="AR701" s="1" t="n"/>
      <c r="AS701" s="1" t="n"/>
      <c r="AT701" s="1" t="n"/>
      <c r="AU701" s="1" t="n"/>
      <c r="AV701" s="1" t="n"/>
      <c r="AW701" s="1" t="n"/>
      <c r="AX701" s="1" t="n"/>
      <c r="AY701" s="1" t="n"/>
      <c r="AZ701" s="1" t="n"/>
      <c r="BA701" s="1" t="n"/>
    </row>
    <row r="702" ht="16.5" customHeight="1" s="220">
      <c r="A702" s="1" t="n"/>
      <c r="B702" s="1" t="n"/>
      <c r="C702" s="2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  <c r="AR702" s="1" t="n"/>
      <c r="AS702" s="1" t="n"/>
      <c r="AT702" s="1" t="n"/>
      <c r="AU702" s="1" t="n"/>
      <c r="AV702" s="1" t="n"/>
      <c r="AW702" s="1" t="n"/>
      <c r="AX702" s="1" t="n"/>
      <c r="AY702" s="1" t="n"/>
      <c r="AZ702" s="1" t="n"/>
      <c r="BA702" s="1" t="n"/>
    </row>
    <row r="703" ht="16.5" customHeight="1" s="220">
      <c r="A703" s="1" t="n"/>
      <c r="B703" s="1" t="n"/>
      <c r="C703" s="2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  <c r="AR703" s="1" t="n"/>
      <c r="AS703" s="1" t="n"/>
      <c r="AT703" s="1" t="n"/>
      <c r="AU703" s="1" t="n"/>
      <c r="AV703" s="1" t="n"/>
      <c r="AW703" s="1" t="n"/>
      <c r="AX703" s="1" t="n"/>
      <c r="AY703" s="1" t="n"/>
      <c r="AZ703" s="1" t="n"/>
      <c r="BA703" s="1" t="n"/>
    </row>
    <row r="704" ht="16.5" customHeight="1" s="220">
      <c r="A704" s="1" t="n"/>
      <c r="B704" s="1" t="n"/>
      <c r="C704" s="2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  <c r="AR704" s="1" t="n"/>
      <c r="AS704" s="1" t="n"/>
      <c r="AT704" s="1" t="n"/>
      <c r="AU704" s="1" t="n"/>
      <c r="AV704" s="1" t="n"/>
      <c r="AW704" s="1" t="n"/>
      <c r="AX704" s="1" t="n"/>
      <c r="AY704" s="1" t="n"/>
      <c r="AZ704" s="1" t="n"/>
      <c r="BA704" s="1" t="n"/>
    </row>
    <row r="705" ht="16.5" customHeight="1" s="220">
      <c r="A705" s="1" t="n"/>
      <c r="B705" s="1" t="n"/>
      <c r="C705" s="2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  <c r="AR705" s="1" t="n"/>
      <c r="AS705" s="1" t="n"/>
      <c r="AT705" s="1" t="n"/>
      <c r="AU705" s="1" t="n"/>
      <c r="AV705" s="1" t="n"/>
      <c r="AW705" s="1" t="n"/>
      <c r="AX705" s="1" t="n"/>
      <c r="AY705" s="1" t="n"/>
      <c r="AZ705" s="1" t="n"/>
      <c r="BA705" s="1" t="n"/>
    </row>
    <row r="706" ht="16.5" customHeight="1" s="220">
      <c r="A706" s="1" t="n"/>
      <c r="B706" s="1" t="n"/>
      <c r="C706" s="2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Q706" s="1" t="n"/>
      <c r="AR706" s="1" t="n"/>
      <c r="AS706" s="1" t="n"/>
      <c r="AT706" s="1" t="n"/>
      <c r="AU706" s="1" t="n"/>
      <c r="AV706" s="1" t="n"/>
      <c r="AW706" s="1" t="n"/>
      <c r="AX706" s="1" t="n"/>
      <c r="AY706" s="1" t="n"/>
      <c r="AZ706" s="1" t="n"/>
      <c r="BA706" s="1" t="n"/>
    </row>
    <row r="707" ht="16.5" customHeight="1" s="220">
      <c r="A707" s="1" t="n"/>
      <c r="B707" s="1" t="n"/>
      <c r="C707" s="2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  <c r="AR707" s="1" t="n"/>
      <c r="AS707" s="1" t="n"/>
      <c r="AT707" s="1" t="n"/>
      <c r="AU707" s="1" t="n"/>
      <c r="AV707" s="1" t="n"/>
      <c r="AW707" s="1" t="n"/>
      <c r="AX707" s="1" t="n"/>
      <c r="AY707" s="1" t="n"/>
      <c r="AZ707" s="1" t="n"/>
      <c r="BA707" s="1" t="n"/>
    </row>
    <row r="708" ht="16.5" customHeight="1" s="220">
      <c r="A708" s="1" t="n"/>
      <c r="B708" s="1" t="n"/>
      <c r="C708" s="2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  <c r="AR708" s="1" t="n"/>
      <c r="AS708" s="1" t="n"/>
      <c r="AT708" s="1" t="n"/>
      <c r="AU708" s="1" t="n"/>
      <c r="AV708" s="1" t="n"/>
      <c r="AW708" s="1" t="n"/>
      <c r="AX708" s="1" t="n"/>
      <c r="AY708" s="1" t="n"/>
      <c r="AZ708" s="1" t="n"/>
      <c r="BA708" s="1" t="n"/>
    </row>
    <row r="709" ht="16.5" customHeight="1" s="220">
      <c r="A709" s="1" t="n"/>
      <c r="B709" s="1" t="n"/>
      <c r="C709" s="2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  <c r="AR709" s="1" t="n"/>
      <c r="AS709" s="1" t="n"/>
      <c r="AT709" s="1" t="n"/>
      <c r="AU709" s="1" t="n"/>
      <c r="AV709" s="1" t="n"/>
      <c r="AW709" s="1" t="n"/>
      <c r="AX709" s="1" t="n"/>
      <c r="AY709" s="1" t="n"/>
      <c r="AZ709" s="1" t="n"/>
      <c r="BA709" s="1" t="n"/>
    </row>
    <row r="710" ht="16.5" customHeight="1" s="220">
      <c r="A710" s="1" t="n"/>
      <c r="B710" s="1" t="n"/>
      <c r="C710" s="2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  <c r="AR710" s="1" t="n"/>
      <c r="AS710" s="1" t="n"/>
      <c r="AT710" s="1" t="n"/>
      <c r="AU710" s="1" t="n"/>
      <c r="AV710" s="1" t="n"/>
      <c r="AW710" s="1" t="n"/>
      <c r="AX710" s="1" t="n"/>
      <c r="AY710" s="1" t="n"/>
      <c r="AZ710" s="1" t="n"/>
      <c r="BA710" s="1" t="n"/>
    </row>
    <row r="711" ht="16.5" customHeight="1" s="220">
      <c r="A711" s="1" t="n"/>
      <c r="B711" s="1" t="n"/>
      <c r="C711" s="2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  <c r="AR711" s="1" t="n"/>
      <c r="AS711" s="1" t="n"/>
      <c r="AT711" s="1" t="n"/>
      <c r="AU711" s="1" t="n"/>
      <c r="AV711" s="1" t="n"/>
      <c r="AW711" s="1" t="n"/>
      <c r="AX711" s="1" t="n"/>
      <c r="AY711" s="1" t="n"/>
      <c r="AZ711" s="1" t="n"/>
      <c r="BA711" s="1" t="n"/>
    </row>
    <row r="712" ht="16.5" customHeight="1" s="220">
      <c r="A712" s="1" t="n"/>
      <c r="B712" s="1" t="n"/>
      <c r="C712" s="2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  <c r="AR712" s="1" t="n"/>
      <c r="AS712" s="1" t="n"/>
      <c r="AT712" s="1" t="n"/>
      <c r="AU712" s="1" t="n"/>
      <c r="AV712" s="1" t="n"/>
      <c r="AW712" s="1" t="n"/>
      <c r="AX712" s="1" t="n"/>
      <c r="AY712" s="1" t="n"/>
      <c r="AZ712" s="1" t="n"/>
      <c r="BA712" s="1" t="n"/>
    </row>
    <row r="713" ht="16.5" customHeight="1" s="220">
      <c r="A713" s="1" t="n"/>
      <c r="B713" s="1" t="n"/>
      <c r="C713" s="2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  <c r="AR713" s="1" t="n"/>
      <c r="AS713" s="1" t="n"/>
      <c r="AT713" s="1" t="n"/>
      <c r="AU713" s="1" t="n"/>
      <c r="AV713" s="1" t="n"/>
      <c r="AW713" s="1" t="n"/>
      <c r="AX713" s="1" t="n"/>
      <c r="AY713" s="1" t="n"/>
      <c r="AZ713" s="1" t="n"/>
      <c r="BA713" s="1" t="n"/>
    </row>
    <row r="714" ht="16.5" customHeight="1" s="220">
      <c r="A714" s="1" t="n"/>
      <c r="B714" s="1" t="n"/>
      <c r="C714" s="2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  <c r="AR714" s="1" t="n"/>
      <c r="AS714" s="1" t="n"/>
      <c r="AT714" s="1" t="n"/>
      <c r="AU714" s="1" t="n"/>
      <c r="AV714" s="1" t="n"/>
      <c r="AW714" s="1" t="n"/>
      <c r="AX714" s="1" t="n"/>
      <c r="AY714" s="1" t="n"/>
      <c r="AZ714" s="1" t="n"/>
      <c r="BA714" s="1" t="n"/>
    </row>
    <row r="715" ht="16.5" customHeight="1" s="220">
      <c r="A715" s="1" t="n"/>
      <c r="B715" s="1" t="n"/>
      <c r="C715" s="2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  <c r="AR715" s="1" t="n"/>
      <c r="AS715" s="1" t="n"/>
      <c r="AT715" s="1" t="n"/>
      <c r="AU715" s="1" t="n"/>
      <c r="AV715" s="1" t="n"/>
      <c r="AW715" s="1" t="n"/>
      <c r="AX715" s="1" t="n"/>
      <c r="AY715" s="1" t="n"/>
      <c r="AZ715" s="1" t="n"/>
      <c r="BA715" s="1" t="n"/>
    </row>
    <row r="716" ht="16.5" customHeight="1" s="220">
      <c r="A716" s="1" t="n"/>
      <c r="B716" s="1" t="n"/>
      <c r="C716" s="2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  <c r="AR716" s="1" t="n"/>
      <c r="AS716" s="1" t="n"/>
      <c r="AT716" s="1" t="n"/>
      <c r="AU716" s="1" t="n"/>
      <c r="AV716" s="1" t="n"/>
      <c r="AW716" s="1" t="n"/>
      <c r="AX716" s="1" t="n"/>
      <c r="AY716" s="1" t="n"/>
      <c r="AZ716" s="1" t="n"/>
      <c r="BA716" s="1" t="n"/>
    </row>
    <row r="717" ht="16.5" customHeight="1" s="220">
      <c r="A717" s="1" t="n"/>
      <c r="B717" s="1" t="n"/>
      <c r="C717" s="2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  <c r="AR717" s="1" t="n"/>
      <c r="AS717" s="1" t="n"/>
      <c r="AT717" s="1" t="n"/>
      <c r="AU717" s="1" t="n"/>
      <c r="AV717" s="1" t="n"/>
      <c r="AW717" s="1" t="n"/>
      <c r="AX717" s="1" t="n"/>
      <c r="AY717" s="1" t="n"/>
      <c r="AZ717" s="1" t="n"/>
      <c r="BA717" s="1" t="n"/>
    </row>
    <row r="718" ht="16.5" customHeight="1" s="220">
      <c r="A718" s="1" t="n"/>
      <c r="B718" s="1" t="n"/>
      <c r="C718" s="2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  <c r="AR718" s="1" t="n"/>
      <c r="AS718" s="1" t="n"/>
      <c r="AT718" s="1" t="n"/>
      <c r="AU718" s="1" t="n"/>
      <c r="AV718" s="1" t="n"/>
      <c r="AW718" s="1" t="n"/>
      <c r="AX718" s="1" t="n"/>
      <c r="AY718" s="1" t="n"/>
      <c r="AZ718" s="1" t="n"/>
      <c r="BA718" s="1" t="n"/>
    </row>
    <row r="719" ht="16.5" customHeight="1" s="220">
      <c r="A719" s="1" t="n"/>
      <c r="B719" s="1" t="n"/>
      <c r="C719" s="2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  <c r="AR719" s="1" t="n"/>
      <c r="AS719" s="1" t="n"/>
      <c r="AT719" s="1" t="n"/>
      <c r="AU719" s="1" t="n"/>
      <c r="AV719" s="1" t="n"/>
      <c r="AW719" s="1" t="n"/>
      <c r="AX719" s="1" t="n"/>
      <c r="AY719" s="1" t="n"/>
      <c r="AZ719" s="1" t="n"/>
      <c r="BA719" s="1" t="n"/>
    </row>
    <row r="720" ht="16.5" customHeight="1" s="220">
      <c r="A720" s="1" t="n"/>
      <c r="B720" s="1" t="n"/>
      <c r="C720" s="2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  <c r="AR720" s="1" t="n"/>
      <c r="AS720" s="1" t="n"/>
      <c r="AT720" s="1" t="n"/>
      <c r="AU720" s="1" t="n"/>
      <c r="AV720" s="1" t="n"/>
      <c r="AW720" s="1" t="n"/>
      <c r="AX720" s="1" t="n"/>
      <c r="AY720" s="1" t="n"/>
      <c r="AZ720" s="1" t="n"/>
      <c r="BA720" s="1" t="n"/>
    </row>
    <row r="721" ht="16.5" customHeight="1" s="220">
      <c r="A721" s="1" t="n"/>
      <c r="B721" s="1" t="n"/>
      <c r="C721" s="2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  <c r="AR721" s="1" t="n"/>
      <c r="AS721" s="1" t="n"/>
      <c r="AT721" s="1" t="n"/>
      <c r="AU721" s="1" t="n"/>
      <c r="AV721" s="1" t="n"/>
      <c r="AW721" s="1" t="n"/>
      <c r="AX721" s="1" t="n"/>
      <c r="AY721" s="1" t="n"/>
      <c r="AZ721" s="1" t="n"/>
      <c r="BA721" s="1" t="n"/>
    </row>
    <row r="722" ht="16.5" customHeight="1" s="220">
      <c r="A722" s="1" t="n"/>
      <c r="B722" s="1" t="n"/>
      <c r="C722" s="2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  <c r="AR722" s="1" t="n"/>
      <c r="AS722" s="1" t="n"/>
      <c r="AT722" s="1" t="n"/>
      <c r="AU722" s="1" t="n"/>
      <c r="AV722" s="1" t="n"/>
      <c r="AW722" s="1" t="n"/>
      <c r="AX722" s="1" t="n"/>
      <c r="AY722" s="1" t="n"/>
      <c r="AZ722" s="1" t="n"/>
      <c r="BA722" s="1" t="n"/>
    </row>
    <row r="723" ht="16.5" customHeight="1" s="220">
      <c r="A723" s="1" t="n"/>
      <c r="B723" s="1" t="n"/>
      <c r="C723" s="2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  <c r="AR723" s="1" t="n"/>
      <c r="AS723" s="1" t="n"/>
      <c r="AT723" s="1" t="n"/>
      <c r="AU723" s="1" t="n"/>
      <c r="AV723" s="1" t="n"/>
      <c r="AW723" s="1" t="n"/>
      <c r="AX723" s="1" t="n"/>
      <c r="AY723" s="1" t="n"/>
      <c r="AZ723" s="1" t="n"/>
      <c r="BA723" s="1" t="n"/>
    </row>
    <row r="724" ht="16.5" customHeight="1" s="220">
      <c r="A724" s="1" t="n"/>
      <c r="B724" s="1" t="n"/>
      <c r="C724" s="2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  <c r="AR724" s="1" t="n"/>
      <c r="AS724" s="1" t="n"/>
      <c r="AT724" s="1" t="n"/>
      <c r="AU724" s="1" t="n"/>
      <c r="AV724" s="1" t="n"/>
      <c r="AW724" s="1" t="n"/>
      <c r="AX724" s="1" t="n"/>
      <c r="AY724" s="1" t="n"/>
      <c r="AZ724" s="1" t="n"/>
      <c r="BA724" s="1" t="n"/>
    </row>
    <row r="725" ht="16.5" customHeight="1" s="220">
      <c r="A725" s="1" t="n"/>
      <c r="B725" s="1" t="n"/>
      <c r="C725" s="2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  <c r="AR725" s="1" t="n"/>
      <c r="AS725" s="1" t="n"/>
      <c r="AT725" s="1" t="n"/>
      <c r="AU725" s="1" t="n"/>
      <c r="AV725" s="1" t="n"/>
      <c r="AW725" s="1" t="n"/>
      <c r="AX725" s="1" t="n"/>
      <c r="AY725" s="1" t="n"/>
      <c r="AZ725" s="1" t="n"/>
      <c r="BA725" s="1" t="n"/>
    </row>
    <row r="726" ht="16.5" customHeight="1" s="220">
      <c r="A726" s="1" t="n"/>
      <c r="B726" s="1" t="n"/>
      <c r="C726" s="2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  <c r="AR726" s="1" t="n"/>
      <c r="AS726" s="1" t="n"/>
      <c r="AT726" s="1" t="n"/>
      <c r="AU726" s="1" t="n"/>
      <c r="AV726" s="1" t="n"/>
      <c r="AW726" s="1" t="n"/>
      <c r="AX726" s="1" t="n"/>
      <c r="AY726" s="1" t="n"/>
      <c r="AZ726" s="1" t="n"/>
      <c r="BA726" s="1" t="n"/>
    </row>
    <row r="727" ht="16.5" customHeight="1" s="220">
      <c r="A727" s="1" t="n"/>
      <c r="B727" s="1" t="n"/>
      <c r="C727" s="2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  <c r="AR727" s="1" t="n"/>
      <c r="AS727" s="1" t="n"/>
      <c r="AT727" s="1" t="n"/>
      <c r="AU727" s="1" t="n"/>
      <c r="AV727" s="1" t="n"/>
      <c r="AW727" s="1" t="n"/>
      <c r="AX727" s="1" t="n"/>
      <c r="AY727" s="1" t="n"/>
      <c r="AZ727" s="1" t="n"/>
      <c r="BA727" s="1" t="n"/>
    </row>
    <row r="728" ht="16.5" customHeight="1" s="220">
      <c r="A728" s="1" t="n"/>
      <c r="B728" s="1" t="n"/>
      <c r="C728" s="2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  <c r="AR728" s="1" t="n"/>
      <c r="AS728" s="1" t="n"/>
      <c r="AT728" s="1" t="n"/>
      <c r="AU728" s="1" t="n"/>
      <c r="AV728" s="1" t="n"/>
      <c r="AW728" s="1" t="n"/>
      <c r="AX728" s="1" t="n"/>
      <c r="AY728" s="1" t="n"/>
      <c r="AZ728" s="1" t="n"/>
      <c r="BA728" s="1" t="n"/>
    </row>
    <row r="729" ht="16.5" customHeight="1" s="220">
      <c r="A729" s="1" t="n"/>
      <c r="B729" s="1" t="n"/>
      <c r="C729" s="2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  <c r="AR729" s="1" t="n"/>
      <c r="AS729" s="1" t="n"/>
      <c r="AT729" s="1" t="n"/>
      <c r="AU729" s="1" t="n"/>
      <c r="AV729" s="1" t="n"/>
      <c r="AW729" s="1" t="n"/>
      <c r="AX729" s="1" t="n"/>
      <c r="AY729" s="1" t="n"/>
      <c r="AZ729" s="1" t="n"/>
      <c r="BA729" s="1" t="n"/>
    </row>
    <row r="730" ht="16.5" customHeight="1" s="220">
      <c r="A730" s="1" t="n"/>
      <c r="B730" s="1" t="n"/>
      <c r="C730" s="2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  <c r="AR730" s="1" t="n"/>
      <c r="AS730" s="1" t="n"/>
      <c r="AT730" s="1" t="n"/>
      <c r="AU730" s="1" t="n"/>
      <c r="AV730" s="1" t="n"/>
      <c r="AW730" s="1" t="n"/>
      <c r="AX730" s="1" t="n"/>
      <c r="AY730" s="1" t="n"/>
      <c r="AZ730" s="1" t="n"/>
      <c r="BA730" s="1" t="n"/>
    </row>
    <row r="731" ht="16.5" customHeight="1" s="220">
      <c r="A731" s="1" t="n"/>
      <c r="B731" s="1" t="n"/>
      <c r="C731" s="2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  <c r="AR731" s="1" t="n"/>
      <c r="AS731" s="1" t="n"/>
      <c r="AT731" s="1" t="n"/>
      <c r="AU731" s="1" t="n"/>
      <c r="AV731" s="1" t="n"/>
      <c r="AW731" s="1" t="n"/>
      <c r="AX731" s="1" t="n"/>
      <c r="AY731" s="1" t="n"/>
      <c r="AZ731" s="1" t="n"/>
      <c r="BA731" s="1" t="n"/>
    </row>
    <row r="732" ht="16.5" customHeight="1" s="220">
      <c r="A732" s="1" t="n"/>
      <c r="B732" s="1" t="n"/>
      <c r="C732" s="2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Q732" s="1" t="n"/>
      <c r="AR732" s="1" t="n"/>
      <c r="AS732" s="1" t="n"/>
      <c r="AT732" s="1" t="n"/>
      <c r="AU732" s="1" t="n"/>
      <c r="AV732" s="1" t="n"/>
      <c r="AW732" s="1" t="n"/>
      <c r="AX732" s="1" t="n"/>
      <c r="AY732" s="1" t="n"/>
      <c r="AZ732" s="1" t="n"/>
      <c r="BA732" s="1" t="n"/>
    </row>
    <row r="733" ht="16.5" customHeight="1" s="220">
      <c r="A733" s="1" t="n"/>
      <c r="B733" s="1" t="n"/>
      <c r="C733" s="2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  <c r="AR733" s="1" t="n"/>
      <c r="AS733" s="1" t="n"/>
      <c r="AT733" s="1" t="n"/>
      <c r="AU733" s="1" t="n"/>
      <c r="AV733" s="1" t="n"/>
      <c r="AW733" s="1" t="n"/>
      <c r="AX733" s="1" t="n"/>
      <c r="AY733" s="1" t="n"/>
      <c r="AZ733" s="1" t="n"/>
      <c r="BA733" s="1" t="n"/>
    </row>
    <row r="734" ht="16.5" customHeight="1" s="220">
      <c r="A734" s="1" t="n"/>
      <c r="B734" s="1" t="n"/>
      <c r="C734" s="2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  <c r="AR734" s="1" t="n"/>
      <c r="AS734" s="1" t="n"/>
      <c r="AT734" s="1" t="n"/>
      <c r="AU734" s="1" t="n"/>
      <c r="AV734" s="1" t="n"/>
      <c r="AW734" s="1" t="n"/>
      <c r="AX734" s="1" t="n"/>
      <c r="AY734" s="1" t="n"/>
      <c r="AZ734" s="1" t="n"/>
      <c r="BA734" s="1" t="n"/>
    </row>
    <row r="735" ht="16.5" customHeight="1" s="220">
      <c r="A735" s="1" t="n"/>
      <c r="B735" s="1" t="n"/>
      <c r="C735" s="2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  <c r="AR735" s="1" t="n"/>
      <c r="AS735" s="1" t="n"/>
      <c r="AT735" s="1" t="n"/>
      <c r="AU735" s="1" t="n"/>
      <c r="AV735" s="1" t="n"/>
      <c r="AW735" s="1" t="n"/>
      <c r="AX735" s="1" t="n"/>
      <c r="AY735" s="1" t="n"/>
      <c r="AZ735" s="1" t="n"/>
      <c r="BA735" s="1" t="n"/>
    </row>
    <row r="736" ht="16.5" customHeight="1" s="220">
      <c r="A736" s="1" t="n"/>
      <c r="B736" s="1" t="n"/>
      <c r="C736" s="2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  <c r="AR736" s="1" t="n"/>
      <c r="AS736" s="1" t="n"/>
      <c r="AT736" s="1" t="n"/>
      <c r="AU736" s="1" t="n"/>
      <c r="AV736" s="1" t="n"/>
      <c r="AW736" s="1" t="n"/>
      <c r="AX736" s="1" t="n"/>
      <c r="AY736" s="1" t="n"/>
      <c r="AZ736" s="1" t="n"/>
      <c r="BA736" s="1" t="n"/>
    </row>
    <row r="737" ht="16.5" customHeight="1" s="220">
      <c r="A737" s="1" t="n"/>
      <c r="B737" s="1" t="n"/>
      <c r="C737" s="2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  <c r="AR737" s="1" t="n"/>
      <c r="AS737" s="1" t="n"/>
      <c r="AT737" s="1" t="n"/>
      <c r="AU737" s="1" t="n"/>
      <c r="AV737" s="1" t="n"/>
      <c r="AW737" s="1" t="n"/>
      <c r="AX737" s="1" t="n"/>
      <c r="AY737" s="1" t="n"/>
      <c r="AZ737" s="1" t="n"/>
      <c r="BA737" s="1" t="n"/>
    </row>
    <row r="738" ht="16.5" customHeight="1" s="220">
      <c r="A738" s="1" t="n"/>
      <c r="B738" s="1" t="n"/>
      <c r="C738" s="2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  <c r="AR738" s="1" t="n"/>
      <c r="AS738" s="1" t="n"/>
      <c r="AT738" s="1" t="n"/>
      <c r="AU738" s="1" t="n"/>
      <c r="AV738" s="1" t="n"/>
      <c r="AW738" s="1" t="n"/>
      <c r="AX738" s="1" t="n"/>
      <c r="AY738" s="1" t="n"/>
      <c r="AZ738" s="1" t="n"/>
      <c r="BA738" s="1" t="n"/>
    </row>
    <row r="739" ht="16.5" customHeight="1" s="220">
      <c r="A739" s="1" t="n"/>
      <c r="B739" s="1" t="n"/>
      <c r="C739" s="2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  <c r="AR739" s="1" t="n"/>
      <c r="AS739" s="1" t="n"/>
      <c r="AT739" s="1" t="n"/>
      <c r="AU739" s="1" t="n"/>
      <c r="AV739" s="1" t="n"/>
      <c r="AW739" s="1" t="n"/>
      <c r="AX739" s="1" t="n"/>
      <c r="AY739" s="1" t="n"/>
      <c r="AZ739" s="1" t="n"/>
      <c r="BA739" s="1" t="n"/>
    </row>
    <row r="740" ht="16.5" customHeight="1" s="220">
      <c r="A740" s="1" t="n"/>
      <c r="B740" s="1" t="n"/>
      <c r="C740" s="2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  <c r="AR740" s="1" t="n"/>
      <c r="AS740" s="1" t="n"/>
      <c r="AT740" s="1" t="n"/>
      <c r="AU740" s="1" t="n"/>
      <c r="AV740" s="1" t="n"/>
      <c r="AW740" s="1" t="n"/>
      <c r="AX740" s="1" t="n"/>
      <c r="AY740" s="1" t="n"/>
      <c r="AZ740" s="1" t="n"/>
      <c r="BA740" s="1" t="n"/>
    </row>
    <row r="741" ht="16.5" customHeight="1" s="220">
      <c r="A741" s="1" t="n"/>
      <c r="B741" s="1" t="n"/>
      <c r="C741" s="2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  <c r="AR741" s="1" t="n"/>
      <c r="AS741" s="1" t="n"/>
      <c r="AT741" s="1" t="n"/>
      <c r="AU741" s="1" t="n"/>
      <c r="AV741" s="1" t="n"/>
      <c r="AW741" s="1" t="n"/>
      <c r="AX741" s="1" t="n"/>
      <c r="AY741" s="1" t="n"/>
      <c r="AZ741" s="1" t="n"/>
      <c r="BA741" s="1" t="n"/>
    </row>
    <row r="742" ht="16.5" customHeight="1" s="220">
      <c r="A742" s="1" t="n"/>
      <c r="B742" s="1" t="n"/>
      <c r="C742" s="2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  <c r="AR742" s="1" t="n"/>
      <c r="AS742" s="1" t="n"/>
      <c r="AT742" s="1" t="n"/>
      <c r="AU742" s="1" t="n"/>
      <c r="AV742" s="1" t="n"/>
      <c r="AW742" s="1" t="n"/>
      <c r="AX742" s="1" t="n"/>
      <c r="AY742" s="1" t="n"/>
      <c r="AZ742" s="1" t="n"/>
      <c r="BA742" s="1" t="n"/>
    </row>
    <row r="743" ht="16.5" customHeight="1" s="220">
      <c r="A743" s="1" t="n"/>
      <c r="B743" s="1" t="n"/>
      <c r="C743" s="2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  <c r="AR743" s="1" t="n"/>
      <c r="AS743" s="1" t="n"/>
      <c r="AT743" s="1" t="n"/>
      <c r="AU743" s="1" t="n"/>
      <c r="AV743" s="1" t="n"/>
      <c r="AW743" s="1" t="n"/>
      <c r="AX743" s="1" t="n"/>
      <c r="AY743" s="1" t="n"/>
      <c r="AZ743" s="1" t="n"/>
      <c r="BA743" s="1" t="n"/>
    </row>
    <row r="744" ht="16.5" customHeight="1" s="220">
      <c r="A744" s="1" t="n"/>
      <c r="B744" s="1" t="n"/>
      <c r="C744" s="2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  <c r="AR744" s="1" t="n"/>
      <c r="AS744" s="1" t="n"/>
      <c r="AT744" s="1" t="n"/>
      <c r="AU744" s="1" t="n"/>
      <c r="AV744" s="1" t="n"/>
      <c r="AW744" s="1" t="n"/>
      <c r="AX744" s="1" t="n"/>
      <c r="AY744" s="1" t="n"/>
      <c r="AZ744" s="1" t="n"/>
      <c r="BA744" s="1" t="n"/>
    </row>
    <row r="745" ht="16.5" customHeight="1" s="220">
      <c r="A745" s="1" t="n"/>
      <c r="B745" s="1" t="n"/>
      <c r="C745" s="2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  <c r="AR745" s="1" t="n"/>
      <c r="AS745" s="1" t="n"/>
      <c r="AT745" s="1" t="n"/>
      <c r="AU745" s="1" t="n"/>
      <c r="AV745" s="1" t="n"/>
      <c r="AW745" s="1" t="n"/>
      <c r="AX745" s="1" t="n"/>
      <c r="AY745" s="1" t="n"/>
      <c r="AZ745" s="1" t="n"/>
      <c r="BA745" s="1" t="n"/>
    </row>
    <row r="746" ht="16.5" customHeight="1" s="220">
      <c r="A746" s="1" t="n"/>
      <c r="B746" s="1" t="n"/>
      <c r="C746" s="2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  <c r="AR746" s="1" t="n"/>
      <c r="AS746" s="1" t="n"/>
      <c r="AT746" s="1" t="n"/>
      <c r="AU746" s="1" t="n"/>
      <c r="AV746" s="1" t="n"/>
      <c r="AW746" s="1" t="n"/>
      <c r="AX746" s="1" t="n"/>
      <c r="AY746" s="1" t="n"/>
      <c r="AZ746" s="1" t="n"/>
      <c r="BA746" s="1" t="n"/>
    </row>
    <row r="747" ht="16.5" customHeight="1" s="220">
      <c r="A747" s="1" t="n"/>
      <c r="B747" s="1" t="n"/>
      <c r="C747" s="2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  <c r="AR747" s="1" t="n"/>
      <c r="AS747" s="1" t="n"/>
      <c r="AT747" s="1" t="n"/>
      <c r="AU747" s="1" t="n"/>
      <c r="AV747" s="1" t="n"/>
      <c r="AW747" s="1" t="n"/>
      <c r="AX747" s="1" t="n"/>
      <c r="AY747" s="1" t="n"/>
      <c r="AZ747" s="1" t="n"/>
      <c r="BA747" s="1" t="n"/>
    </row>
    <row r="748" ht="16.5" customHeight="1" s="220">
      <c r="A748" s="1" t="n"/>
      <c r="B748" s="1" t="n"/>
      <c r="C748" s="2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  <c r="AR748" s="1" t="n"/>
      <c r="AS748" s="1" t="n"/>
      <c r="AT748" s="1" t="n"/>
      <c r="AU748" s="1" t="n"/>
      <c r="AV748" s="1" t="n"/>
      <c r="AW748" s="1" t="n"/>
      <c r="AX748" s="1" t="n"/>
      <c r="AY748" s="1" t="n"/>
      <c r="AZ748" s="1" t="n"/>
      <c r="BA748" s="1" t="n"/>
    </row>
    <row r="749" ht="16.5" customHeight="1" s="220">
      <c r="A749" s="1" t="n"/>
      <c r="B749" s="1" t="n"/>
      <c r="C749" s="2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  <c r="AR749" s="1" t="n"/>
      <c r="AS749" s="1" t="n"/>
      <c r="AT749" s="1" t="n"/>
      <c r="AU749" s="1" t="n"/>
      <c r="AV749" s="1" t="n"/>
      <c r="AW749" s="1" t="n"/>
      <c r="AX749" s="1" t="n"/>
      <c r="AY749" s="1" t="n"/>
      <c r="AZ749" s="1" t="n"/>
      <c r="BA749" s="1" t="n"/>
    </row>
    <row r="750" ht="16.5" customHeight="1" s="220">
      <c r="A750" s="1" t="n"/>
      <c r="B750" s="1" t="n"/>
      <c r="C750" s="2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  <c r="AR750" s="1" t="n"/>
      <c r="AS750" s="1" t="n"/>
      <c r="AT750" s="1" t="n"/>
      <c r="AU750" s="1" t="n"/>
      <c r="AV750" s="1" t="n"/>
      <c r="AW750" s="1" t="n"/>
      <c r="AX750" s="1" t="n"/>
      <c r="AY750" s="1" t="n"/>
      <c r="AZ750" s="1" t="n"/>
      <c r="BA750" s="1" t="n"/>
    </row>
    <row r="751" ht="16.5" customHeight="1" s="220">
      <c r="A751" s="1" t="n"/>
      <c r="B751" s="1" t="n"/>
      <c r="C751" s="2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  <c r="AR751" s="1" t="n"/>
      <c r="AS751" s="1" t="n"/>
      <c r="AT751" s="1" t="n"/>
      <c r="AU751" s="1" t="n"/>
      <c r="AV751" s="1" t="n"/>
      <c r="AW751" s="1" t="n"/>
      <c r="AX751" s="1" t="n"/>
      <c r="AY751" s="1" t="n"/>
      <c r="AZ751" s="1" t="n"/>
      <c r="BA751" s="1" t="n"/>
    </row>
    <row r="752" ht="16.5" customHeight="1" s="220">
      <c r="A752" s="1" t="n"/>
      <c r="B752" s="1" t="n"/>
      <c r="C752" s="2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  <c r="AR752" s="1" t="n"/>
      <c r="AS752" s="1" t="n"/>
      <c r="AT752" s="1" t="n"/>
      <c r="AU752" s="1" t="n"/>
      <c r="AV752" s="1" t="n"/>
      <c r="AW752" s="1" t="n"/>
      <c r="AX752" s="1" t="n"/>
      <c r="AY752" s="1" t="n"/>
      <c r="AZ752" s="1" t="n"/>
      <c r="BA752" s="1" t="n"/>
    </row>
    <row r="753" ht="16.5" customHeight="1" s="220">
      <c r="A753" s="1" t="n"/>
      <c r="B753" s="1" t="n"/>
      <c r="C753" s="2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  <c r="AR753" s="1" t="n"/>
      <c r="AS753" s="1" t="n"/>
      <c r="AT753" s="1" t="n"/>
      <c r="AU753" s="1" t="n"/>
      <c r="AV753" s="1" t="n"/>
      <c r="AW753" s="1" t="n"/>
      <c r="AX753" s="1" t="n"/>
      <c r="AY753" s="1" t="n"/>
      <c r="AZ753" s="1" t="n"/>
      <c r="BA753" s="1" t="n"/>
    </row>
    <row r="754" ht="16.5" customHeight="1" s="220">
      <c r="A754" s="1" t="n"/>
      <c r="B754" s="1" t="n"/>
      <c r="C754" s="2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  <c r="AR754" s="1" t="n"/>
      <c r="AS754" s="1" t="n"/>
      <c r="AT754" s="1" t="n"/>
      <c r="AU754" s="1" t="n"/>
      <c r="AV754" s="1" t="n"/>
      <c r="AW754" s="1" t="n"/>
      <c r="AX754" s="1" t="n"/>
      <c r="AY754" s="1" t="n"/>
      <c r="AZ754" s="1" t="n"/>
      <c r="BA754" s="1" t="n"/>
    </row>
    <row r="755" ht="16.5" customHeight="1" s="220">
      <c r="A755" s="1" t="n"/>
      <c r="B755" s="1" t="n"/>
      <c r="C755" s="2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  <c r="AR755" s="1" t="n"/>
      <c r="AS755" s="1" t="n"/>
      <c r="AT755" s="1" t="n"/>
      <c r="AU755" s="1" t="n"/>
      <c r="AV755" s="1" t="n"/>
      <c r="AW755" s="1" t="n"/>
      <c r="AX755" s="1" t="n"/>
      <c r="AY755" s="1" t="n"/>
      <c r="AZ755" s="1" t="n"/>
      <c r="BA755" s="1" t="n"/>
    </row>
    <row r="756" ht="16.5" customHeight="1" s="220">
      <c r="A756" s="1" t="n"/>
      <c r="B756" s="1" t="n"/>
      <c r="C756" s="2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  <c r="AR756" s="1" t="n"/>
      <c r="AS756" s="1" t="n"/>
      <c r="AT756" s="1" t="n"/>
      <c r="AU756" s="1" t="n"/>
      <c r="AV756" s="1" t="n"/>
      <c r="AW756" s="1" t="n"/>
      <c r="AX756" s="1" t="n"/>
      <c r="AY756" s="1" t="n"/>
      <c r="AZ756" s="1" t="n"/>
      <c r="BA756" s="1" t="n"/>
    </row>
    <row r="757" ht="16.5" customHeight="1" s="220">
      <c r="A757" s="1" t="n"/>
      <c r="B757" s="1" t="n"/>
      <c r="C757" s="2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  <c r="AR757" s="1" t="n"/>
      <c r="AS757" s="1" t="n"/>
      <c r="AT757" s="1" t="n"/>
      <c r="AU757" s="1" t="n"/>
      <c r="AV757" s="1" t="n"/>
      <c r="AW757" s="1" t="n"/>
      <c r="AX757" s="1" t="n"/>
      <c r="AY757" s="1" t="n"/>
      <c r="AZ757" s="1" t="n"/>
      <c r="BA757" s="1" t="n"/>
    </row>
    <row r="758" ht="16.5" customHeight="1" s="220">
      <c r="A758" s="1" t="n"/>
      <c r="B758" s="1" t="n"/>
      <c r="C758" s="2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  <c r="AR758" s="1" t="n"/>
      <c r="AS758" s="1" t="n"/>
      <c r="AT758" s="1" t="n"/>
      <c r="AU758" s="1" t="n"/>
      <c r="AV758" s="1" t="n"/>
      <c r="AW758" s="1" t="n"/>
      <c r="AX758" s="1" t="n"/>
      <c r="AY758" s="1" t="n"/>
      <c r="AZ758" s="1" t="n"/>
      <c r="BA758" s="1" t="n"/>
    </row>
    <row r="759" ht="16.5" customHeight="1" s="220">
      <c r="A759" s="1" t="n"/>
      <c r="B759" s="1" t="n"/>
      <c r="C759" s="2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  <c r="AR759" s="1" t="n"/>
      <c r="AS759" s="1" t="n"/>
      <c r="AT759" s="1" t="n"/>
      <c r="AU759" s="1" t="n"/>
      <c r="AV759" s="1" t="n"/>
      <c r="AW759" s="1" t="n"/>
      <c r="AX759" s="1" t="n"/>
      <c r="AY759" s="1" t="n"/>
      <c r="AZ759" s="1" t="n"/>
      <c r="BA759" s="1" t="n"/>
    </row>
    <row r="760" ht="16.5" customHeight="1" s="220">
      <c r="A760" s="1" t="n"/>
      <c r="B760" s="1" t="n"/>
      <c r="C760" s="2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  <c r="AR760" s="1" t="n"/>
      <c r="AS760" s="1" t="n"/>
      <c r="AT760" s="1" t="n"/>
      <c r="AU760" s="1" t="n"/>
      <c r="AV760" s="1" t="n"/>
      <c r="AW760" s="1" t="n"/>
      <c r="AX760" s="1" t="n"/>
      <c r="AY760" s="1" t="n"/>
      <c r="AZ760" s="1" t="n"/>
      <c r="BA760" s="1" t="n"/>
    </row>
    <row r="761" ht="16.5" customHeight="1" s="220">
      <c r="A761" s="1" t="n"/>
      <c r="B761" s="1" t="n"/>
      <c r="C761" s="2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  <c r="AR761" s="1" t="n"/>
      <c r="AS761" s="1" t="n"/>
      <c r="AT761" s="1" t="n"/>
      <c r="AU761" s="1" t="n"/>
      <c r="AV761" s="1" t="n"/>
      <c r="AW761" s="1" t="n"/>
      <c r="AX761" s="1" t="n"/>
      <c r="AY761" s="1" t="n"/>
      <c r="AZ761" s="1" t="n"/>
      <c r="BA761" s="1" t="n"/>
    </row>
    <row r="762" ht="16.5" customHeight="1" s="220">
      <c r="A762" s="1" t="n"/>
      <c r="B762" s="1" t="n"/>
      <c r="C762" s="2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  <c r="AR762" s="1" t="n"/>
      <c r="AS762" s="1" t="n"/>
      <c r="AT762" s="1" t="n"/>
      <c r="AU762" s="1" t="n"/>
      <c r="AV762" s="1" t="n"/>
      <c r="AW762" s="1" t="n"/>
      <c r="AX762" s="1" t="n"/>
      <c r="AY762" s="1" t="n"/>
      <c r="AZ762" s="1" t="n"/>
      <c r="BA762" s="1" t="n"/>
    </row>
    <row r="763" ht="16.5" customHeight="1" s="220">
      <c r="A763" s="1" t="n"/>
      <c r="B763" s="1" t="n"/>
      <c r="C763" s="2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  <c r="AR763" s="1" t="n"/>
      <c r="AS763" s="1" t="n"/>
      <c r="AT763" s="1" t="n"/>
      <c r="AU763" s="1" t="n"/>
      <c r="AV763" s="1" t="n"/>
      <c r="AW763" s="1" t="n"/>
      <c r="AX763" s="1" t="n"/>
      <c r="AY763" s="1" t="n"/>
      <c r="AZ763" s="1" t="n"/>
      <c r="BA763" s="1" t="n"/>
    </row>
    <row r="764" ht="16.5" customHeight="1" s="220">
      <c r="A764" s="1" t="n"/>
      <c r="B764" s="1" t="n"/>
      <c r="C764" s="2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  <c r="AR764" s="1" t="n"/>
      <c r="AS764" s="1" t="n"/>
      <c r="AT764" s="1" t="n"/>
      <c r="AU764" s="1" t="n"/>
      <c r="AV764" s="1" t="n"/>
      <c r="AW764" s="1" t="n"/>
      <c r="AX764" s="1" t="n"/>
      <c r="AY764" s="1" t="n"/>
      <c r="AZ764" s="1" t="n"/>
      <c r="BA764" s="1" t="n"/>
    </row>
    <row r="765" ht="16.5" customHeight="1" s="220">
      <c r="A765" s="1" t="n"/>
      <c r="B765" s="1" t="n"/>
      <c r="C765" s="2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  <c r="AR765" s="1" t="n"/>
      <c r="AS765" s="1" t="n"/>
      <c r="AT765" s="1" t="n"/>
      <c r="AU765" s="1" t="n"/>
      <c r="AV765" s="1" t="n"/>
      <c r="AW765" s="1" t="n"/>
      <c r="AX765" s="1" t="n"/>
      <c r="AY765" s="1" t="n"/>
      <c r="AZ765" s="1" t="n"/>
      <c r="BA765" s="1" t="n"/>
    </row>
    <row r="766" ht="16.5" customHeight="1" s="220">
      <c r="A766" s="1" t="n"/>
      <c r="B766" s="1" t="n"/>
      <c r="C766" s="2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  <c r="AR766" s="1" t="n"/>
      <c r="AS766" s="1" t="n"/>
      <c r="AT766" s="1" t="n"/>
      <c r="AU766" s="1" t="n"/>
      <c r="AV766" s="1" t="n"/>
      <c r="AW766" s="1" t="n"/>
      <c r="AX766" s="1" t="n"/>
      <c r="AY766" s="1" t="n"/>
      <c r="AZ766" s="1" t="n"/>
      <c r="BA766" s="1" t="n"/>
    </row>
    <row r="767" ht="16.5" customHeight="1" s="220">
      <c r="A767" s="1" t="n"/>
      <c r="B767" s="1" t="n"/>
      <c r="C767" s="2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  <c r="AR767" s="1" t="n"/>
      <c r="AS767" s="1" t="n"/>
      <c r="AT767" s="1" t="n"/>
      <c r="AU767" s="1" t="n"/>
      <c r="AV767" s="1" t="n"/>
      <c r="AW767" s="1" t="n"/>
      <c r="AX767" s="1" t="n"/>
      <c r="AY767" s="1" t="n"/>
      <c r="AZ767" s="1" t="n"/>
      <c r="BA767" s="1" t="n"/>
    </row>
    <row r="768" ht="16.5" customHeight="1" s="220">
      <c r="A768" s="1" t="n"/>
      <c r="B768" s="1" t="n"/>
      <c r="C768" s="2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  <c r="AR768" s="1" t="n"/>
      <c r="AS768" s="1" t="n"/>
      <c r="AT768" s="1" t="n"/>
      <c r="AU768" s="1" t="n"/>
      <c r="AV768" s="1" t="n"/>
      <c r="AW768" s="1" t="n"/>
      <c r="AX768" s="1" t="n"/>
      <c r="AY768" s="1" t="n"/>
      <c r="AZ768" s="1" t="n"/>
      <c r="BA768" s="1" t="n"/>
    </row>
    <row r="769" ht="16.5" customHeight="1" s="220">
      <c r="A769" s="1" t="n"/>
      <c r="B769" s="1" t="n"/>
      <c r="C769" s="2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  <c r="AR769" s="1" t="n"/>
      <c r="AS769" s="1" t="n"/>
      <c r="AT769" s="1" t="n"/>
      <c r="AU769" s="1" t="n"/>
      <c r="AV769" s="1" t="n"/>
      <c r="AW769" s="1" t="n"/>
      <c r="AX769" s="1" t="n"/>
      <c r="AY769" s="1" t="n"/>
      <c r="AZ769" s="1" t="n"/>
      <c r="BA769" s="1" t="n"/>
    </row>
    <row r="770" ht="16.5" customHeight="1" s="220">
      <c r="A770" s="1" t="n"/>
      <c r="B770" s="1" t="n"/>
      <c r="C770" s="2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  <c r="AR770" s="1" t="n"/>
      <c r="AS770" s="1" t="n"/>
      <c r="AT770" s="1" t="n"/>
      <c r="AU770" s="1" t="n"/>
      <c r="AV770" s="1" t="n"/>
      <c r="AW770" s="1" t="n"/>
      <c r="AX770" s="1" t="n"/>
      <c r="AY770" s="1" t="n"/>
      <c r="AZ770" s="1" t="n"/>
      <c r="BA770" s="1" t="n"/>
    </row>
    <row r="771" ht="16.5" customHeight="1" s="220">
      <c r="A771" s="1" t="n"/>
      <c r="B771" s="1" t="n"/>
      <c r="C771" s="2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  <c r="AR771" s="1" t="n"/>
      <c r="AS771" s="1" t="n"/>
      <c r="AT771" s="1" t="n"/>
      <c r="AU771" s="1" t="n"/>
      <c r="AV771" s="1" t="n"/>
      <c r="AW771" s="1" t="n"/>
      <c r="AX771" s="1" t="n"/>
      <c r="AY771" s="1" t="n"/>
      <c r="AZ771" s="1" t="n"/>
      <c r="BA771" s="1" t="n"/>
    </row>
    <row r="772" ht="16.5" customHeight="1" s="220">
      <c r="A772" s="1" t="n"/>
      <c r="B772" s="1" t="n"/>
      <c r="C772" s="2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  <c r="AR772" s="1" t="n"/>
      <c r="AS772" s="1" t="n"/>
      <c r="AT772" s="1" t="n"/>
      <c r="AU772" s="1" t="n"/>
      <c r="AV772" s="1" t="n"/>
      <c r="AW772" s="1" t="n"/>
      <c r="AX772" s="1" t="n"/>
      <c r="AY772" s="1" t="n"/>
      <c r="AZ772" s="1" t="n"/>
      <c r="BA772" s="1" t="n"/>
    </row>
    <row r="773" ht="16.5" customHeight="1" s="220">
      <c r="A773" s="1" t="n"/>
      <c r="B773" s="1" t="n"/>
      <c r="C773" s="2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  <c r="AR773" s="1" t="n"/>
      <c r="AS773" s="1" t="n"/>
      <c r="AT773" s="1" t="n"/>
      <c r="AU773" s="1" t="n"/>
      <c r="AV773" s="1" t="n"/>
      <c r="AW773" s="1" t="n"/>
      <c r="AX773" s="1" t="n"/>
      <c r="AY773" s="1" t="n"/>
      <c r="AZ773" s="1" t="n"/>
      <c r="BA773" s="1" t="n"/>
    </row>
    <row r="774" ht="16.5" customHeight="1" s="220">
      <c r="A774" s="1" t="n"/>
      <c r="B774" s="1" t="n"/>
      <c r="C774" s="2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  <c r="AR774" s="1" t="n"/>
      <c r="AS774" s="1" t="n"/>
      <c r="AT774" s="1" t="n"/>
      <c r="AU774" s="1" t="n"/>
      <c r="AV774" s="1" t="n"/>
      <c r="AW774" s="1" t="n"/>
      <c r="AX774" s="1" t="n"/>
      <c r="AY774" s="1" t="n"/>
      <c r="AZ774" s="1" t="n"/>
      <c r="BA774" s="1" t="n"/>
    </row>
    <row r="775" ht="16.5" customHeight="1" s="220">
      <c r="A775" s="1" t="n"/>
      <c r="B775" s="1" t="n"/>
      <c r="C775" s="2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  <c r="AR775" s="1" t="n"/>
      <c r="AS775" s="1" t="n"/>
      <c r="AT775" s="1" t="n"/>
      <c r="AU775" s="1" t="n"/>
      <c r="AV775" s="1" t="n"/>
      <c r="AW775" s="1" t="n"/>
      <c r="AX775" s="1" t="n"/>
      <c r="AY775" s="1" t="n"/>
      <c r="AZ775" s="1" t="n"/>
      <c r="BA775" s="1" t="n"/>
    </row>
    <row r="776" ht="16.5" customHeight="1" s="220">
      <c r="A776" s="1" t="n"/>
      <c r="B776" s="1" t="n"/>
      <c r="C776" s="2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  <c r="AR776" s="1" t="n"/>
      <c r="AS776" s="1" t="n"/>
      <c r="AT776" s="1" t="n"/>
      <c r="AU776" s="1" t="n"/>
      <c r="AV776" s="1" t="n"/>
      <c r="AW776" s="1" t="n"/>
      <c r="AX776" s="1" t="n"/>
      <c r="AY776" s="1" t="n"/>
      <c r="AZ776" s="1" t="n"/>
      <c r="BA776" s="1" t="n"/>
    </row>
    <row r="777" ht="16.5" customHeight="1" s="220">
      <c r="A777" s="1" t="n"/>
      <c r="B777" s="1" t="n"/>
      <c r="C777" s="2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  <c r="AR777" s="1" t="n"/>
      <c r="AS777" s="1" t="n"/>
      <c r="AT777" s="1" t="n"/>
      <c r="AU777" s="1" t="n"/>
      <c r="AV777" s="1" t="n"/>
      <c r="AW777" s="1" t="n"/>
      <c r="AX777" s="1" t="n"/>
      <c r="AY777" s="1" t="n"/>
      <c r="AZ777" s="1" t="n"/>
      <c r="BA777" s="1" t="n"/>
    </row>
    <row r="778" ht="16.5" customHeight="1" s="220">
      <c r="A778" s="1" t="n"/>
      <c r="B778" s="1" t="n"/>
      <c r="C778" s="2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Q778" s="1" t="n"/>
      <c r="AR778" s="1" t="n"/>
      <c r="AS778" s="1" t="n"/>
      <c r="AT778" s="1" t="n"/>
      <c r="AU778" s="1" t="n"/>
      <c r="AV778" s="1" t="n"/>
      <c r="AW778" s="1" t="n"/>
      <c r="AX778" s="1" t="n"/>
      <c r="AY778" s="1" t="n"/>
      <c r="AZ778" s="1" t="n"/>
      <c r="BA778" s="1" t="n"/>
    </row>
    <row r="779" ht="16.5" customHeight="1" s="220">
      <c r="A779" s="1" t="n"/>
      <c r="B779" s="1" t="n"/>
      <c r="C779" s="2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  <c r="AR779" s="1" t="n"/>
      <c r="AS779" s="1" t="n"/>
      <c r="AT779" s="1" t="n"/>
      <c r="AU779" s="1" t="n"/>
      <c r="AV779" s="1" t="n"/>
      <c r="AW779" s="1" t="n"/>
      <c r="AX779" s="1" t="n"/>
      <c r="AY779" s="1" t="n"/>
      <c r="AZ779" s="1" t="n"/>
      <c r="BA779" s="1" t="n"/>
    </row>
    <row r="780" ht="16.5" customHeight="1" s="220">
      <c r="A780" s="1" t="n"/>
      <c r="B780" s="1" t="n"/>
      <c r="C780" s="2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  <c r="AR780" s="1" t="n"/>
      <c r="AS780" s="1" t="n"/>
      <c r="AT780" s="1" t="n"/>
      <c r="AU780" s="1" t="n"/>
      <c r="AV780" s="1" t="n"/>
      <c r="AW780" s="1" t="n"/>
      <c r="AX780" s="1" t="n"/>
      <c r="AY780" s="1" t="n"/>
      <c r="AZ780" s="1" t="n"/>
      <c r="BA780" s="1" t="n"/>
    </row>
    <row r="781" ht="16.5" customHeight="1" s="220">
      <c r="A781" s="1" t="n"/>
      <c r="B781" s="1" t="n"/>
      <c r="C781" s="2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  <c r="AR781" s="1" t="n"/>
      <c r="AS781" s="1" t="n"/>
      <c r="AT781" s="1" t="n"/>
      <c r="AU781" s="1" t="n"/>
      <c r="AV781" s="1" t="n"/>
      <c r="AW781" s="1" t="n"/>
      <c r="AX781" s="1" t="n"/>
      <c r="AY781" s="1" t="n"/>
      <c r="AZ781" s="1" t="n"/>
      <c r="BA781" s="1" t="n"/>
    </row>
    <row r="782" ht="16.5" customHeight="1" s="220">
      <c r="A782" s="1" t="n"/>
      <c r="B782" s="1" t="n"/>
      <c r="C782" s="2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  <c r="AR782" s="1" t="n"/>
      <c r="AS782" s="1" t="n"/>
      <c r="AT782" s="1" t="n"/>
      <c r="AU782" s="1" t="n"/>
      <c r="AV782" s="1" t="n"/>
      <c r="AW782" s="1" t="n"/>
      <c r="AX782" s="1" t="n"/>
      <c r="AY782" s="1" t="n"/>
      <c r="AZ782" s="1" t="n"/>
      <c r="BA782" s="1" t="n"/>
    </row>
    <row r="783" ht="16.5" customHeight="1" s="220">
      <c r="A783" s="1" t="n"/>
      <c r="B783" s="1" t="n"/>
      <c r="C783" s="2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  <c r="AR783" s="1" t="n"/>
      <c r="AS783" s="1" t="n"/>
      <c r="AT783" s="1" t="n"/>
      <c r="AU783" s="1" t="n"/>
      <c r="AV783" s="1" t="n"/>
      <c r="AW783" s="1" t="n"/>
      <c r="AX783" s="1" t="n"/>
      <c r="AY783" s="1" t="n"/>
      <c r="AZ783" s="1" t="n"/>
      <c r="BA783" s="1" t="n"/>
    </row>
    <row r="784" ht="16.5" customHeight="1" s="220">
      <c r="A784" s="1" t="n"/>
      <c r="B784" s="1" t="n"/>
      <c r="C784" s="2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  <c r="AR784" s="1" t="n"/>
      <c r="AS784" s="1" t="n"/>
      <c r="AT784" s="1" t="n"/>
      <c r="AU784" s="1" t="n"/>
      <c r="AV784" s="1" t="n"/>
      <c r="AW784" s="1" t="n"/>
      <c r="AX784" s="1" t="n"/>
      <c r="AY784" s="1" t="n"/>
      <c r="AZ784" s="1" t="n"/>
      <c r="BA784" s="1" t="n"/>
    </row>
    <row r="785" ht="16.5" customHeight="1" s="220">
      <c r="A785" s="1" t="n"/>
      <c r="B785" s="1" t="n"/>
      <c r="C785" s="2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  <c r="AR785" s="1" t="n"/>
      <c r="AS785" s="1" t="n"/>
      <c r="AT785" s="1" t="n"/>
      <c r="AU785" s="1" t="n"/>
      <c r="AV785" s="1" t="n"/>
      <c r="AW785" s="1" t="n"/>
      <c r="AX785" s="1" t="n"/>
      <c r="AY785" s="1" t="n"/>
      <c r="AZ785" s="1" t="n"/>
      <c r="BA785" s="1" t="n"/>
    </row>
    <row r="786" ht="16.5" customHeight="1" s="220">
      <c r="A786" s="1" t="n"/>
      <c r="B786" s="1" t="n"/>
      <c r="C786" s="2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  <c r="AR786" s="1" t="n"/>
      <c r="AS786" s="1" t="n"/>
      <c r="AT786" s="1" t="n"/>
      <c r="AU786" s="1" t="n"/>
      <c r="AV786" s="1" t="n"/>
      <c r="AW786" s="1" t="n"/>
      <c r="AX786" s="1" t="n"/>
      <c r="AY786" s="1" t="n"/>
      <c r="AZ786" s="1" t="n"/>
      <c r="BA786" s="1" t="n"/>
    </row>
    <row r="787" ht="16.5" customHeight="1" s="220">
      <c r="A787" s="1" t="n"/>
      <c r="B787" s="1" t="n"/>
      <c r="C787" s="2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  <c r="AR787" s="1" t="n"/>
      <c r="AS787" s="1" t="n"/>
      <c r="AT787" s="1" t="n"/>
      <c r="AU787" s="1" t="n"/>
      <c r="AV787" s="1" t="n"/>
      <c r="AW787" s="1" t="n"/>
      <c r="AX787" s="1" t="n"/>
      <c r="AY787" s="1" t="n"/>
      <c r="AZ787" s="1" t="n"/>
      <c r="BA787" s="1" t="n"/>
    </row>
    <row r="788" ht="16.5" customHeight="1" s="220">
      <c r="A788" s="1" t="n"/>
      <c r="B788" s="1" t="n"/>
      <c r="C788" s="2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  <c r="AR788" s="1" t="n"/>
      <c r="AS788" s="1" t="n"/>
      <c r="AT788" s="1" t="n"/>
      <c r="AU788" s="1" t="n"/>
      <c r="AV788" s="1" t="n"/>
      <c r="AW788" s="1" t="n"/>
      <c r="AX788" s="1" t="n"/>
      <c r="AY788" s="1" t="n"/>
      <c r="AZ788" s="1" t="n"/>
      <c r="BA788" s="1" t="n"/>
    </row>
    <row r="789" ht="16.5" customHeight="1" s="220">
      <c r="A789" s="1" t="n"/>
      <c r="B789" s="1" t="n"/>
      <c r="C789" s="2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  <c r="AR789" s="1" t="n"/>
      <c r="AS789" s="1" t="n"/>
      <c r="AT789" s="1" t="n"/>
      <c r="AU789" s="1" t="n"/>
      <c r="AV789" s="1" t="n"/>
      <c r="AW789" s="1" t="n"/>
      <c r="AX789" s="1" t="n"/>
      <c r="AY789" s="1" t="n"/>
      <c r="AZ789" s="1" t="n"/>
      <c r="BA789" s="1" t="n"/>
    </row>
    <row r="790" ht="16.5" customHeight="1" s="220">
      <c r="A790" s="1" t="n"/>
      <c r="B790" s="1" t="n"/>
      <c r="C790" s="2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Q790" s="1" t="n"/>
      <c r="AR790" s="1" t="n"/>
      <c r="AS790" s="1" t="n"/>
      <c r="AT790" s="1" t="n"/>
      <c r="AU790" s="1" t="n"/>
      <c r="AV790" s="1" t="n"/>
      <c r="AW790" s="1" t="n"/>
      <c r="AX790" s="1" t="n"/>
      <c r="AY790" s="1" t="n"/>
      <c r="AZ790" s="1" t="n"/>
      <c r="BA790" s="1" t="n"/>
    </row>
    <row r="791" ht="16.5" customHeight="1" s="220">
      <c r="A791" s="1" t="n"/>
      <c r="B791" s="1" t="n"/>
      <c r="C791" s="2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  <c r="AR791" s="1" t="n"/>
      <c r="AS791" s="1" t="n"/>
      <c r="AT791" s="1" t="n"/>
      <c r="AU791" s="1" t="n"/>
      <c r="AV791" s="1" t="n"/>
      <c r="AW791" s="1" t="n"/>
      <c r="AX791" s="1" t="n"/>
      <c r="AY791" s="1" t="n"/>
      <c r="AZ791" s="1" t="n"/>
      <c r="BA791" s="1" t="n"/>
    </row>
    <row r="792" ht="16.5" customHeight="1" s="220">
      <c r="A792" s="1" t="n"/>
      <c r="B792" s="1" t="n"/>
      <c r="C792" s="2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  <c r="AR792" s="1" t="n"/>
      <c r="AS792" s="1" t="n"/>
      <c r="AT792" s="1" t="n"/>
      <c r="AU792" s="1" t="n"/>
      <c r="AV792" s="1" t="n"/>
      <c r="AW792" s="1" t="n"/>
      <c r="AX792" s="1" t="n"/>
      <c r="AY792" s="1" t="n"/>
      <c r="AZ792" s="1" t="n"/>
      <c r="BA792" s="1" t="n"/>
    </row>
    <row r="793" ht="16.5" customHeight="1" s="220">
      <c r="A793" s="1" t="n"/>
      <c r="B793" s="1" t="n"/>
      <c r="C793" s="2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  <c r="AR793" s="1" t="n"/>
      <c r="AS793" s="1" t="n"/>
      <c r="AT793" s="1" t="n"/>
      <c r="AU793" s="1" t="n"/>
      <c r="AV793" s="1" t="n"/>
      <c r="AW793" s="1" t="n"/>
      <c r="AX793" s="1" t="n"/>
      <c r="AY793" s="1" t="n"/>
      <c r="AZ793" s="1" t="n"/>
      <c r="BA793" s="1" t="n"/>
    </row>
    <row r="794" ht="16.5" customHeight="1" s="220">
      <c r="A794" s="1" t="n"/>
      <c r="B794" s="1" t="n"/>
      <c r="C794" s="2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  <c r="AR794" s="1" t="n"/>
      <c r="AS794" s="1" t="n"/>
      <c r="AT794" s="1" t="n"/>
      <c r="AU794" s="1" t="n"/>
      <c r="AV794" s="1" t="n"/>
      <c r="AW794" s="1" t="n"/>
      <c r="AX794" s="1" t="n"/>
      <c r="AY794" s="1" t="n"/>
      <c r="AZ794" s="1" t="n"/>
      <c r="BA794" s="1" t="n"/>
    </row>
    <row r="795" ht="16.5" customHeight="1" s="220">
      <c r="A795" s="1" t="n"/>
      <c r="B795" s="1" t="n"/>
      <c r="C795" s="2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  <c r="AR795" s="1" t="n"/>
      <c r="AS795" s="1" t="n"/>
      <c r="AT795" s="1" t="n"/>
      <c r="AU795" s="1" t="n"/>
      <c r="AV795" s="1" t="n"/>
      <c r="AW795" s="1" t="n"/>
      <c r="AX795" s="1" t="n"/>
      <c r="AY795" s="1" t="n"/>
      <c r="AZ795" s="1" t="n"/>
      <c r="BA795" s="1" t="n"/>
    </row>
    <row r="796" ht="16.5" customHeight="1" s="220">
      <c r="A796" s="1" t="n"/>
      <c r="B796" s="1" t="n"/>
      <c r="C796" s="2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  <c r="AR796" s="1" t="n"/>
      <c r="AS796" s="1" t="n"/>
      <c r="AT796" s="1" t="n"/>
      <c r="AU796" s="1" t="n"/>
      <c r="AV796" s="1" t="n"/>
      <c r="AW796" s="1" t="n"/>
      <c r="AX796" s="1" t="n"/>
      <c r="AY796" s="1" t="n"/>
      <c r="AZ796" s="1" t="n"/>
      <c r="BA796" s="1" t="n"/>
    </row>
    <row r="797" ht="16.5" customHeight="1" s="220">
      <c r="A797" s="1" t="n"/>
      <c r="B797" s="1" t="n"/>
      <c r="C797" s="2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  <c r="AR797" s="1" t="n"/>
      <c r="AS797" s="1" t="n"/>
      <c r="AT797" s="1" t="n"/>
      <c r="AU797" s="1" t="n"/>
      <c r="AV797" s="1" t="n"/>
      <c r="AW797" s="1" t="n"/>
      <c r="AX797" s="1" t="n"/>
      <c r="AY797" s="1" t="n"/>
      <c r="AZ797" s="1" t="n"/>
      <c r="BA797" s="1" t="n"/>
    </row>
    <row r="798" ht="16.5" customHeight="1" s="220">
      <c r="A798" s="1" t="n"/>
      <c r="B798" s="1" t="n"/>
      <c r="C798" s="2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  <c r="AR798" s="1" t="n"/>
      <c r="AS798" s="1" t="n"/>
      <c r="AT798" s="1" t="n"/>
      <c r="AU798" s="1" t="n"/>
      <c r="AV798" s="1" t="n"/>
      <c r="AW798" s="1" t="n"/>
      <c r="AX798" s="1" t="n"/>
      <c r="AY798" s="1" t="n"/>
      <c r="AZ798" s="1" t="n"/>
      <c r="BA798" s="1" t="n"/>
    </row>
    <row r="799" ht="16.5" customHeight="1" s="220">
      <c r="A799" s="1" t="n"/>
      <c r="B799" s="1" t="n"/>
      <c r="C799" s="2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  <c r="AR799" s="1" t="n"/>
      <c r="AS799" s="1" t="n"/>
      <c r="AT799" s="1" t="n"/>
      <c r="AU799" s="1" t="n"/>
      <c r="AV799" s="1" t="n"/>
      <c r="AW799" s="1" t="n"/>
      <c r="AX799" s="1" t="n"/>
      <c r="AY799" s="1" t="n"/>
      <c r="AZ799" s="1" t="n"/>
      <c r="BA799" s="1" t="n"/>
    </row>
    <row r="800" ht="16.5" customHeight="1" s="220">
      <c r="A800" s="1" t="n"/>
      <c r="B800" s="1" t="n"/>
      <c r="C800" s="2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  <c r="AR800" s="1" t="n"/>
      <c r="AS800" s="1" t="n"/>
      <c r="AT800" s="1" t="n"/>
      <c r="AU800" s="1" t="n"/>
      <c r="AV800" s="1" t="n"/>
      <c r="AW800" s="1" t="n"/>
      <c r="AX800" s="1" t="n"/>
      <c r="AY800" s="1" t="n"/>
      <c r="AZ800" s="1" t="n"/>
      <c r="BA800" s="1" t="n"/>
    </row>
    <row r="801" ht="16.5" customHeight="1" s="220">
      <c r="A801" s="1" t="n"/>
      <c r="B801" s="1" t="n"/>
      <c r="C801" s="2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  <c r="AR801" s="1" t="n"/>
      <c r="AS801" s="1" t="n"/>
      <c r="AT801" s="1" t="n"/>
      <c r="AU801" s="1" t="n"/>
      <c r="AV801" s="1" t="n"/>
      <c r="AW801" s="1" t="n"/>
      <c r="AX801" s="1" t="n"/>
      <c r="AY801" s="1" t="n"/>
      <c r="AZ801" s="1" t="n"/>
      <c r="BA801" s="1" t="n"/>
    </row>
    <row r="802" ht="16.5" customHeight="1" s="220">
      <c r="A802" s="1" t="n"/>
      <c r="B802" s="1" t="n"/>
      <c r="C802" s="2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  <c r="AR802" s="1" t="n"/>
      <c r="AS802" s="1" t="n"/>
      <c r="AT802" s="1" t="n"/>
      <c r="AU802" s="1" t="n"/>
      <c r="AV802" s="1" t="n"/>
      <c r="AW802" s="1" t="n"/>
      <c r="AX802" s="1" t="n"/>
      <c r="AY802" s="1" t="n"/>
      <c r="AZ802" s="1" t="n"/>
      <c r="BA802" s="1" t="n"/>
    </row>
    <row r="803" ht="16.5" customHeight="1" s="220">
      <c r="A803" s="1" t="n"/>
      <c r="B803" s="1" t="n"/>
      <c r="C803" s="2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  <c r="AR803" s="1" t="n"/>
      <c r="AS803" s="1" t="n"/>
      <c r="AT803" s="1" t="n"/>
      <c r="AU803" s="1" t="n"/>
      <c r="AV803" s="1" t="n"/>
      <c r="AW803" s="1" t="n"/>
      <c r="AX803" s="1" t="n"/>
      <c r="AY803" s="1" t="n"/>
      <c r="AZ803" s="1" t="n"/>
      <c r="BA803" s="1" t="n"/>
    </row>
    <row r="804" ht="16.5" customHeight="1" s="220">
      <c r="A804" s="1" t="n"/>
      <c r="B804" s="1" t="n"/>
      <c r="C804" s="2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  <c r="AR804" s="1" t="n"/>
      <c r="AS804" s="1" t="n"/>
      <c r="AT804" s="1" t="n"/>
      <c r="AU804" s="1" t="n"/>
      <c r="AV804" s="1" t="n"/>
      <c r="AW804" s="1" t="n"/>
      <c r="AX804" s="1" t="n"/>
      <c r="AY804" s="1" t="n"/>
      <c r="AZ804" s="1" t="n"/>
      <c r="BA804" s="1" t="n"/>
    </row>
    <row r="805" ht="16.5" customHeight="1" s="220">
      <c r="A805" s="1" t="n"/>
      <c r="B805" s="1" t="n"/>
      <c r="C805" s="2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  <c r="AR805" s="1" t="n"/>
      <c r="AS805" s="1" t="n"/>
      <c r="AT805" s="1" t="n"/>
      <c r="AU805" s="1" t="n"/>
      <c r="AV805" s="1" t="n"/>
      <c r="AW805" s="1" t="n"/>
      <c r="AX805" s="1" t="n"/>
      <c r="AY805" s="1" t="n"/>
      <c r="AZ805" s="1" t="n"/>
      <c r="BA805" s="1" t="n"/>
    </row>
    <row r="806" ht="16.5" customHeight="1" s="220">
      <c r="A806" s="1" t="n"/>
      <c r="B806" s="1" t="n"/>
      <c r="C806" s="2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Q806" s="1" t="n"/>
      <c r="AR806" s="1" t="n"/>
      <c r="AS806" s="1" t="n"/>
      <c r="AT806" s="1" t="n"/>
      <c r="AU806" s="1" t="n"/>
      <c r="AV806" s="1" t="n"/>
      <c r="AW806" s="1" t="n"/>
      <c r="AX806" s="1" t="n"/>
      <c r="AY806" s="1" t="n"/>
      <c r="AZ806" s="1" t="n"/>
      <c r="BA806" s="1" t="n"/>
    </row>
    <row r="807" ht="16.5" customHeight="1" s="220">
      <c r="A807" s="1" t="n"/>
      <c r="B807" s="1" t="n"/>
      <c r="C807" s="2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  <c r="AR807" s="1" t="n"/>
      <c r="AS807" s="1" t="n"/>
      <c r="AT807" s="1" t="n"/>
      <c r="AU807" s="1" t="n"/>
      <c r="AV807" s="1" t="n"/>
      <c r="AW807" s="1" t="n"/>
      <c r="AX807" s="1" t="n"/>
      <c r="AY807" s="1" t="n"/>
      <c r="AZ807" s="1" t="n"/>
      <c r="BA807" s="1" t="n"/>
    </row>
    <row r="808" ht="16.5" customHeight="1" s="220">
      <c r="A808" s="1" t="n"/>
      <c r="B808" s="1" t="n"/>
      <c r="C808" s="2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  <c r="AR808" s="1" t="n"/>
      <c r="AS808" s="1" t="n"/>
      <c r="AT808" s="1" t="n"/>
      <c r="AU808" s="1" t="n"/>
      <c r="AV808" s="1" t="n"/>
      <c r="AW808" s="1" t="n"/>
      <c r="AX808" s="1" t="n"/>
      <c r="AY808" s="1" t="n"/>
      <c r="AZ808" s="1" t="n"/>
      <c r="BA808" s="1" t="n"/>
    </row>
    <row r="809" ht="16.5" customHeight="1" s="220">
      <c r="A809" s="1" t="n"/>
      <c r="B809" s="1" t="n"/>
      <c r="C809" s="2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  <c r="AR809" s="1" t="n"/>
      <c r="AS809" s="1" t="n"/>
      <c r="AT809" s="1" t="n"/>
      <c r="AU809" s="1" t="n"/>
      <c r="AV809" s="1" t="n"/>
      <c r="AW809" s="1" t="n"/>
      <c r="AX809" s="1" t="n"/>
      <c r="AY809" s="1" t="n"/>
      <c r="AZ809" s="1" t="n"/>
      <c r="BA809" s="1" t="n"/>
    </row>
    <row r="810" ht="16.5" customHeight="1" s="220">
      <c r="A810" s="1" t="n"/>
      <c r="B810" s="1" t="n"/>
      <c r="C810" s="2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  <c r="AR810" s="1" t="n"/>
      <c r="AS810" s="1" t="n"/>
      <c r="AT810" s="1" t="n"/>
      <c r="AU810" s="1" t="n"/>
      <c r="AV810" s="1" t="n"/>
      <c r="AW810" s="1" t="n"/>
      <c r="AX810" s="1" t="n"/>
      <c r="AY810" s="1" t="n"/>
      <c r="AZ810" s="1" t="n"/>
      <c r="BA810" s="1" t="n"/>
    </row>
    <row r="811" ht="16.5" customHeight="1" s="220">
      <c r="A811" s="1" t="n"/>
      <c r="B811" s="1" t="n"/>
      <c r="C811" s="2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  <c r="AR811" s="1" t="n"/>
      <c r="AS811" s="1" t="n"/>
      <c r="AT811" s="1" t="n"/>
      <c r="AU811" s="1" t="n"/>
      <c r="AV811" s="1" t="n"/>
      <c r="AW811" s="1" t="n"/>
      <c r="AX811" s="1" t="n"/>
      <c r="AY811" s="1" t="n"/>
      <c r="AZ811" s="1" t="n"/>
      <c r="BA811" s="1" t="n"/>
    </row>
    <row r="812" ht="16.5" customHeight="1" s="220">
      <c r="A812" s="1" t="n"/>
      <c r="B812" s="1" t="n"/>
      <c r="C812" s="2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  <c r="AR812" s="1" t="n"/>
      <c r="AS812" s="1" t="n"/>
      <c r="AT812" s="1" t="n"/>
      <c r="AU812" s="1" t="n"/>
      <c r="AV812" s="1" t="n"/>
      <c r="AW812" s="1" t="n"/>
      <c r="AX812" s="1" t="n"/>
      <c r="AY812" s="1" t="n"/>
      <c r="AZ812" s="1" t="n"/>
      <c r="BA812" s="1" t="n"/>
    </row>
    <row r="813" ht="16.5" customHeight="1" s="220">
      <c r="A813" s="1" t="n"/>
      <c r="B813" s="1" t="n"/>
      <c r="C813" s="2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  <c r="AR813" s="1" t="n"/>
      <c r="AS813" s="1" t="n"/>
      <c r="AT813" s="1" t="n"/>
      <c r="AU813" s="1" t="n"/>
      <c r="AV813" s="1" t="n"/>
      <c r="AW813" s="1" t="n"/>
      <c r="AX813" s="1" t="n"/>
      <c r="AY813" s="1" t="n"/>
      <c r="AZ813" s="1" t="n"/>
      <c r="BA813" s="1" t="n"/>
    </row>
    <row r="814" ht="16.5" customHeight="1" s="220">
      <c r="A814" s="1" t="n"/>
      <c r="B814" s="1" t="n"/>
      <c r="C814" s="2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  <c r="AR814" s="1" t="n"/>
      <c r="AS814" s="1" t="n"/>
      <c r="AT814" s="1" t="n"/>
      <c r="AU814" s="1" t="n"/>
      <c r="AV814" s="1" t="n"/>
      <c r="AW814" s="1" t="n"/>
      <c r="AX814" s="1" t="n"/>
      <c r="AY814" s="1" t="n"/>
      <c r="AZ814" s="1" t="n"/>
      <c r="BA814" s="1" t="n"/>
    </row>
    <row r="815" ht="16.5" customHeight="1" s="220">
      <c r="A815" s="1" t="n"/>
      <c r="B815" s="1" t="n"/>
      <c r="C815" s="2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  <c r="AR815" s="1" t="n"/>
      <c r="AS815" s="1" t="n"/>
      <c r="AT815" s="1" t="n"/>
      <c r="AU815" s="1" t="n"/>
      <c r="AV815" s="1" t="n"/>
      <c r="AW815" s="1" t="n"/>
      <c r="AX815" s="1" t="n"/>
      <c r="AY815" s="1" t="n"/>
      <c r="AZ815" s="1" t="n"/>
      <c r="BA815" s="1" t="n"/>
    </row>
    <row r="816" ht="16.5" customHeight="1" s="220">
      <c r="A816" s="1" t="n"/>
      <c r="B816" s="1" t="n"/>
      <c r="C816" s="2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  <c r="AR816" s="1" t="n"/>
      <c r="AS816" s="1" t="n"/>
      <c r="AT816" s="1" t="n"/>
      <c r="AU816" s="1" t="n"/>
      <c r="AV816" s="1" t="n"/>
      <c r="AW816" s="1" t="n"/>
      <c r="AX816" s="1" t="n"/>
      <c r="AY816" s="1" t="n"/>
      <c r="AZ816" s="1" t="n"/>
      <c r="BA816" s="1" t="n"/>
    </row>
    <row r="817" ht="16.5" customHeight="1" s="220">
      <c r="A817" s="1" t="n"/>
      <c r="B817" s="1" t="n"/>
      <c r="C817" s="2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  <c r="AR817" s="1" t="n"/>
      <c r="AS817" s="1" t="n"/>
      <c r="AT817" s="1" t="n"/>
      <c r="AU817" s="1" t="n"/>
      <c r="AV817" s="1" t="n"/>
      <c r="AW817" s="1" t="n"/>
      <c r="AX817" s="1" t="n"/>
      <c r="AY817" s="1" t="n"/>
      <c r="AZ817" s="1" t="n"/>
      <c r="BA817" s="1" t="n"/>
    </row>
    <row r="818" ht="16.5" customHeight="1" s="220">
      <c r="A818" s="1" t="n"/>
      <c r="B818" s="1" t="n"/>
      <c r="C818" s="2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Q818" s="1" t="n"/>
      <c r="AR818" s="1" t="n"/>
      <c r="AS818" s="1" t="n"/>
      <c r="AT818" s="1" t="n"/>
      <c r="AU818" s="1" t="n"/>
      <c r="AV818" s="1" t="n"/>
      <c r="AW818" s="1" t="n"/>
      <c r="AX818" s="1" t="n"/>
      <c r="AY818" s="1" t="n"/>
      <c r="AZ818" s="1" t="n"/>
      <c r="BA818" s="1" t="n"/>
    </row>
    <row r="819" ht="16.5" customHeight="1" s="220">
      <c r="A819" s="1" t="n"/>
      <c r="B819" s="1" t="n"/>
      <c r="C819" s="2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  <c r="AR819" s="1" t="n"/>
      <c r="AS819" s="1" t="n"/>
      <c r="AT819" s="1" t="n"/>
      <c r="AU819" s="1" t="n"/>
      <c r="AV819" s="1" t="n"/>
      <c r="AW819" s="1" t="n"/>
      <c r="AX819" s="1" t="n"/>
      <c r="AY819" s="1" t="n"/>
      <c r="AZ819" s="1" t="n"/>
      <c r="BA819" s="1" t="n"/>
    </row>
    <row r="820" ht="16.5" customHeight="1" s="220">
      <c r="A820" s="1" t="n"/>
      <c r="B820" s="1" t="n"/>
      <c r="C820" s="2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  <c r="AR820" s="1" t="n"/>
      <c r="AS820" s="1" t="n"/>
      <c r="AT820" s="1" t="n"/>
      <c r="AU820" s="1" t="n"/>
      <c r="AV820" s="1" t="n"/>
      <c r="AW820" s="1" t="n"/>
      <c r="AX820" s="1" t="n"/>
      <c r="AY820" s="1" t="n"/>
      <c r="AZ820" s="1" t="n"/>
      <c r="BA820" s="1" t="n"/>
    </row>
    <row r="821" ht="16.5" customHeight="1" s="220">
      <c r="A821" s="1" t="n"/>
      <c r="B821" s="1" t="n"/>
      <c r="C821" s="2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  <c r="AR821" s="1" t="n"/>
      <c r="AS821" s="1" t="n"/>
      <c r="AT821" s="1" t="n"/>
      <c r="AU821" s="1" t="n"/>
      <c r="AV821" s="1" t="n"/>
      <c r="AW821" s="1" t="n"/>
      <c r="AX821" s="1" t="n"/>
      <c r="AY821" s="1" t="n"/>
      <c r="AZ821" s="1" t="n"/>
      <c r="BA821" s="1" t="n"/>
    </row>
    <row r="822" ht="16.5" customHeight="1" s="220">
      <c r="A822" s="1" t="n"/>
      <c r="B822" s="1" t="n"/>
      <c r="C822" s="2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  <c r="AR822" s="1" t="n"/>
      <c r="AS822" s="1" t="n"/>
      <c r="AT822" s="1" t="n"/>
      <c r="AU822" s="1" t="n"/>
      <c r="AV822" s="1" t="n"/>
      <c r="AW822" s="1" t="n"/>
      <c r="AX822" s="1" t="n"/>
      <c r="AY822" s="1" t="n"/>
      <c r="AZ822" s="1" t="n"/>
      <c r="BA822" s="1" t="n"/>
    </row>
    <row r="823" ht="16.5" customHeight="1" s="220">
      <c r="A823" s="1" t="n"/>
      <c r="B823" s="1" t="n"/>
      <c r="C823" s="2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  <c r="AR823" s="1" t="n"/>
      <c r="AS823" s="1" t="n"/>
      <c r="AT823" s="1" t="n"/>
      <c r="AU823" s="1" t="n"/>
      <c r="AV823" s="1" t="n"/>
      <c r="AW823" s="1" t="n"/>
      <c r="AX823" s="1" t="n"/>
      <c r="AY823" s="1" t="n"/>
      <c r="AZ823" s="1" t="n"/>
      <c r="BA823" s="1" t="n"/>
    </row>
    <row r="824" ht="16.5" customHeight="1" s="220">
      <c r="A824" s="1" t="n"/>
      <c r="B824" s="1" t="n"/>
      <c r="C824" s="2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  <c r="AR824" s="1" t="n"/>
      <c r="AS824" s="1" t="n"/>
      <c r="AT824" s="1" t="n"/>
      <c r="AU824" s="1" t="n"/>
      <c r="AV824" s="1" t="n"/>
      <c r="AW824" s="1" t="n"/>
      <c r="AX824" s="1" t="n"/>
      <c r="AY824" s="1" t="n"/>
      <c r="AZ824" s="1" t="n"/>
      <c r="BA824" s="1" t="n"/>
    </row>
    <row r="825" ht="16.5" customHeight="1" s="220">
      <c r="A825" s="1" t="n"/>
      <c r="B825" s="1" t="n"/>
      <c r="C825" s="2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  <c r="AR825" s="1" t="n"/>
      <c r="AS825" s="1" t="n"/>
      <c r="AT825" s="1" t="n"/>
      <c r="AU825" s="1" t="n"/>
      <c r="AV825" s="1" t="n"/>
      <c r="AW825" s="1" t="n"/>
      <c r="AX825" s="1" t="n"/>
      <c r="AY825" s="1" t="n"/>
      <c r="AZ825" s="1" t="n"/>
      <c r="BA825" s="1" t="n"/>
    </row>
    <row r="826" ht="16.5" customHeight="1" s="220">
      <c r="A826" s="1" t="n"/>
      <c r="B826" s="1" t="n"/>
      <c r="C826" s="2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  <c r="AR826" s="1" t="n"/>
      <c r="AS826" s="1" t="n"/>
      <c r="AT826" s="1" t="n"/>
      <c r="AU826" s="1" t="n"/>
      <c r="AV826" s="1" t="n"/>
      <c r="AW826" s="1" t="n"/>
      <c r="AX826" s="1" t="n"/>
      <c r="AY826" s="1" t="n"/>
      <c r="AZ826" s="1" t="n"/>
      <c r="BA826" s="1" t="n"/>
    </row>
    <row r="827" ht="16.5" customHeight="1" s="220">
      <c r="A827" s="1" t="n"/>
      <c r="B827" s="1" t="n"/>
      <c r="C827" s="2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  <c r="AR827" s="1" t="n"/>
      <c r="AS827" s="1" t="n"/>
      <c r="AT827" s="1" t="n"/>
      <c r="AU827" s="1" t="n"/>
      <c r="AV827" s="1" t="n"/>
      <c r="AW827" s="1" t="n"/>
      <c r="AX827" s="1" t="n"/>
      <c r="AY827" s="1" t="n"/>
      <c r="AZ827" s="1" t="n"/>
      <c r="BA827" s="1" t="n"/>
    </row>
    <row r="828" ht="16.5" customHeight="1" s="220">
      <c r="A828" s="1" t="n"/>
      <c r="B828" s="1" t="n"/>
      <c r="C828" s="2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Q828" s="1" t="n"/>
      <c r="AR828" s="1" t="n"/>
      <c r="AS828" s="1" t="n"/>
      <c r="AT828" s="1" t="n"/>
      <c r="AU828" s="1" t="n"/>
      <c r="AV828" s="1" t="n"/>
      <c r="AW828" s="1" t="n"/>
      <c r="AX828" s="1" t="n"/>
      <c r="AY828" s="1" t="n"/>
      <c r="AZ828" s="1" t="n"/>
      <c r="BA828" s="1" t="n"/>
    </row>
    <row r="829" ht="16.5" customHeight="1" s="220">
      <c r="A829" s="1" t="n"/>
      <c r="B829" s="1" t="n"/>
      <c r="C829" s="2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  <c r="AR829" s="1" t="n"/>
      <c r="AS829" s="1" t="n"/>
      <c r="AT829" s="1" t="n"/>
      <c r="AU829" s="1" t="n"/>
      <c r="AV829" s="1" t="n"/>
      <c r="AW829" s="1" t="n"/>
      <c r="AX829" s="1" t="n"/>
      <c r="AY829" s="1" t="n"/>
      <c r="AZ829" s="1" t="n"/>
      <c r="BA829" s="1" t="n"/>
    </row>
    <row r="830" ht="16.5" customHeight="1" s="220">
      <c r="A830" s="1" t="n"/>
      <c r="B830" s="1" t="n"/>
      <c r="C830" s="2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  <c r="AR830" s="1" t="n"/>
      <c r="AS830" s="1" t="n"/>
      <c r="AT830" s="1" t="n"/>
      <c r="AU830" s="1" t="n"/>
      <c r="AV830" s="1" t="n"/>
      <c r="AW830" s="1" t="n"/>
      <c r="AX830" s="1" t="n"/>
      <c r="AY830" s="1" t="n"/>
      <c r="AZ830" s="1" t="n"/>
      <c r="BA830" s="1" t="n"/>
    </row>
    <row r="831" ht="16.5" customHeight="1" s="220">
      <c r="A831" s="1" t="n"/>
      <c r="B831" s="1" t="n"/>
      <c r="C831" s="2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  <c r="AR831" s="1" t="n"/>
      <c r="AS831" s="1" t="n"/>
      <c r="AT831" s="1" t="n"/>
      <c r="AU831" s="1" t="n"/>
      <c r="AV831" s="1" t="n"/>
      <c r="AW831" s="1" t="n"/>
      <c r="AX831" s="1" t="n"/>
      <c r="AY831" s="1" t="n"/>
      <c r="AZ831" s="1" t="n"/>
      <c r="BA831" s="1" t="n"/>
    </row>
    <row r="832" ht="16.5" customHeight="1" s="220">
      <c r="A832" s="1" t="n"/>
      <c r="B832" s="1" t="n"/>
      <c r="C832" s="2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  <c r="AR832" s="1" t="n"/>
      <c r="AS832" s="1" t="n"/>
      <c r="AT832" s="1" t="n"/>
      <c r="AU832" s="1" t="n"/>
      <c r="AV832" s="1" t="n"/>
      <c r="AW832" s="1" t="n"/>
      <c r="AX832" s="1" t="n"/>
      <c r="AY832" s="1" t="n"/>
      <c r="AZ832" s="1" t="n"/>
      <c r="BA832" s="1" t="n"/>
    </row>
    <row r="833" ht="16.5" customHeight="1" s="220">
      <c r="A833" s="1" t="n"/>
      <c r="B833" s="1" t="n"/>
      <c r="C833" s="2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  <c r="AR833" s="1" t="n"/>
      <c r="AS833" s="1" t="n"/>
      <c r="AT833" s="1" t="n"/>
      <c r="AU833" s="1" t="n"/>
      <c r="AV833" s="1" t="n"/>
      <c r="AW833" s="1" t="n"/>
      <c r="AX833" s="1" t="n"/>
      <c r="AY833" s="1" t="n"/>
      <c r="AZ833" s="1" t="n"/>
      <c r="BA833" s="1" t="n"/>
    </row>
    <row r="834" ht="16.5" customHeight="1" s="220">
      <c r="A834" s="1" t="n"/>
      <c r="B834" s="1" t="n"/>
      <c r="C834" s="2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  <c r="AR834" s="1" t="n"/>
      <c r="AS834" s="1" t="n"/>
      <c r="AT834" s="1" t="n"/>
      <c r="AU834" s="1" t="n"/>
      <c r="AV834" s="1" t="n"/>
      <c r="AW834" s="1" t="n"/>
      <c r="AX834" s="1" t="n"/>
      <c r="AY834" s="1" t="n"/>
      <c r="AZ834" s="1" t="n"/>
      <c r="BA834" s="1" t="n"/>
    </row>
    <row r="835" ht="16.5" customHeight="1" s="220">
      <c r="A835" s="1" t="n"/>
      <c r="B835" s="1" t="n"/>
      <c r="C835" s="2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  <c r="AR835" s="1" t="n"/>
      <c r="AS835" s="1" t="n"/>
      <c r="AT835" s="1" t="n"/>
      <c r="AU835" s="1" t="n"/>
      <c r="AV835" s="1" t="n"/>
      <c r="AW835" s="1" t="n"/>
      <c r="AX835" s="1" t="n"/>
      <c r="AY835" s="1" t="n"/>
      <c r="AZ835" s="1" t="n"/>
      <c r="BA835" s="1" t="n"/>
    </row>
    <row r="836" ht="16.5" customHeight="1" s="220">
      <c r="A836" s="1" t="n"/>
      <c r="B836" s="1" t="n"/>
      <c r="C836" s="2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  <c r="AR836" s="1" t="n"/>
      <c r="AS836" s="1" t="n"/>
      <c r="AT836" s="1" t="n"/>
      <c r="AU836" s="1" t="n"/>
      <c r="AV836" s="1" t="n"/>
      <c r="AW836" s="1" t="n"/>
      <c r="AX836" s="1" t="n"/>
      <c r="AY836" s="1" t="n"/>
      <c r="AZ836" s="1" t="n"/>
      <c r="BA836" s="1" t="n"/>
    </row>
    <row r="837" ht="16.5" customHeight="1" s="220">
      <c r="A837" s="1" t="n"/>
      <c r="B837" s="1" t="n"/>
      <c r="C837" s="2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  <c r="AR837" s="1" t="n"/>
      <c r="AS837" s="1" t="n"/>
      <c r="AT837" s="1" t="n"/>
      <c r="AU837" s="1" t="n"/>
      <c r="AV837" s="1" t="n"/>
      <c r="AW837" s="1" t="n"/>
      <c r="AX837" s="1" t="n"/>
      <c r="AY837" s="1" t="n"/>
      <c r="AZ837" s="1" t="n"/>
      <c r="BA837" s="1" t="n"/>
    </row>
    <row r="838" ht="16.5" customHeight="1" s="220">
      <c r="A838" s="1" t="n"/>
      <c r="B838" s="1" t="n"/>
      <c r="C838" s="2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  <c r="AR838" s="1" t="n"/>
      <c r="AS838" s="1" t="n"/>
      <c r="AT838" s="1" t="n"/>
      <c r="AU838" s="1" t="n"/>
      <c r="AV838" s="1" t="n"/>
      <c r="AW838" s="1" t="n"/>
      <c r="AX838" s="1" t="n"/>
      <c r="AY838" s="1" t="n"/>
      <c r="AZ838" s="1" t="n"/>
      <c r="BA838" s="1" t="n"/>
    </row>
    <row r="839" ht="16.5" customHeight="1" s="220">
      <c r="A839" s="1" t="n"/>
      <c r="B839" s="1" t="n"/>
      <c r="C839" s="2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  <c r="AR839" s="1" t="n"/>
      <c r="AS839" s="1" t="n"/>
      <c r="AT839" s="1" t="n"/>
      <c r="AU839" s="1" t="n"/>
      <c r="AV839" s="1" t="n"/>
      <c r="AW839" s="1" t="n"/>
      <c r="AX839" s="1" t="n"/>
      <c r="AY839" s="1" t="n"/>
      <c r="AZ839" s="1" t="n"/>
      <c r="BA839" s="1" t="n"/>
    </row>
    <row r="840" ht="16.5" customHeight="1" s="220">
      <c r="A840" s="1" t="n"/>
      <c r="B840" s="1" t="n"/>
      <c r="C840" s="2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  <c r="AR840" s="1" t="n"/>
      <c r="AS840" s="1" t="n"/>
      <c r="AT840" s="1" t="n"/>
      <c r="AU840" s="1" t="n"/>
      <c r="AV840" s="1" t="n"/>
      <c r="AW840" s="1" t="n"/>
      <c r="AX840" s="1" t="n"/>
      <c r="AY840" s="1" t="n"/>
      <c r="AZ840" s="1" t="n"/>
      <c r="BA840" s="1" t="n"/>
    </row>
    <row r="841" ht="16.5" customHeight="1" s="220">
      <c r="A841" s="1" t="n"/>
      <c r="B841" s="1" t="n"/>
      <c r="C841" s="2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  <c r="AR841" s="1" t="n"/>
      <c r="AS841" s="1" t="n"/>
      <c r="AT841" s="1" t="n"/>
      <c r="AU841" s="1" t="n"/>
      <c r="AV841" s="1" t="n"/>
      <c r="AW841" s="1" t="n"/>
      <c r="AX841" s="1" t="n"/>
      <c r="AY841" s="1" t="n"/>
      <c r="AZ841" s="1" t="n"/>
      <c r="BA841" s="1" t="n"/>
    </row>
    <row r="842" ht="16.5" customHeight="1" s="220">
      <c r="A842" s="1" t="n"/>
      <c r="B842" s="1" t="n"/>
      <c r="C842" s="2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  <c r="AR842" s="1" t="n"/>
      <c r="AS842" s="1" t="n"/>
      <c r="AT842" s="1" t="n"/>
      <c r="AU842" s="1" t="n"/>
      <c r="AV842" s="1" t="n"/>
      <c r="AW842" s="1" t="n"/>
      <c r="AX842" s="1" t="n"/>
      <c r="AY842" s="1" t="n"/>
      <c r="AZ842" s="1" t="n"/>
      <c r="BA842" s="1" t="n"/>
    </row>
    <row r="843" ht="16.5" customHeight="1" s="220">
      <c r="A843" s="1" t="n"/>
      <c r="B843" s="1" t="n"/>
      <c r="C843" s="2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  <c r="AR843" s="1" t="n"/>
      <c r="AS843" s="1" t="n"/>
      <c r="AT843" s="1" t="n"/>
      <c r="AU843" s="1" t="n"/>
      <c r="AV843" s="1" t="n"/>
      <c r="AW843" s="1" t="n"/>
      <c r="AX843" s="1" t="n"/>
      <c r="AY843" s="1" t="n"/>
      <c r="AZ843" s="1" t="n"/>
      <c r="BA843" s="1" t="n"/>
    </row>
    <row r="844" ht="16.5" customHeight="1" s="220">
      <c r="A844" s="1" t="n"/>
      <c r="B844" s="1" t="n"/>
      <c r="C844" s="2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  <c r="AR844" s="1" t="n"/>
      <c r="AS844" s="1" t="n"/>
      <c r="AT844" s="1" t="n"/>
      <c r="AU844" s="1" t="n"/>
      <c r="AV844" s="1" t="n"/>
      <c r="AW844" s="1" t="n"/>
      <c r="AX844" s="1" t="n"/>
      <c r="AY844" s="1" t="n"/>
      <c r="AZ844" s="1" t="n"/>
      <c r="BA844" s="1" t="n"/>
    </row>
    <row r="845" ht="16.5" customHeight="1" s="220">
      <c r="A845" s="1" t="n"/>
      <c r="B845" s="1" t="n"/>
      <c r="C845" s="2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  <c r="AR845" s="1" t="n"/>
      <c r="AS845" s="1" t="n"/>
      <c r="AT845" s="1" t="n"/>
      <c r="AU845" s="1" t="n"/>
      <c r="AV845" s="1" t="n"/>
      <c r="AW845" s="1" t="n"/>
      <c r="AX845" s="1" t="n"/>
      <c r="AY845" s="1" t="n"/>
      <c r="AZ845" s="1" t="n"/>
      <c r="BA845" s="1" t="n"/>
    </row>
    <row r="846" ht="16.5" customHeight="1" s="220">
      <c r="A846" s="1" t="n"/>
      <c r="B846" s="1" t="n"/>
      <c r="C846" s="2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  <c r="AR846" s="1" t="n"/>
      <c r="AS846" s="1" t="n"/>
      <c r="AT846" s="1" t="n"/>
      <c r="AU846" s="1" t="n"/>
      <c r="AV846" s="1" t="n"/>
      <c r="AW846" s="1" t="n"/>
      <c r="AX846" s="1" t="n"/>
      <c r="AY846" s="1" t="n"/>
      <c r="AZ846" s="1" t="n"/>
      <c r="BA846" s="1" t="n"/>
    </row>
    <row r="847" ht="16.5" customHeight="1" s="220">
      <c r="A847" s="1" t="n"/>
      <c r="B847" s="1" t="n"/>
      <c r="C847" s="2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  <c r="AR847" s="1" t="n"/>
      <c r="AS847" s="1" t="n"/>
      <c r="AT847" s="1" t="n"/>
      <c r="AU847" s="1" t="n"/>
      <c r="AV847" s="1" t="n"/>
      <c r="AW847" s="1" t="n"/>
      <c r="AX847" s="1" t="n"/>
      <c r="AY847" s="1" t="n"/>
      <c r="AZ847" s="1" t="n"/>
      <c r="BA847" s="1" t="n"/>
    </row>
    <row r="848" ht="16.5" customHeight="1" s="220">
      <c r="A848" s="1" t="n"/>
      <c r="B848" s="1" t="n"/>
      <c r="C848" s="2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  <c r="AR848" s="1" t="n"/>
      <c r="AS848" s="1" t="n"/>
      <c r="AT848" s="1" t="n"/>
      <c r="AU848" s="1" t="n"/>
      <c r="AV848" s="1" t="n"/>
      <c r="AW848" s="1" t="n"/>
      <c r="AX848" s="1" t="n"/>
      <c r="AY848" s="1" t="n"/>
      <c r="AZ848" s="1" t="n"/>
      <c r="BA848" s="1" t="n"/>
    </row>
    <row r="849" ht="16.5" customHeight="1" s="220">
      <c r="A849" s="1" t="n"/>
      <c r="B849" s="1" t="n"/>
      <c r="C849" s="2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  <c r="AR849" s="1" t="n"/>
      <c r="AS849" s="1" t="n"/>
      <c r="AT849" s="1" t="n"/>
      <c r="AU849" s="1" t="n"/>
      <c r="AV849" s="1" t="n"/>
      <c r="AW849" s="1" t="n"/>
      <c r="AX849" s="1" t="n"/>
      <c r="AY849" s="1" t="n"/>
      <c r="AZ849" s="1" t="n"/>
      <c r="BA849" s="1" t="n"/>
    </row>
    <row r="850" ht="16.5" customHeight="1" s="220">
      <c r="A850" s="1" t="n"/>
      <c r="B850" s="1" t="n"/>
      <c r="C850" s="2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  <c r="AR850" s="1" t="n"/>
      <c r="AS850" s="1" t="n"/>
      <c r="AT850" s="1" t="n"/>
      <c r="AU850" s="1" t="n"/>
      <c r="AV850" s="1" t="n"/>
      <c r="AW850" s="1" t="n"/>
      <c r="AX850" s="1" t="n"/>
      <c r="AY850" s="1" t="n"/>
      <c r="AZ850" s="1" t="n"/>
      <c r="BA850" s="1" t="n"/>
    </row>
    <row r="851" ht="16.5" customHeight="1" s="220">
      <c r="A851" s="1" t="n"/>
      <c r="B851" s="1" t="n"/>
      <c r="C851" s="2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  <c r="AR851" s="1" t="n"/>
      <c r="AS851" s="1" t="n"/>
      <c r="AT851" s="1" t="n"/>
      <c r="AU851" s="1" t="n"/>
      <c r="AV851" s="1" t="n"/>
      <c r="AW851" s="1" t="n"/>
      <c r="AX851" s="1" t="n"/>
      <c r="AY851" s="1" t="n"/>
      <c r="AZ851" s="1" t="n"/>
      <c r="BA851" s="1" t="n"/>
    </row>
    <row r="852" ht="16.5" customHeight="1" s="220">
      <c r="A852" s="1" t="n"/>
      <c r="B852" s="1" t="n"/>
      <c r="C852" s="2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  <c r="AR852" s="1" t="n"/>
      <c r="AS852" s="1" t="n"/>
      <c r="AT852" s="1" t="n"/>
      <c r="AU852" s="1" t="n"/>
      <c r="AV852" s="1" t="n"/>
      <c r="AW852" s="1" t="n"/>
      <c r="AX852" s="1" t="n"/>
      <c r="AY852" s="1" t="n"/>
      <c r="AZ852" s="1" t="n"/>
      <c r="BA852" s="1" t="n"/>
    </row>
    <row r="853" ht="16.5" customHeight="1" s="220">
      <c r="A853" s="1" t="n"/>
      <c r="B853" s="1" t="n"/>
      <c r="C853" s="2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  <c r="AR853" s="1" t="n"/>
      <c r="AS853" s="1" t="n"/>
      <c r="AT853" s="1" t="n"/>
      <c r="AU853" s="1" t="n"/>
      <c r="AV853" s="1" t="n"/>
      <c r="AW853" s="1" t="n"/>
      <c r="AX853" s="1" t="n"/>
      <c r="AY853" s="1" t="n"/>
      <c r="AZ853" s="1" t="n"/>
      <c r="BA853" s="1" t="n"/>
    </row>
    <row r="854" ht="16.5" customHeight="1" s="220">
      <c r="A854" s="1" t="n"/>
      <c r="B854" s="1" t="n"/>
      <c r="C854" s="2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  <c r="AR854" s="1" t="n"/>
      <c r="AS854" s="1" t="n"/>
      <c r="AT854" s="1" t="n"/>
      <c r="AU854" s="1" t="n"/>
      <c r="AV854" s="1" t="n"/>
      <c r="AW854" s="1" t="n"/>
      <c r="AX854" s="1" t="n"/>
      <c r="AY854" s="1" t="n"/>
      <c r="AZ854" s="1" t="n"/>
      <c r="BA854" s="1" t="n"/>
    </row>
    <row r="855" ht="16.5" customHeight="1" s="220">
      <c r="A855" s="1" t="n"/>
      <c r="B855" s="1" t="n"/>
      <c r="C855" s="2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  <c r="AR855" s="1" t="n"/>
      <c r="AS855" s="1" t="n"/>
      <c r="AT855" s="1" t="n"/>
      <c r="AU855" s="1" t="n"/>
      <c r="AV855" s="1" t="n"/>
      <c r="AW855" s="1" t="n"/>
      <c r="AX855" s="1" t="n"/>
      <c r="AY855" s="1" t="n"/>
      <c r="AZ855" s="1" t="n"/>
      <c r="BA855" s="1" t="n"/>
    </row>
    <row r="856" ht="16.5" customHeight="1" s="220">
      <c r="A856" s="1" t="n"/>
      <c r="B856" s="1" t="n"/>
      <c r="C856" s="2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  <c r="AR856" s="1" t="n"/>
      <c r="AS856" s="1" t="n"/>
      <c r="AT856" s="1" t="n"/>
      <c r="AU856" s="1" t="n"/>
      <c r="AV856" s="1" t="n"/>
      <c r="AW856" s="1" t="n"/>
      <c r="AX856" s="1" t="n"/>
      <c r="AY856" s="1" t="n"/>
      <c r="AZ856" s="1" t="n"/>
      <c r="BA856" s="1" t="n"/>
    </row>
    <row r="857" ht="16.5" customHeight="1" s="220">
      <c r="A857" s="1" t="n"/>
      <c r="B857" s="1" t="n"/>
      <c r="C857" s="2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  <c r="AR857" s="1" t="n"/>
      <c r="AS857" s="1" t="n"/>
      <c r="AT857" s="1" t="n"/>
      <c r="AU857" s="1" t="n"/>
      <c r="AV857" s="1" t="n"/>
      <c r="AW857" s="1" t="n"/>
      <c r="AX857" s="1" t="n"/>
      <c r="AY857" s="1" t="n"/>
      <c r="AZ857" s="1" t="n"/>
      <c r="BA857" s="1" t="n"/>
    </row>
    <row r="858" ht="16.5" customHeight="1" s="220">
      <c r="A858" s="1" t="n"/>
      <c r="B858" s="1" t="n"/>
      <c r="C858" s="2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  <c r="AR858" s="1" t="n"/>
      <c r="AS858" s="1" t="n"/>
      <c r="AT858" s="1" t="n"/>
      <c r="AU858" s="1" t="n"/>
      <c r="AV858" s="1" t="n"/>
      <c r="AW858" s="1" t="n"/>
      <c r="AX858" s="1" t="n"/>
      <c r="AY858" s="1" t="n"/>
      <c r="AZ858" s="1" t="n"/>
      <c r="BA858" s="1" t="n"/>
    </row>
    <row r="859" ht="16.5" customHeight="1" s="220">
      <c r="A859" s="1" t="n"/>
      <c r="B859" s="1" t="n"/>
      <c r="C859" s="2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  <c r="AR859" s="1" t="n"/>
      <c r="AS859" s="1" t="n"/>
      <c r="AT859" s="1" t="n"/>
      <c r="AU859" s="1" t="n"/>
      <c r="AV859" s="1" t="n"/>
      <c r="AW859" s="1" t="n"/>
      <c r="AX859" s="1" t="n"/>
      <c r="AY859" s="1" t="n"/>
      <c r="AZ859" s="1" t="n"/>
      <c r="BA859" s="1" t="n"/>
    </row>
    <row r="860" ht="16.5" customHeight="1" s="220">
      <c r="A860" s="1" t="n"/>
      <c r="B860" s="1" t="n"/>
      <c r="C860" s="2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  <c r="AW860" s="1" t="n"/>
      <c r="AX860" s="1" t="n"/>
      <c r="AY860" s="1" t="n"/>
      <c r="AZ860" s="1" t="n"/>
      <c r="BA860" s="1" t="n"/>
    </row>
    <row r="861" ht="16.5" customHeight="1" s="220">
      <c r="A861" s="1" t="n"/>
      <c r="B861" s="1" t="n"/>
      <c r="C861" s="2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  <c r="AX861" s="1" t="n"/>
      <c r="AY861" s="1" t="n"/>
      <c r="AZ861" s="1" t="n"/>
      <c r="BA861" s="1" t="n"/>
    </row>
    <row r="862" ht="16.5" customHeight="1" s="220">
      <c r="A862" s="1" t="n"/>
      <c r="B862" s="1" t="n"/>
      <c r="C862" s="2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  <c r="AW862" s="1" t="n"/>
      <c r="AX862" s="1" t="n"/>
      <c r="AY862" s="1" t="n"/>
      <c r="AZ862" s="1" t="n"/>
      <c r="BA862" s="1" t="n"/>
    </row>
    <row r="863" ht="16.5" customHeight="1" s="220">
      <c r="A863" s="1" t="n"/>
      <c r="B863" s="1" t="n"/>
      <c r="C863" s="2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  <c r="AX863" s="1" t="n"/>
      <c r="AY863" s="1" t="n"/>
      <c r="AZ863" s="1" t="n"/>
      <c r="BA863" s="1" t="n"/>
    </row>
    <row r="864" ht="16.5" customHeight="1" s="220">
      <c r="A864" s="1" t="n"/>
      <c r="B864" s="1" t="n"/>
      <c r="C864" s="2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  <c r="AS864" s="1" t="n"/>
      <c r="AT864" s="1" t="n"/>
      <c r="AU864" s="1" t="n"/>
      <c r="AV864" s="1" t="n"/>
      <c r="AW864" s="1" t="n"/>
      <c r="AX864" s="1" t="n"/>
      <c r="AY864" s="1" t="n"/>
      <c r="AZ864" s="1" t="n"/>
      <c r="BA864" s="1" t="n"/>
    </row>
    <row r="865" ht="16.5" customHeight="1" s="220">
      <c r="A865" s="1" t="n"/>
      <c r="B865" s="1" t="n"/>
      <c r="C865" s="2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  <c r="AX865" s="1" t="n"/>
      <c r="AY865" s="1" t="n"/>
      <c r="AZ865" s="1" t="n"/>
      <c r="BA865" s="1" t="n"/>
    </row>
    <row r="866" ht="16.5" customHeight="1" s="220">
      <c r="A866" s="1" t="n"/>
      <c r="B866" s="1" t="n"/>
      <c r="C866" s="2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  <c r="AS866" s="1" t="n"/>
      <c r="AT866" s="1" t="n"/>
      <c r="AU866" s="1" t="n"/>
      <c r="AV866" s="1" t="n"/>
      <c r="AW866" s="1" t="n"/>
      <c r="AX866" s="1" t="n"/>
      <c r="AY866" s="1" t="n"/>
      <c r="AZ866" s="1" t="n"/>
      <c r="BA866" s="1" t="n"/>
    </row>
    <row r="867" ht="16.5" customHeight="1" s="220">
      <c r="A867" s="1" t="n"/>
      <c r="B867" s="1" t="n"/>
      <c r="C867" s="2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  <c r="AX867" s="1" t="n"/>
      <c r="AY867" s="1" t="n"/>
      <c r="AZ867" s="1" t="n"/>
      <c r="BA867" s="1" t="n"/>
    </row>
    <row r="868" ht="16.5" customHeight="1" s="220">
      <c r="A868" s="1" t="n"/>
      <c r="B868" s="1" t="n"/>
      <c r="C868" s="2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  <c r="AS868" s="1" t="n"/>
      <c r="AT868" s="1" t="n"/>
      <c r="AU868" s="1" t="n"/>
      <c r="AV868" s="1" t="n"/>
      <c r="AW868" s="1" t="n"/>
      <c r="AX868" s="1" t="n"/>
      <c r="AY868" s="1" t="n"/>
      <c r="AZ868" s="1" t="n"/>
      <c r="BA868" s="1" t="n"/>
    </row>
    <row r="869" ht="16.5" customHeight="1" s="220">
      <c r="A869" s="1" t="n"/>
      <c r="B869" s="1" t="n"/>
      <c r="C869" s="2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  <c r="AX869" s="1" t="n"/>
      <c r="AY869" s="1" t="n"/>
      <c r="AZ869" s="1" t="n"/>
      <c r="BA869" s="1" t="n"/>
    </row>
    <row r="870" ht="16.5" customHeight="1" s="220">
      <c r="A870" s="1" t="n"/>
      <c r="B870" s="1" t="n"/>
      <c r="C870" s="2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  <c r="AS870" s="1" t="n"/>
      <c r="AT870" s="1" t="n"/>
      <c r="AU870" s="1" t="n"/>
      <c r="AV870" s="1" t="n"/>
      <c r="AW870" s="1" t="n"/>
      <c r="AX870" s="1" t="n"/>
      <c r="AY870" s="1" t="n"/>
      <c r="AZ870" s="1" t="n"/>
      <c r="BA870" s="1" t="n"/>
    </row>
    <row r="871" ht="16.5" customHeight="1" s="220">
      <c r="A871" s="1" t="n"/>
      <c r="B871" s="1" t="n"/>
      <c r="C871" s="2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  <c r="AW871" s="1" t="n"/>
      <c r="AX871" s="1" t="n"/>
      <c r="AY871" s="1" t="n"/>
      <c r="AZ871" s="1" t="n"/>
      <c r="BA871" s="1" t="n"/>
    </row>
    <row r="872" ht="16.5" customHeight="1" s="220">
      <c r="A872" s="1" t="n"/>
      <c r="B872" s="1" t="n"/>
      <c r="C872" s="2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  <c r="AS872" s="1" t="n"/>
      <c r="AT872" s="1" t="n"/>
      <c r="AU872" s="1" t="n"/>
      <c r="AV872" s="1" t="n"/>
      <c r="AW872" s="1" t="n"/>
      <c r="AX872" s="1" t="n"/>
      <c r="AY872" s="1" t="n"/>
      <c r="AZ872" s="1" t="n"/>
      <c r="BA872" s="1" t="n"/>
    </row>
    <row r="873" ht="16.5" customHeight="1" s="220">
      <c r="A873" s="1" t="n"/>
      <c r="B873" s="1" t="n"/>
      <c r="C873" s="2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  <c r="AW873" s="1" t="n"/>
      <c r="AX873" s="1" t="n"/>
      <c r="AY873" s="1" t="n"/>
      <c r="AZ873" s="1" t="n"/>
      <c r="BA873" s="1" t="n"/>
    </row>
    <row r="874" ht="16.5" customHeight="1" s="220">
      <c r="A874" s="1" t="n"/>
      <c r="B874" s="1" t="n"/>
      <c r="C874" s="2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  <c r="AS874" s="1" t="n"/>
      <c r="AT874" s="1" t="n"/>
      <c r="AU874" s="1" t="n"/>
      <c r="AV874" s="1" t="n"/>
      <c r="AW874" s="1" t="n"/>
      <c r="AX874" s="1" t="n"/>
      <c r="AY874" s="1" t="n"/>
      <c r="AZ874" s="1" t="n"/>
      <c r="BA874" s="1" t="n"/>
    </row>
    <row r="875" ht="16.5" customHeight="1" s="220">
      <c r="A875" s="1" t="n"/>
      <c r="B875" s="1" t="n"/>
      <c r="C875" s="2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  <c r="AX875" s="1" t="n"/>
      <c r="AY875" s="1" t="n"/>
      <c r="AZ875" s="1" t="n"/>
      <c r="BA875" s="1" t="n"/>
    </row>
    <row r="876" ht="16.5" customHeight="1" s="220">
      <c r="A876" s="1" t="n"/>
      <c r="B876" s="1" t="n"/>
      <c r="C876" s="2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  <c r="AS876" s="1" t="n"/>
      <c r="AT876" s="1" t="n"/>
      <c r="AU876" s="1" t="n"/>
      <c r="AV876" s="1" t="n"/>
      <c r="AW876" s="1" t="n"/>
      <c r="AX876" s="1" t="n"/>
      <c r="AY876" s="1" t="n"/>
      <c r="AZ876" s="1" t="n"/>
      <c r="BA876" s="1" t="n"/>
    </row>
    <row r="877" ht="16.5" customHeight="1" s="220">
      <c r="A877" s="1" t="n"/>
      <c r="B877" s="1" t="n"/>
      <c r="C877" s="2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  <c r="AW877" s="1" t="n"/>
      <c r="AX877" s="1" t="n"/>
      <c r="AY877" s="1" t="n"/>
      <c r="AZ877" s="1" t="n"/>
      <c r="BA877" s="1" t="n"/>
    </row>
    <row r="878" ht="16.5" customHeight="1" s="220">
      <c r="A878" s="1" t="n"/>
      <c r="B878" s="1" t="n"/>
      <c r="C878" s="2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  <c r="AS878" s="1" t="n"/>
      <c r="AT878" s="1" t="n"/>
      <c r="AU878" s="1" t="n"/>
      <c r="AV878" s="1" t="n"/>
      <c r="AW878" s="1" t="n"/>
      <c r="AX878" s="1" t="n"/>
      <c r="AY878" s="1" t="n"/>
      <c r="AZ878" s="1" t="n"/>
      <c r="BA878" s="1" t="n"/>
    </row>
    <row r="879" ht="16.5" customHeight="1" s="220">
      <c r="A879" s="1" t="n"/>
      <c r="B879" s="1" t="n"/>
      <c r="C879" s="2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  <c r="AX879" s="1" t="n"/>
      <c r="AY879" s="1" t="n"/>
      <c r="AZ879" s="1" t="n"/>
      <c r="BA879" s="1" t="n"/>
    </row>
    <row r="880" ht="16.5" customHeight="1" s="220">
      <c r="A880" s="1" t="n"/>
      <c r="B880" s="1" t="n"/>
      <c r="C880" s="2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  <c r="AS880" s="1" t="n"/>
      <c r="AT880" s="1" t="n"/>
      <c r="AU880" s="1" t="n"/>
      <c r="AV880" s="1" t="n"/>
      <c r="AW880" s="1" t="n"/>
      <c r="AX880" s="1" t="n"/>
      <c r="AY880" s="1" t="n"/>
      <c r="AZ880" s="1" t="n"/>
      <c r="BA880" s="1" t="n"/>
    </row>
    <row r="881" ht="16.5" customHeight="1" s="220">
      <c r="A881" s="1" t="n"/>
      <c r="B881" s="1" t="n"/>
      <c r="C881" s="2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  <c r="AW881" s="1" t="n"/>
      <c r="AX881" s="1" t="n"/>
      <c r="AY881" s="1" t="n"/>
      <c r="AZ881" s="1" t="n"/>
      <c r="BA881" s="1" t="n"/>
    </row>
    <row r="882" ht="16.5" customHeight="1" s="220">
      <c r="A882" s="1" t="n"/>
      <c r="B882" s="1" t="n"/>
      <c r="C882" s="2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  <c r="AS882" s="1" t="n"/>
      <c r="AT882" s="1" t="n"/>
      <c r="AU882" s="1" t="n"/>
      <c r="AV882" s="1" t="n"/>
      <c r="AW882" s="1" t="n"/>
      <c r="AX882" s="1" t="n"/>
      <c r="AY882" s="1" t="n"/>
      <c r="AZ882" s="1" t="n"/>
      <c r="BA882" s="1" t="n"/>
    </row>
    <row r="883" ht="16.5" customHeight="1" s="220">
      <c r="A883" s="1" t="n"/>
      <c r="B883" s="1" t="n"/>
      <c r="C883" s="2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  <c r="AW883" s="1" t="n"/>
      <c r="AX883" s="1" t="n"/>
      <c r="AY883" s="1" t="n"/>
      <c r="AZ883" s="1" t="n"/>
      <c r="BA883" s="1" t="n"/>
    </row>
    <row r="884" ht="16.5" customHeight="1" s="220">
      <c r="A884" s="1" t="n"/>
      <c r="B884" s="1" t="n"/>
      <c r="C884" s="2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  <c r="AS884" s="1" t="n"/>
      <c r="AT884" s="1" t="n"/>
      <c r="AU884" s="1" t="n"/>
      <c r="AV884" s="1" t="n"/>
      <c r="AW884" s="1" t="n"/>
      <c r="AX884" s="1" t="n"/>
      <c r="AY884" s="1" t="n"/>
      <c r="AZ884" s="1" t="n"/>
      <c r="BA884" s="1" t="n"/>
    </row>
    <row r="885" ht="16.5" customHeight="1" s="220">
      <c r="A885" s="1" t="n"/>
      <c r="B885" s="1" t="n"/>
      <c r="C885" s="2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  <c r="AX885" s="1" t="n"/>
      <c r="AY885" s="1" t="n"/>
      <c r="AZ885" s="1" t="n"/>
      <c r="BA885" s="1" t="n"/>
    </row>
    <row r="886" ht="16.5" customHeight="1" s="220">
      <c r="A886" s="1" t="n"/>
      <c r="B886" s="1" t="n"/>
      <c r="C886" s="2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  <c r="AS886" s="1" t="n"/>
      <c r="AT886" s="1" t="n"/>
      <c r="AU886" s="1" t="n"/>
      <c r="AV886" s="1" t="n"/>
      <c r="AW886" s="1" t="n"/>
      <c r="AX886" s="1" t="n"/>
      <c r="AY886" s="1" t="n"/>
      <c r="AZ886" s="1" t="n"/>
      <c r="BA886" s="1" t="n"/>
    </row>
    <row r="887" ht="16.5" customHeight="1" s="220">
      <c r="A887" s="1" t="n"/>
      <c r="B887" s="1" t="n"/>
      <c r="C887" s="2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  <c r="AR887" s="1" t="n"/>
      <c r="AS887" s="1" t="n"/>
      <c r="AT887" s="1" t="n"/>
      <c r="AU887" s="1" t="n"/>
      <c r="AV887" s="1" t="n"/>
      <c r="AW887" s="1" t="n"/>
      <c r="AX887" s="1" t="n"/>
      <c r="AY887" s="1" t="n"/>
      <c r="AZ887" s="1" t="n"/>
      <c r="BA887" s="1" t="n"/>
    </row>
    <row r="888" ht="16.5" customHeight="1" s="220">
      <c r="A888" s="1" t="n"/>
      <c r="B888" s="1" t="n"/>
      <c r="C888" s="2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Q888" s="1" t="n"/>
      <c r="AR888" s="1" t="n"/>
      <c r="AS888" s="1" t="n"/>
      <c r="AT888" s="1" t="n"/>
      <c r="AU888" s="1" t="n"/>
      <c r="AV888" s="1" t="n"/>
      <c r="AW888" s="1" t="n"/>
      <c r="AX888" s="1" t="n"/>
      <c r="AY888" s="1" t="n"/>
      <c r="AZ888" s="1" t="n"/>
      <c r="BA888" s="1" t="n"/>
    </row>
    <row r="889" ht="16.5" customHeight="1" s="220">
      <c r="A889" s="1" t="n"/>
      <c r="B889" s="1" t="n"/>
      <c r="C889" s="2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  <c r="AR889" s="1" t="n"/>
      <c r="AS889" s="1" t="n"/>
      <c r="AT889" s="1" t="n"/>
      <c r="AU889" s="1" t="n"/>
      <c r="AV889" s="1" t="n"/>
      <c r="AW889" s="1" t="n"/>
      <c r="AX889" s="1" t="n"/>
      <c r="AY889" s="1" t="n"/>
      <c r="AZ889" s="1" t="n"/>
      <c r="BA889" s="1" t="n"/>
    </row>
    <row r="890" ht="16.5" customHeight="1" s="220">
      <c r="A890" s="1" t="n"/>
      <c r="B890" s="1" t="n"/>
      <c r="C890" s="2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Q890" s="1" t="n"/>
      <c r="AR890" s="1" t="n"/>
      <c r="AS890" s="1" t="n"/>
      <c r="AT890" s="1" t="n"/>
      <c r="AU890" s="1" t="n"/>
      <c r="AV890" s="1" t="n"/>
      <c r="AW890" s="1" t="n"/>
      <c r="AX890" s="1" t="n"/>
      <c r="AY890" s="1" t="n"/>
      <c r="AZ890" s="1" t="n"/>
      <c r="BA890" s="1" t="n"/>
    </row>
    <row r="891" ht="16.5" customHeight="1" s="220">
      <c r="A891" s="1" t="n"/>
      <c r="B891" s="1" t="n"/>
      <c r="C891" s="2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  <c r="AR891" s="1" t="n"/>
      <c r="AS891" s="1" t="n"/>
      <c r="AT891" s="1" t="n"/>
      <c r="AU891" s="1" t="n"/>
      <c r="AV891" s="1" t="n"/>
      <c r="AW891" s="1" t="n"/>
      <c r="AX891" s="1" t="n"/>
      <c r="AY891" s="1" t="n"/>
      <c r="AZ891" s="1" t="n"/>
      <c r="BA891" s="1" t="n"/>
    </row>
    <row r="892" ht="16.5" customHeight="1" s="220">
      <c r="A892" s="1" t="n"/>
      <c r="B892" s="1" t="n"/>
      <c r="C892" s="2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Q892" s="1" t="n"/>
      <c r="AR892" s="1" t="n"/>
      <c r="AS892" s="1" t="n"/>
      <c r="AT892" s="1" t="n"/>
      <c r="AU892" s="1" t="n"/>
      <c r="AV892" s="1" t="n"/>
      <c r="AW892" s="1" t="n"/>
      <c r="AX892" s="1" t="n"/>
      <c r="AY892" s="1" t="n"/>
      <c r="AZ892" s="1" t="n"/>
      <c r="BA892" s="1" t="n"/>
    </row>
    <row r="893" ht="16.5" customHeight="1" s="220">
      <c r="A893" s="1" t="n"/>
      <c r="B893" s="1" t="n"/>
      <c r="C893" s="2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  <c r="AR893" s="1" t="n"/>
      <c r="AS893" s="1" t="n"/>
      <c r="AT893" s="1" t="n"/>
      <c r="AU893" s="1" t="n"/>
      <c r="AV893" s="1" t="n"/>
      <c r="AW893" s="1" t="n"/>
      <c r="AX893" s="1" t="n"/>
      <c r="AY893" s="1" t="n"/>
      <c r="AZ893" s="1" t="n"/>
      <c r="BA893" s="1" t="n"/>
    </row>
    <row r="894" ht="16.5" customHeight="1" s="220">
      <c r="A894" s="1" t="n"/>
      <c r="B894" s="1" t="n"/>
      <c r="C894" s="2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Q894" s="1" t="n"/>
      <c r="AR894" s="1" t="n"/>
      <c r="AS894" s="1" t="n"/>
      <c r="AT894" s="1" t="n"/>
      <c r="AU894" s="1" t="n"/>
      <c r="AV894" s="1" t="n"/>
      <c r="AW894" s="1" t="n"/>
      <c r="AX894" s="1" t="n"/>
      <c r="AY894" s="1" t="n"/>
      <c r="AZ894" s="1" t="n"/>
      <c r="BA894" s="1" t="n"/>
    </row>
    <row r="895" ht="16.5" customHeight="1" s="220">
      <c r="A895" s="1" t="n"/>
      <c r="B895" s="1" t="n"/>
      <c r="C895" s="2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  <c r="AR895" s="1" t="n"/>
      <c r="AS895" s="1" t="n"/>
      <c r="AT895" s="1" t="n"/>
      <c r="AU895" s="1" t="n"/>
      <c r="AV895" s="1" t="n"/>
      <c r="AW895" s="1" t="n"/>
      <c r="AX895" s="1" t="n"/>
      <c r="AY895" s="1" t="n"/>
      <c r="AZ895" s="1" t="n"/>
      <c r="BA895" s="1" t="n"/>
    </row>
    <row r="896" ht="16.5" customHeight="1" s="220">
      <c r="A896" s="1" t="n"/>
      <c r="B896" s="1" t="n"/>
      <c r="C896" s="2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Q896" s="1" t="n"/>
      <c r="AR896" s="1" t="n"/>
      <c r="AS896" s="1" t="n"/>
      <c r="AT896" s="1" t="n"/>
      <c r="AU896" s="1" t="n"/>
      <c r="AV896" s="1" t="n"/>
      <c r="AW896" s="1" t="n"/>
      <c r="AX896" s="1" t="n"/>
      <c r="AY896" s="1" t="n"/>
      <c r="AZ896" s="1" t="n"/>
      <c r="BA896" s="1" t="n"/>
    </row>
    <row r="897" ht="16.5" customHeight="1" s="220">
      <c r="A897" s="1" t="n"/>
      <c r="B897" s="1" t="n"/>
      <c r="C897" s="2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  <c r="AR897" s="1" t="n"/>
      <c r="AS897" s="1" t="n"/>
      <c r="AT897" s="1" t="n"/>
      <c r="AU897" s="1" t="n"/>
      <c r="AV897" s="1" t="n"/>
      <c r="AW897" s="1" t="n"/>
      <c r="AX897" s="1" t="n"/>
      <c r="AY897" s="1" t="n"/>
      <c r="AZ897" s="1" t="n"/>
      <c r="BA897" s="1" t="n"/>
    </row>
    <row r="898" ht="16.5" customHeight="1" s="220">
      <c r="A898" s="1" t="n"/>
      <c r="B898" s="1" t="n"/>
      <c r="C898" s="2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Q898" s="1" t="n"/>
      <c r="AR898" s="1" t="n"/>
      <c r="AS898" s="1" t="n"/>
      <c r="AT898" s="1" t="n"/>
      <c r="AU898" s="1" t="n"/>
      <c r="AV898" s="1" t="n"/>
      <c r="AW898" s="1" t="n"/>
      <c r="AX898" s="1" t="n"/>
      <c r="AY898" s="1" t="n"/>
      <c r="AZ898" s="1" t="n"/>
      <c r="BA898" s="1" t="n"/>
    </row>
    <row r="899" ht="16.5" customHeight="1" s="220">
      <c r="A899" s="1" t="n"/>
      <c r="B899" s="1" t="n"/>
      <c r="C899" s="2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  <c r="AR899" s="1" t="n"/>
      <c r="AS899" s="1" t="n"/>
      <c r="AT899" s="1" t="n"/>
      <c r="AU899" s="1" t="n"/>
      <c r="AV899" s="1" t="n"/>
      <c r="AW899" s="1" t="n"/>
      <c r="AX899" s="1" t="n"/>
      <c r="AY899" s="1" t="n"/>
      <c r="AZ899" s="1" t="n"/>
      <c r="BA899" s="1" t="n"/>
    </row>
    <row r="900" ht="16.5" customHeight="1" s="220">
      <c r="A900" s="1" t="n"/>
      <c r="B900" s="1" t="n"/>
      <c r="C900" s="2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Q900" s="1" t="n"/>
      <c r="AR900" s="1" t="n"/>
      <c r="AS900" s="1" t="n"/>
      <c r="AT900" s="1" t="n"/>
      <c r="AU900" s="1" t="n"/>
      <c r="AV900" s="1" t="n"/>
      <c r="AW900" s="1" t="n"/>
      <c r="AX900" s="1" t="n"/>
      <c r="AY900" s="1" t="n"/>
      <c r="AZ900" s="1" t="n"/>
      <c r="BA900" s="1" t="n"/>
    </row>
    <row r="901" ht="16.5" customHeight="1" s="220">
      <c r="A901" s="1" t="n"/>
      <c r="B901" s="1" t="n"/>
      <c r="C901" s="2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  <c r="AR901" s="1" t="n"/>
      <c r="AS901" s="1" t="n"/>
      <c r="AT901" s="1" t="n"/>
      <c r="AU901" s="1" t="n"/>
      <c r="AV901" s="1" t="n"/>
      <c r="AW901" s="1" t="n"/>
      <c r="AX901" s="1" t="n"/>
      <c r="AY901" s="1" t="n"/>
      <c r="AZ901" s="1" t="n"/>
      <c r="BA901" s="1" t="n"/>
    </row>
    <row r="902" ht="16.5" customHeight="1" s="220">
      <c r="A902" s="1" t="n"/>
      <c r="B902" s="1" t="n"/>
      <c r="C902" s="2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Q902" s="1" t="n"/>
      <c r="AR902" s="1" t="n"/>
      <c r="AS902" s="1" t="n"/>
      <c r="AT902" s="1" t="n"/>
      <c r="AU902" s="1" t="n"/>
      <c r="AV902" s="1" t="n"/>
      <c r="AW902" s="1" t="n"/>
      <c r="AX902" s="1" t="n"/>
      <c r="AY902" s="1" t="n"/>
      <c r="AZ902" s="1" t="n"/>
      <c r="BA902" s="1" t="n"/>
    </row>
    <row r="903" ht="16.5" customHeight="1" s="220">
      <c r="A903" s="1" t="n"/>
      <c r="B903" s="1" t="n"/>
      <c r="C903" s="2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  <c r="AR903" s="1" t="n"/>
      <c r="AS903" s="1" t="n"/>
      <c r="AT903" s="1" t="n"/>
      <c r="AU903" s="1" t="n"/>
      <c r="AV903" s="1" t="n"/>
      <c r="AW903" s="1" t="n"/>
      <c r="AX903" s="1" t="n"/>
      <c r="AY903" s="1" t="n"/>
      <c r="AZ903" s="1" t="n"/>
      <c r="BA903" s="1" t="n"/>
    </row>
    <row r="904" ht="16.5" customHeight="1" s="220">
      <c r="A904" s="1" t="n"/>
      <c r="B904" s="1" t="n"/>
      <c r="C904" s="2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Q904" s="1" t="n"/>
      <c r="AR904" s="1" t="n"/>
      <c r="AS904" s="1" t="n"/>
      <c r="AT904" s="1" t="n"/>
      <c r="AU904" s="1" t="n"/>
      <c r="AV904" s="1" t="n"/>
      <c r="AW904" s="1" t="n"/>
      <c r="AX904" s="1" t="n"/>
      <c r="AY904" s="1" t="n"/>
      <c r="AZ904" s="1" t="n"/>
      <c r="BA904" s="1" t="n"/>
    </row>
    <row r="905" ht="16.5" customHeight="1" s="220">
      <c r="A905" s="1" t="n"/>
      <c r="B905" s="1" t="n"/>
      <c r="C905" s="2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  <c r="AR905" s="1" t="n"/>
      <c r="AS905" s="1" t="n"/>
      <c r="AT905" s="1" t="n"/>
      <c r="AU905" s="1" t="n"/>
      <c r="AV905" s="1" t="n"/>
      <c r="AW905" s="1" t="n"/>
      <c r="AX905" s="1" t="n"/>
      <c r="AY905" s="1" t="n"/>
      <c r="AZ905" s="1" t="n"/>
      <c r="BA905" s="1" t="n"/>
    </row>
    <row r="906" ht="16.5" customHeight="1" s="220">
      <c r="A906" s="1" t="n"/>
      <c r="B906" s="1" t="n"/>
      <c r="C906" s="2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Q906" s="1" t="n"/>
      <c r="AR906" s="1" t="n"/>
      <c r="AS906" s="1" t="n"/>
      <c r="AT906" s="1" t="n"/>
      <c r="AU906" s="1" t="n"/>
      <c r="AV906" s="1" t="n"/>
      <c r="AW906" s="1" t="n"/>
      <c r="AX906" s="1" t="n"/>
      <c r="AY906" s="1" t="n"/>
      <c r="AZ906" s="1" t="n"/>
      <c r="BA906" s="1" t="n"/>
    </row>
    <row r="907" ht="16.5" customHeight="1" s="220">
      <c r="A907" s="1" t="n"/>
      <c r="B907" s="1" t="n"/>
      <c r="C907" s="2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  <c r="AR907" s="1" t="n"/>
      <c r="AS907" s="1" t="n"/>
      <c r="AT907" s="1" t="n"/>
      <c r="AU907" s="1" t="n"/>
      <c r="AV907" s="1" t="n"/>
      <c r="AW907" s="1" t="n"/>
      <c r="AX907" s="1" t="n"/>
      <c r="AY907" s="1" t="n"/>
      <c r="AZ907" s="1" t="n"/>
      <c r="BA907" s="1" t="n"/>
    </row>
    <row r="908" ht="16.5" customHeight="1" s="220">
      <c r="A908" s="1" t="n"/>
      <c r="B908" s="1" t="n"/>
      <c r="C908" s="2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Q908" s="1" t="n"/>
      <c r="AR908" s="1" t="n"/>
      <c r="AS908" s="1" t="n"/>
      <c r="AT908" s="1" t="n"/>
      <c r="AU908" s="1" t="n"/>
      <c r="AV908" s="1" t="n"/>
      <c r="AW908" s="1" t="n"/>
      <c r="AX908" s="1" t="n"/>
      <c r="AY908" s="1" t="n"/>
      <c r="AZ908" s="1" t="n"/>
      <c r="BA908" s="1" t="n"/>
    </row>
    <row r="909" ht="16.5" customHeight="1" s="220">
      <c r="A909" s="1" t="n"/>
      <c r="B909" s="1" t="n"/>
      <c r="C909" s="2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  <c r="AR909" s="1" t="n"/>
      <c r="AS909" s="1" t="n"/>
      <c r="AT909" s="1" t="n"/>
      <c r="AU909" s="1" t="n"/>
      <c r="AV909" s="1" t="n"/>
      <c r="AW909" s="1" t="n"/>
      <c r="AX909" s="1" t="n"/>
      <c r="AY909" s="1" t="n"/>
      <c r="AZ909" s="1" t="n"/>
      <c r="BA909" s="1" t="n"/>
    </row>
    <row r="910" ht="16.5" customHeight="1" s="220">
      <c r="A910" s="1" t="n"/>
      <c r="B910" s="1" t="n"/>
      <c r="C910" s="2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Q910" s="1" t="n"/>
      <c r="AR910" s="1" t="n"/>
      <c r="AS910" s="1" t="n"/>
      <c r="AT910" s="1" t="n"/>
      <c r="AU910" s="1" t="n"/>
      <c r="AV910" s="1" t="n"/>
      <c r="AW910" s="1" t="n"/>
      <c r="AX910" s="1" t="n"/>
      <c r="AY910" s="1" t="n"/>
      <c r="AZ910" s="1" t="n"/>
      <c r="BA910" s="1" t="n"/>
    </row>
    <row r="911" ht="16.5" customHeight="1" s="220">
      <c r="A911" s="1" t="n"/>
      <c r="B911" s="1" t="n"/>
      <c r="C911" s="2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  <c r="AR911" s="1" t="n"/>
      <c r="AS911" s="1" t="n"/>
      <c r="AT911" s="1" t="n"/>
      <c r="AU911" s="1" t="n"/>
      <c r="AV911" s="1" t="n"/>
      <c r="AW911" s="1" t="n"/>
      <c r="AX911" s="1" t="n"/>
      <c r="AY911" s="1" t="n"/>
      <c r="AZ911" s="1" t="n"/>
      <c r="BA911" s="1" t="n"/>
    </row>
    <row r="912" ht="16.5" customHeight="1" s="220">
      <c r="A912" s="1" t="n"/>
      <c r="B912" s="1" t="n"/>
      <c r="C912" s="2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Q912" s="1" t="n"/>
      <c r="AR912" s="1" t="n"/>
      <c r="AS912" s="1" t="n"/>
      <c r="AT912" s="1" t="n"/>
      <c r="AU912" s="1" t="n"/>
      <c r="AV912" s="1" t="n"/>
      <c r="AW912" s="1" t="n"/>
      <c r="AX912" s="1" t="n"/>
      <c r="AY912" s="1" t="n"/>
      <c r="AZ912" s="1" t="n"/>
      <c r="BA912" s="1" t="n"/>
    </row>
    <row r="913" ht="16.5" customHeight="1" s="220">
      <c r="A913" s="1" t="n"/>
      <c r="B913" s="1" t="n"/>
      <c r="C913" s="2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  <c r="AR913" s="1" t="n"/>
      <c r="AS913" s="1" t="n"/>
      <c r="AT913" s="1" t="n"/>
      <c r="AU913" s="1" t="n"/>
      <c r="AV913" s="1" t="n"/>
      <c r="AW913" s="1" t="n"/>
      <c r="AX913" s="1" t="n"/>
      <c r="AY913" s="1" t="n"/>
      <c r="AZ913" s="1" t="n"/>
      <c r="BA913" s="1" t="n"/>
    </row>
    <row r="914" ht="16.5" customHeight="1" s="220">
      <c r="A914" s="1" t="n"/>
      <c r="B914" s="1" t="n"/>
      <c r="C914" s="2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Q914" s="1" t="n"/>
      <c r="AR914" s="1" t="n"/>
      <c r="AS914" s="1" t="n"/>
      <c r="AT914" s="1" t="n"/>
      <c r="AU914" s="1" t="n"/>
      <c r="AV914" s="1" t="n"/>
      <c r="AW914" s="1" t="n"/>
      <c r="AX914" s="1" t="n"/>
      <c r="AY914" s="1" t="n"/>
      <c r="AZ914" s="1" t="n"/>
      <c r="BA914" s="1" t="n"/>
    </row>
    <row r="915" ht="16.5" customHeight="1" s="220">
      <c r="A915" s="1" t="n"/>
      <c r="B915" s="1" t="n"/>
      <c r="C915" s="2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  <c r="AR915" s="1" t="n"/>
      <c r="AS915" s="1" t="n"/>
      <c r="AT915" s="1" t="n"/>
      <c r="AU915" s="1" t="n"/>
      <c r="AV915" s="1" t="n"/>
      <c r="AW915" s="1" t="n"/>
      <c r="AX915" s="1" t="n"/>
      <c r="AY915" s="1" t="n"/>
      <c r="AZ915" s="1" t="n"/>
      <c r="BA915" s="1" t="n"/>
    </row>
    <row r="916" ht="16.5" customHeight="1" s="220">
      <c r="A916" s="1" t="n"/>
      <c r="B916" s="1" t="n"/>
      <c r="C916" s="2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Q916" s="1" t="n"/>
      <c r="AR916" s="1" t="n"/>
      <c r="AS916" s="1" t="n"/>
      <c r="AT916" s="1" t="n"/>
      <c r="AU916" s="1" t="n"/>
      <c r="AV916" s="1" t="n"/>
      <c r="AW916" s="1" t="n"/>
      <c r="AX916" s="1" t="n"/>
      <c r="AY916" s="1" t="n"/>
      <c r="AZ916" s="1" t="n"/>
      <c r="BA916" s="1" t="n"/>
    </row>
    <row r="917" ht="16.5" customHeight="1" s="220">
      <c r="A917" s="1" t="n"/>
      <c r="B917" s="1" t="n"/>
      <c r="C917" s="2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  <c r="AR917" s="1" t="n"/>
      <c r="AS917" s="1" t="n"/>
      <c r="AT917" s="1" t="n"/>
      <c r="AU917" s="1" t="n"/>
      <c r="AV917" s="1" t="n"/>
      <c r="AW917" s="1" t="n"/>
      <c r="AX917" s="1" t="n"/>
      <c r="AY917" s="1" t="n"/>
      <c r="AZ917" s="1" t="n"/>
      <c r="BA917" s="1" t="n"/>
    </row>
    <row r="918" ht="16.5" customHeight="1" s="220">
      <c r="A918" s="1" t="n"/>
      <c r="B918" s="1" t="n"/>
      <c r="C918" s="2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Q918" s="1" t="n"/>
      <c r="AR918" s="1" t="n"/>
      <c r="AS918" s="1" t="n"/>
      <c r="AT918" s="1" t="n"/>
      <c r="AU918" s="1" t="n"/>
      <c r="AV918" s="1" t="n"/>
      <c r="AW918" s="1" t="n"/>
      <c r="AX918" s="1" t="n"/>
      <c r="AY918" s="1" t="n"/>
      <c r="AZ918" s="1" t="n"/>
      <c r="BA918" s="1" t="n"/>
    </row>
    <row r="919" ht="16.5" customHeight="1" s="220">
      <c r="A919" s="1" t="n"/>
      <c r="B919" s="1" t="n"/>
      <c r="C919" s="2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  <c r="AR919" s="1" t="n"/>
      <c r="AS919" s="1" t="n"/>
      <c r="AT919" s="1" t="n"/>
      <c r="AU919" s="1" t="n"/>
      <c r="AV919" s="1" t="n"/>
      <c r="AW919" s="1" t="n"/>
      <c r="AX919" s="1" t="n"/>
      <c r="AY919" s="1" t="n"/>
      <c r="AZ919" s="1" t="n"/>
      <c r="BA919" s="1" t="n"/>
    </row>
    <row r="920" ht="16.5" customHeight="1" s="220">
      <c r="A920" s="1" t="n"/>
      <c r="B920" s="1" t="n"/>
      <c r="C920" s="2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Q920" s="1" t="n"/>
      <c r="AR920" s="1" t="n"/>
      <c r="AS920" s="1" t="n"/>
      <c r="AT920" s="1" t="n"/>
      <c r="AU920" s="1" t="n"/>
      <c r="AV920" s="1" t="n"/>
      <c r="AW920" s="1" t="n"/>
      <c r="AX920" s="1" t="n"/>
      <c r="AY920" s="1" t="n"/>
      <c r="AZ920" s="1" t="n"/>
      <c r="BA920" s="1" t="n"/>
    </row>
    <row r="921" ht="16.5" customHeight="1" s="220">
      <c r="A921" s="1" t="n"/>
      <c r="B921" s="1" t="n"/>
      <c r="C921" s="2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  <c r="AR921" s="1" t="n"/>
      <c r="AS921" s="1" t="n"/>
      <c r="AT921" s="1" t="n"/>
      <c r="AU921" s="1" t="n"/>
      <c r="AV921" s="1" t="n"/>
      <c r="AW921" s="1" t="n"/>
      <c r="AX921" s="1" t="n"/>
      <c r="AY921" s="1" t="n"/>
      <c r="AZ921" s="1" t="n"/>
      <c r="BA921" s="1" t="n"/>
    </row>
    <row r="922" ht="16.5" customHeight="1" s="220">
      <c r="A922" s="1" t="n"/>
      <c r="B922" s="1" t="n"/>
      <c r="C922" s="2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Q922" s="1" t="n"/>
      <c r="AR922" s="1" t="n"/>
      <c r="AS922" s="1" t="n"/>
      <c r="AT922" s="1" t="n"/>
      <c r="AU922" s="1" t="n"/>
      <c r="AV922" s="1" t="n"/>
      <c r="AW922" s="1" t="n"/>
      <c r="AX922" s="1" t="n"/>
      <c r="AY922" s="1" t="n"/>
      <c r="AZ922" s="1" t="n"/>
      <c r="BA922" s="1" t="n"/>
    </row>
    <row r="923" ht="16.5" customHeight="1" s="220">
      <c r="A923" s="1" t="n"/>
      <c r="B923" s="1" t="n"/>
      <c r="C923" s="2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  <c r="AR923" s="1" t="n"/>
      <c r="AS923" s="1" t="n"/>
      <c r="AT923" s="1" t="n"/>
      <c r="AU923" s="1" t="n"/>
      <c r="AV923" s="1" t="n"/>
      <c r="AW923" s="1" t="n"/>
      <c r="AX923" s="1" t="n"/>
      <c r="AY923" s="1" t="n"/>
      <c r="AZ923" s="1" t="n"/>
      <c r="BA923" s="1" t="n"/>
    </row>
    <row r="924" ht="16.5" customHeight="1" s="220">
      <c r="A924" s="1" t="n"/>
      <c r="B924" s="1" t="n"/>
      <c r="C924" s="2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Q924" s="1" t="n"/>
      <c r="AR924" s="1" t="n"/>
      <c r="AS924" s="1" t="n"/>
      <c r="AT924" s="1" t="n"/>
      <c r="AU924" s="1" t="n"/>
      <c r="AV924" s="1" t="n"/>
      <c r="AW924" s="1" t="n"/>
      <c r="AX924" s="1" t="n"/>
      <c r="AY924" s="1" t="n"/>
      <c r="AZ924" s="1" t="n"/>
      <c r="BA924" s="1" t="n"/>
    </row>
    <row r="925" ht="16.5" customHeight="1" s="220">
      <c r="A925" s="1" t="n"/>
      <c r="B925" s="1" t="n"/>
      <c r="C925" s="2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  <c r="AR925" s="1" t="n"/>
      <c r="AS925" s="1" t="n"/>
      <c r="AT925" s="1" t="n"/>
      <c r="AU925" s="1" t="n"/>
      <c r="AV925" s="1" t="n"/>
      <c r="AW925" s="1" t="n"/>
      <c r="AX925" s="1" t="n"/>
      <c r="AY925" s="1" t="n"/>
      <c r="AZ925" s="1" t="n"/>
      <c r="BA925" s="1" t="n"/>
    </row>
    <row r="926" ht="16.5" customHeight="1" s="220">
      <c r="A926" s="1" t="n"/>
      <c r="B926" s="1" t="n"/>
      <c r="C926" s="2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Q926" s="1" t="n"/>
      <c r="AR926" s="1" t="n"/>
      <c r="AS926" s="1" t="n"/>
      <c r="AT926" s="1" t="n"/>
      <c r="AU926" s="1" t="n"/>
      <c r="AV926" s="1" t="n"/>
      <c r="AW926" s="1" t="n"/>
      <c r="AX926" s="1" t="n"/>
      <c r="AY926" s="1" t="n"/>
      <c r="AZ926" s="1" t="n"/>
      <c r="BA926" s="1" t="n"/>
    </row>
    <row r="927" ht="16.5" customHeight="1" s="220">
      <c r="A927" s="1" t="n"/>
      <c r="B927" s="1" t="n"/>
      <c r="C927" s="2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  <c r="AR927" s="1" t="n"/>
      <c r="AS927" s="1" t="n"/>
      <c r="AT927" s="1" t="n"/>
      <c r="AU927" s="1" t="n"/>
      <c r="AV927" s="1" t="n"/>
      <c r="AW927" s="1" t="n"/>
      <c r="AX927" s="1" t="n"/>
      <c r="AY927" s="1" t="n"/>
      <c r="AZ927" s="1" t="n"/>
      <c r="BA927" s="1" t="n"/>
    </row>
    <row r="928" ht="16.5" customHeight="1" s="220">
      <c r="A928" s="1" t="n"/>
      <c r="B928" s="1" t="n"/>
      <c r="C928" s="2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Q928" s="1" t="n"/>
      <c r="AR928" s="1" t="n"/>
      <c r="AS928" s="1" t="n"/>
      <c r="AT928" s="1" t="n"/>
      <c r="AU928" s="1" t="n"/>
      <c r="AV928" s="1" t="n"/>
      <c r="AW928" s="1" t="n"/>
      <c r="AX928" s="1" t="n"/>
      <c r="AY928" s="1" t="n"/>
      <c r="AZ928" s="1" t="n"/>
      <c r="BA928" s="1" t="n"/>
    </row>
    <row r="929" ht="16.5" customHeight="1" s="220">
      <c r="A929" s="1" t="n"/>
      <c r="B929" s="1" t="n"/>
      <c r="C929" s="2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  <c r="AR929" s="1" t="n"/>
      <c r="AS929" s="1" t="n"/>
      <c r="AT929" s="1" t="n"/>
      <c r="AU929" s="1" t="n"/>
      <c r="AV929" s="1" t="n"/>
      <c r="AW929" s="1" t="n"/>
      <c r="AX929" s="1" t="n"/>
      <c r="AY929" s="1" t="n"/>
      <c r="AZ929" s="1" t="n"/>
      <c r="BA929" s="1" t="n"/>
    </row>
    <row r="930" ht="16.5" customHeight="1" s="220">
      <c r="A930" s="1" t="n"/>
      <c r="B930" s="1" t="n"/>
      <c r="C930" s="2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Q930" s="1" t="n"/>
      <c r="AR930" s="1" t="n"/>
      <c r="AS930" s="1" t="n"/>
      <c r="AT930" s="1" t="n"/>
      <c r="AU930" s="1" t="n"/>
      <c r="AV930" s="1" t="n"/>
      <c r="AW930" s="1" t="n"/>
      <c r="AX930" s="1" t="n"/>
      <c r="AY930" s="1" t="n"/>
      <c r="AZ930" s="1" t="n"/>
      <c r="BA930" s="1" t="n"/>
    </row>
    <row r="931" ht="16.5" customHeight="1" s="220">
      <c r="A931" s="1" t="n"/>
      <c r="B931" s="1" t="n"/>
      <c r="C931" s="2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  <c r="AR931" s="1" t="n"/>
      <c r="AS931" s="1" t="n"/>
      <c r="AT931" s="1" t="n"/>
      <c r="AU931" s="1" t="n"/>
      <c r="AV931" s="1" t="n"/>
      <c r="AW931" s="1" t="n"/>
      <c r="AX931" s="1" t="n"/>
      <c r="AY931" s="1" t="n"/>
      <c r="AZ931" s="1" t="n"/>
      <c r="BA931" s="1" t="n"/>
    </row>
    <row r="932" ht="16.5" customHeight="1" s="220">
      <c r="A932" s="1" t="n"/>
      <c r="B932" s="1" t="n"/>
      <c r="C932" s="2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Q932" s="1" t="n"/>
      <c r="AR932" s="1" t="n"/>
      <c r="AS932" s="1" t="n"/>
      <c r="AT932" s="1" t="n"/>
      <c r="AU932" s="1" t="n"/>
      <c r="AV932" s="1" t="n"/>
      <c r="AW932" s="1" t="n"/>
      <c r="AX932" s="1" t="n"/>
      <c r="AY932" s="1" t="n"/>
      <c r="AZ932" s="1" t="n"/>
      <c r="BA932" s="1" t="n"/>
    </row>
    <row r="933" ht="16.5" customHeight="1" s="220">
      <c r="A933" s="1" t="n"/>
      <c r="B933" s="1" t="n"/>
      <c r="C933" s="2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  <c r="AR933" s="1" t="n"/>
      <c r="AS933" s="1" t="n"/>
      <c r="AT933" s="1" t="n"/>
      <c r="AU933" s="1" t="n"/>
      <c r="AV933" s="1" t="n"/>
      <c r="AW933" s="1" t="n"/>
      <c r="AX933" s="1" t="n"/>
      <c r="AY933" s="1" t="n"/>
      <c r="AZ933" s="1" t="n"/>
      <c r="BA933" s="1" t="n"/>
    </row>
    <row r="934" ht="16.5" customHeight="1" s="220">
      <c r="A934" s="1" t="n"/>
      <c r="B934" s="1" t="n"/>
      <c r="C934" s="2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Q934" s="1" t="n"/>
      <c r="AR934" s="1" t="n"/>
      <c r="AS934" s="1" t="n"/>
      <c r="AT934" s="1" t="n"/>
      <c r="AU934" s="1" t="n"/>
      <c r="AV934" s="1" t="n"/>
      <c r="AW934" s="1" t="n"/>
      <c r="AX934" s="1" t="n"/>
      <c r="AY934" s="1" t="n"/>
      <c r="AZ934" s="1" t="n"/>
      <c r="BA934" s="1" t="n"/>
    </row>
    <row r="935" ht="16.5" customHeight="1" s="220">
      <c r="A935" s="1" t="n"/>
      <c r="B935" s="1" t="n"/>
      <c r="C935" s="2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  <c r="AR935" s="1" t="n"/>
      <c r="AS935" s="1" t="n"/>
      <c r="AT935" s="1" t="n"/>
      <c r="AU935" s="1" t="n"/>
      <c r="AV935" s="1" t="n"/>
      <c r="AW935" s="1" t="n"/>
      <c r="AX935" s="1" t="n"/>
      <c r="AY935" s="1" t="n"/>
      <c r="AZ935" s="1" t="n"/>
      <c r="BA935" s="1" t="n"/>
    </row>
    <row r="936" ht="16.5" customHeight="1" s="220">
      <c r="A936" s="1" t="n"/>
      <c r="B936" s="1" t="n"/>
      <c r="C936" s="2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Q936" s="1" t="n"/>
      <c r="AR936" s="1" t="n"/>
      <c r="AS936" s="1" t="n"/>
      <c r="AT936" s="1" t="n"/>
      <c r="AU936" s="1" t="n"/>
      <c r="AV936" s="1" t="n"/>
      <c r="AW936" s="1" t="n"/>
      <c r="AX936" s="1" t="n"/>
      <c r="AY936" s="1" t="n"/>
      <c r="AZ936" s="1" t="n"/>
      <c r="BA936" s="1" t="n"/>
    </row>
    <row r="937" ht="16.5" customHeight="1" s="220">
      <c r="A937" s="1" t="n"/>
      <c r="B937" s="1" t="n"/>
      <c r="C937" s="2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  <c r="AR937" s="1" t="n"/>
      <c r="AS937" s="1" t="n"/>
      <c r="AT937" s="1" t="n"/>
      <c r="AU937" s="1" t="n"/>
      <c r="AV937" s="1" t="n"/>
      <c r="AW937" s="1" t="n"/>
      <c r="AX937" s="1" t="n"/>
      <c r="AY937" s="1" t="n"/>
      <c r="AZ937" s="1" t="n"/>
      <c r="BA937" s="1" t="n"/>
    </row>
    <row r="938" ht="16.5" customHeight="1" s="220">
      <c r="A938" s="1" t="n"/>
      <c r="B938" s="1" t="n"/>
      <c r="C938" s="2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Q938" s="1" t="n"/>
      <c r="AR938" s="1" t="n"/>
      <c r="AS938" s="1" t="n"/>
      <c r="AT938" s="1" t="n"/>
      <c r="AU938" s="1" t="n"/>
      <c r="AV938" s="1" t="n"/>
      <c r="AW938" s="1" t="n"/>
      <c r="AX938" s="1" t="n"/>
      <c r="AY938" s="1" t="n"/>
      <c r="AZ938" s="1" t="n"/>
      <c r="BA938" s="1" t="n"/>
    </row>
    <row r="939" ht="16.5" customHeight="1" s="220">
      <c r="A939" s="1" t="n"/>
      <c r="B939" s="1" t="n"/>
      <c r="C939" s="2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  <c r="AR939" s="1" t="n"/>
      <c r="AS939" s="1" t="n"/>
      <c r="AT939" s="1" t="n"/>
      <c r="AU939" s="1" t="n"/>
      <c r="AV939" s="1" t="n"/>
      <c r="AW939" s="1" t="n"/>
      <c r="AX939" s="1" t="n"/>
      <c r="AY939" s="1" t="n"/>
      <c r="AZ939" s="1" t="n"/>
      <c r="BA939" s="1" t="n"/>
    </row>
    <row r="940" ht="16.5" customHeight="1" s="220">
      <c r="A940" s="1" t="n"/>
      <c r="B940" s="1" t="n"/>
      <c r="C940" s="2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Q940" s="1" t="n"/>
      <c r="AR940" s="1" t="n"/>
      <c r="AS940" s="1" t="n"/>
      <c r="AT940" s="1" t="n"/>
      <c r="AU940" s="1" t="n"/>
      <c r="AV940" s="1" t="n"/>
      <c r="AW940" s="1" t="n"/>
      <c r="AX940" s="1" t="n"/>
      <c r="AY940" s="1" t="n"/>
      <c r="AZ940" s="1" t="n"/>
      <c r="BA940" s="1" t="n"/>
    </row>
    <row r="941" ht="16.5" customHeight="1" s="220">
      <c r="A941" s="1" t="n"/>
      <c r="B941" s="1" t="n"/>
      <c r="C941" s="2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  <c r="AR941" s="1" t="n"/>
      <c r="AS941" s="1" t="n"/>
      <c r="AT941" s="1" t="n"/>
      <c r="AU941" s="1" t="n"/>
      <c r="AV941" s="1" t="n"/>
      <c r="AW941" s="1" t="n"/>
      <c r="AX941" s="1" t="n"/>
      <c r="AY941" s="1" t="n"/>
      <c r="AZ941" s="1" t="n"/>
      <c r="BA941" s="1" t="n"/>
    </row>
    <row r="942" ht="16.5" customHeight="1" s="220">
      <c r="A942" s="1" t="n"/>
      <c r="B942" s="1" t="n"/>
      <c r="C942" s="2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Q942" s="1" t="n"/>
      <c r="AR942" s="1" t="n"/>
      <c r="AS942" s="1" t="n"/>
      <c r="AT942" s="1" t="n"/>
      <c r="AU942" s="1" t="n"/>
      <c r="AV942" s="1" t="n"/>
      <c r="AW942" s="1" t="n"/>
      <c r="AX942" s="1" t="n"/>
      <c r="AY942" s="1" t="n"/>
      <c r="AZ942" s="1" t="n"/>
      <c r="BA942" s="1" t="n"/>
    </row>
    <row r="943" ht="16.5" customHeight="1" s="220">
      <c r="A943" s="1" t="n"/>
      <c r="B943" s="1" t="n"/>
      <c r="C943" s="2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  <c r="AR943" s="1" t="n"/>
      <c r="AS943" s="1" t="n"/>
      <c r="AT943" s="1" t="n"/>
      <c r="AU943" s="1" t="n"/>
      <c r="AV943" s="1" t="n"/>
      <c r="AW943" s="1" t="n"/>
      <c r="AX943" s="1" t="n"/>
      <c r="AY943" s="1" t="n"/>
      <c r="AZ943" s="1" t="n"/>
      <c r="BA943" s="1" t="n"/>
    </row>
    <row r="944" ht="16.5" customHeight="1" s="220">
      <c r="A944" s="1" t="n"/>
      <c r="B944" s="1" t="n"/>
      <c r="C944" s="2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Q944" s="1" t="n"/>
      <c r="AR944" s="1" t="n"/>
      <c r="AS944" s="1" t="n"/>
      <c r="AT944" s="1" t="n"/>
      <c r="AU944" s="1" t="n"/>
      <c r="AV944" s="1" t="n"/>
      <c r="AW944" s="1" t="n"/>
      <c r="AX944" s="1" t="n"/>
      <c r="AY944" s="1" t="n"/>
      <c r="AZ944" s="1" t="n"/>
      <c r="BA944" s="1" t="n"/>
    </row>
    <row r="945" ht="16.5" customHeight="1" s="220">
      <c r="A945" s="1" t="n"/>
      <c r="B945" s="1" t="n"/>
      <c r="C945" s="2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  <c r="AR945" s="1" t="n"/>
      <c r="AS945" s="1" t="n"/>
      <c r="AT945" s="1" t="n"/>
      <c r="AU945" s="1" t="n"/>
      <c r="AV945" s="1" t="n"/>
      <c r="AW945" s="1" t="n"/>
      <c r="AX945" s="1" t="n"/>
      <c r="AY945" s="1" t="n"/>
      <c r="AZ945" s="1" t="n"/>
      <c r="BA945" s="1" t="n"/>
    </row>
    <row r="946" ht="16.5" customHeight="1" s="220">
      <c r="A946" s="1" t="n"/>
      <c r="B946" s="1" t="n"/>
      <c r="C946" s="2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Q946" s="1" t="n"/>
      <c r="AR946" s="1" t="n"/>
      <c r="AS946" s="1" t="n"/>
      <c r="AT946" s="1" t="n"/>
      <c r="AU946" s="1" t="n"/>
      <c r="AV946" s="1" t="n"/>
      <c r="AW946" s="1" t="n"/>
      <c r="AX946" s="1" t="n"/>
      <c r="AY946" s="1" t="n"/>
      <c r="AZ946" s="1" t="n"/>
      <c r="BA946" s="1" t="n"/>
    </row>
    <row r="947" ht="16.5" customHeight="1" s="220">
      <c r="A947" s="1" t="n"/>
      <c r="B947" s="1" t="n"/>
      <c r="C947" s="2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  <c r="AR947" s="1" t="n"/>
      <c r="AS947" s="1" t="n"/>
      <c r="AT947" s="1" t="n"/>
      <c r="AU947" s="1" t="n"/>
      <c r="AV947" s="1" t="n"/>
      <c r="AW947" s="1" t="n"/>
      <c r="AX947" s="1" t="n"/>
      <c r="AY947" s="1" t="n"/>
      <c r="AZ947" s="1" t="n"/>
      <c r="BA947" s="1" t="n"/>
    </row>
    <row r="948" ht="16.5" customHeight="1" s="220">
      <c r="A948" s="1" t="n"/>
      <c r="B948" s="1" t="n"/>
      <c r="C948" s="2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Q948" s="1" t="n"/>
      <c r="AR948" s="1" t="n"/>
      <c r="AS948" s="1" t="n"/>
      <c r="AT948" s="1" t="n"/>
      <c r="AU948" s="1" t="n"/>
      <c r="AV948" s="1" t="n"/>
      <c r="AW948" s="1" t="n"/>
      <c r="AX948" s="1" t="n"/>
      <c r="AY948" s="1" t="n"/>
      <c r="AZ948" s="1" t="n"/>
      <c r="BA948" s="1" t="n"/>
    </row>
    <row r="949" ht="16.5" customHeight="1" s="220">
      <c r="A949" s="1" t="n"/>
      <c r="B949" s="1" t="n"/>
      <c r="C949" s="2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  <c r="AR949" s="1" t="n"/>
      <c r="AS949" s="1" t="n"/>
      <c r="AT949" s="1" t="n"/>
      <c r="AU949" s="1" t="n"/>
      <c r="AV949" s="1" t="n"/>
      <c r="AW949" s="1" t="n"/>
      <c r="AX949" s="1" t="n"/>
      <c r="AY949" s="1" t="n"/>
      <c r="AZ949" s="1" t="n"/>
      <c r="BA949" s="1" t="n"/>
    </row>
    <row r="950" ht="16.5" customHeight="1" s="220">
      <c r="A950" s="1" t="n"/>
      <c r="B950" s="1" t="n"/>
      <c r="C950" s="2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Q950" s="1" t="n"/>
      <c r="AR950" s="1" t="n"/>
      <c r="AS950" s="1" t="n"/>
      <c r="AT950" s="1" t="n"/>
      <c r="AU950" s="1" t="n"/>
      <c r="AV950" s="1" t="n"/>
      <c r="AW950" s="1" t="n"/>
      <c r="AX950" s="1" t="n"/>
      <c r="AY950" s="1" t="n"/>
      <c r="AZ950" s="1" t="n"/>
      <c r="BA950" s="1" t="n"/>
    </row>
    <row r="951" ht="16.5" customHeight="1" s="220">
      <c r="A951" s="1" t="n"/>
      <c r="B951" s="1" t="n"/>
      <c r="C951" s="2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  <c r="AR951" s="1" t="n"/>
      <c r="AS951" s="1" t="n"/>
      <c r="AT951" s="1" t="n"/>
      <c r="AU951" s="1" t="n"/>
      <c r="AV951" s="1" t="n"/>
      <c r="AW951" s="1" t="n"/>
      <c r="AX951" s="1" t="n"/>
      <c r="AY951" s="1" t="n"/>
      <c r="AZ951" s="1" t="n"/>
      <c r="BA951" s="1" t="n"/>
    </row>
    <row r="952" ht="16.5" customHeight="1" s="220">
      <c r="A952" s="1" t="n"/>
      <c r="B952" s="1" t="n"/>
      <c r="C952" s="2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Q952" s="1" t="n"/>
      <c r="AR952" s="1" t="n"/>
      <c r="AS952" s="1" t="n"/>
      <c r="AT952" s="1" t="n"/>
      <c r="AU952" s="1" t="n"/>
      <c r="AV952" s="1" t="n"/>
      <c r="AW952" s="1" t="n"/>
      <c r="AX952" s="1" t="n"/>
      <c r="AY952" s="1" t="n"/>
      <c r="AZ952" s="1" t="n"/>
      <c r="BA952" s="1" t="n"/>
    </row>
    <row r="953" ht="16.5" customHeight="1" s="220">
      <c r="A953" s="1" t="n"/>
      <c r="B953" s="1" t="n"/>
      <c r="C953" s="2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  <c r="AR953" s="1" t="n"/>
      <c r="AS953" s="1" t="n"/>
      <c r="AT953" s="1" t="n"/>
      <c r="AU953" s="1" t="n"/>
      <c r="AV953" s="1" t="n"/>
      <c r="AW953" s="1" t="n"/>
      <c r="AX953" s="1" t="n"/>
      <c r="AY953" s="1" t="n"/>
      <c r="AZ953" s="1" t="n"/>
      <c r="BA953" s="1" t="n"/>
    </row>
    <row r="954" ht="16.5" customHeight="1" s="220">
      <c r="A954" s="1" t="n"/>
      <c r="B954" s="1" t="n"/>
      <c r="C954" s="2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Q954" s="1" t="n"/>
      <c r="AR954" s="1" t="n"/>
      <c r="AS954" s="1" t="n"/>
      <c r="AT954" s="1" t="n"/>
      <c r="AU954" s="1" t="n"/>
      <c r="AV954" s="1" t="n"/>
      <c r="AW954" s="1" t="n"/>
      <c r="AX954" s="1" t="n"/>
      <c r="AY954" s="1" t="n"/>
      <c r="AZ954" s="1" t="n"/>
      <c r="BA954" s="1" t="n"/>
    </row>
    <row r="955" ht="16.5" customHeight="1" s="220">
      <c r="A955" s="1" t="n"/>
      <c r="B955" s="1" t="n"/>
      <c r="C955" s="2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  <c r="AR955" s="1" t="n"/>
      <c r="AS955" s="1" t="n"/>
      <c r="AT955" s="1" t="n"/>
      <c r="AU955" s="1" t="n"/>
      <c r="AV955" s="1" t="n"/>
      <c r="AW955" s="1" t="n"/>
      <c r="AX955" s="1" t="n"/>
      <c r="AY955" s="1" t="n"/>
      <c r="AZ955" s="1" t="n"/>
      <c r="BA955" s="1" t="n"/>
    </row>
    <row r="956" ht="16.5" customHeight="1" s="220">
      <c r="A956" s="1" t="n"/>
      <c r="B956" s="1" t="n"/>
      <c r="C956" s="2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Q956" s="1" t="n"/>
      <c r="AR956" s="1" t="n"/>
      <c r="AS956" s="1" t="n"/>
      <c r="AT956" s="1" t="n"/>
      <c r="AU956" s="1" t="n"/>
      <c r="AV956" s="1" t="n"/>
      <c r="AW956" s="1" t="n"/>
      <c r="AX956" s="1" t="n"/>
      <c r="AY956" s="1" t="n"/>
      <c r="AZ956" s="1" t="n"/>
      <c r="BA956" s="1" t="n"/>
    </row>
    <row r="957" ht="16.5" customHeight="1" s="220">
      <c r="A957" s="1" t="n"/>
      <c r="B957" s="1" t="n"/>
      <c r="C957" s="2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  <c r="AR957" s="1" t="n"/>
      <c r="AS957" s="1" t="n"/>
      <c r="AT957" s="1" t="n"/>
      <c r="AU957" s="1" t="n"/>
      <c r="AV957" s="1" t="n"/>
      <c r="AW957" s="1" t="n"/>
      <c r="AX957" s="1" t="n"/>
      <c r="AY957" s="1" t="n"/>
      <c r="AZ957" s="1" t="n"/>
      <c r="BA957" s="1" t="n"/>
    </row>
    <row r="958" ht="16.5" customHeight="1" s="220">
      <c r="A958" s="1" t="n"/>
      <c r="B958" s="1" t="n"/>
      <c r="C958" s="2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Q958" s="1" t="n"/>
      <c r="AR958" s="1" t="n"/>
      <c r="AS958" s="1" t="n"/>
      <c r="AT958" s="1" t="n"/>
      <c r="AU958" s="1" t="n"/>
      <c r="AV958" s="1" t="n"/>
      <c r="AW958" s="1" t="n"/>
      <c r="AX958" s="1" t="n"/>
      <c r="AY958" s="1" t="n"/>
      <c r="AZ958" s="1" t="n"/>
      <c r="BA958" s="1" t="n"/>
    </row>
    <row r="959" ht="16.5" customHeight="1" s="220">
      <c r="A959" s="1" t="n"/>
      <c r="B959" s="1" t="n"/>
      <c r="C959" s="2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  <c r="AR959" s="1" t="n"/>
      <c r="AS959" s="1" t="n"/>
      <c r="AT959" s="1" t="n"/>
      <c r="AU959" s="1" t="n"/>
      <c r="AV959" s="1" t="n"/>
      <c r="AW959" s="1" t="n"/>
      <c r="AX959" s="1" t="n"/>
      <c r="AY959" s="1" t="n"/>
      <c r="AZ959" s="1" t="n"/>
      <c r="BA959" s="1" t="n"/>
    </row>
    <row r="960" ht="16.5" customHeight="1" s="220">
      <c r="A960" s="1" t="n"/>
      <c r="B960" s="1" t="n"/>
      <c r="C960" s="2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Q960" s="1" t="n"/>
      <c r="AR960" s="1" t="n"/>
      <c r="AS960" s="1" t="n"/>
      <c r="AT960" s="1" t="n"/>
      <c r="AU960" s="1" t="n"/>
      <c r="AV960" s="1" t="n"/>
      <c r="AW960" s="1" t="n"/>
      <c r="AX960" s="1" t="n"/>
      <c r="AY960" s="1" t="n"/>
      <c r="AZ960" s="1" t="n"/>
      <c r="BA960" s="1" t="n"/>
    </row>
    <row r="961" ht="16.5" customHeight="1" s="220">
      <c r="A961" s="1" t="n"/>
      <c r="B961" s="1" t="n"/>
      <c r="C961" s="2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  <c r="AR961" s="1" t="n"/>
      <c r="AS961" s="1" t="n"/>
      <c r="AT961" s="1" t="n"/>
      <c r="AU961" s="1" t="n"/>
      <c r="AV961" s="1" t="n"/>
      <c r="AW961" s="1" t="n"/>
      <c r="AX961" s="1" t="n"/>
      <c r="AY961" s="1" t="n"/>
      <c r="AZ961" s="1" t="n"/>
      <c r="BA961" s="1" t="n"/>
    </row>
    <row r="962" ht="16.5" customHeight="1" s="220">
      <c r="A962" s="1" t="n"/>
      <c r="B962" s="1" t="n"/>
      <c r="C962" s="2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Q962" s="1" t="n"/>
      <c r="AR962" s="1" t="n"/>
      <c r="AS962" s="1" t="n"/>
      <c r="AT962" s="1" t="n"/>
      <c r="AU962" s="1" t="n"/>
      <c r="AV962" s="1" t="n"/>
      <c r="AW962" s="1" t="n"/>
      <c r="AX962" s="1" t="n"/>
      <c r="AY962" s="1" t="n"/>
      <c r="AZ962" s="1" t="n"/>
      <c r="BA962" s="1" t="n"/>
    </row>
    <row r="963" ht="16.5" customHeight="1" s="220">
      <c r="A963" s="1" t="n"/>
      <c r="B963" s="1" t="n"/>
      <c r="C963" s="2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  <c r="AR963" s="1" t="n"/>
      <c r="AS963" s="1" t="n"/>
      <c r="AT963" s="1" t="n"/>
      <c r="AU963" s="1" t="n"/>
      <c r="AV963" s="1" t="n"/>
      <c r="AW963" s="1" t="n"/>
      <c r="AX963" s="1" t="n"/>
      <c r="AY963" s="1" t="n"/>
      <c r="AZ963" s="1" t="n"/>
      <c r="BA963" s="1" t="n"/>
    </row>
    <row r="964" ht="16.5" customHeight="1" s="220">
      <c r="A964" s="1" t="n"/>
      <c r="B964" s="1" t="n"/>
      <c r="C964" s="2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Q964" s="1" t="n"/>
      <c r="AR964" s="1" t="n"/>
      <c r="AS964" s="1" t="n"/>
      <c r="AT964" s="1" t="n"/>
      <c r="AU964" s="1" t="n"/>
      <c r="AV964" s="1" t="n"/>
      <c r="AW964" s="1" t="n"/>
      <c r="AX964" s="1" t="n"/>
      <c r="AY964" s="1" t="n"/>
      <c r="AZ964" s="1" t="n"/>
      <c r="BA964" s="1" t="n"/>
    </row>
    <row r="965" ht="16.5" customHeight="1" s="220">
      <c r="A965" s="1" t="n"/>
      <c r="B965" s="1" t="n"/>
      <c r="C965" s="2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  <c r="AR965" s="1" t="n"/>
      <c r="AS965" s="1" t="n"/>
      <c r="AT965" s="1" t="n"/>
      <c r="AU965" s="1" t="n"/>
      <c r="AV965" s="1" t="n"/>
      <c r="AW965" s="1" t="n"/>
      <c r="AX965" s="1" t="n"/>
      <c r="AY965" s="1" t="n"/>
      <c r="AZ965" s="1" t="n"/>
      <c r="BA965" s="1" t="n"/>
    </row>
    <row r="966" ht="16.5" customHeight="1" s="220">
      <c r="A966" s="1" t="n"/>
      <c r="B966" s="1" t="n"/>
      <c r="C966" s="2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Q966" s="1" t="n"/>
      <c r="AR966" s="1" t="n"/>
      <c r="AS966" s="1" t="n"/>
      <c r="AT966" s="1" t="n"/>
      <c r="AU966" s="1" t="n"/>
      <c r="AV966" s="1" t="n"/>
      <c r="AW966" s="1" t="n"/>
      <c r="AX966" s="1" t="n"/>
      <c r="AY966" s="1" t="n"/>
      <c r="AZ966" s="1" t="n"/>
      <c r="BA966" s="1" t="n"/>
    </row>
    <row r="967" ht="16.5" customHeight="1" s="220">
      <c r="A967" s="1" t="n"/>
      <c r="B967" s="1" t="n"/>
      <c r="C967" s="2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  <c r="AR967" s="1" t="n"/>
      <c r="AS967" s="1" t="n"/>
      <c r="AT967" s="1" t="n"/>
      <c r="AU967" s="1" t="n"/>
      <c r="AV967" s="1" t="n"/>
      <c r="AW967" s="1" t="n"/>
      <c r="AX967" s="1" t="n"/>
      <c r="AY967" s="1" t="n"/>
      <c r="AZ967" s="1" t="n"/>
      <c r="BA967" s="1" t="n"/>
    </row>
    <row r="968" ht="16.5" customHeight="1" s="220">
      <c r="A968" s="1" t="n"/>
      <c r="B968" s="1" t="n"/>
      <c r="C968" s="2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Q968" s="1" t="n"/>
      <c r="AR968" s="1" t="n"/>
      <c r="AS968" s="1" t="n"/>
      <c r="AT968" s="1" t="n"/>
      <c r="AU968" s="1" t="n"/>
      <c r="AV968" s="1" t="n"/>
      <c r="AW968" s="1" t="n"/>
      <c r="AX968" s="1" t="n"/>
      <c r="AY968" s="1" t="n"/>
      <c r="AZ968" s="1" t="n"/>
      <c r="BA968" s="1" t="n"/>
    </row>
    <row r="969" ht="16.5" customHeight="1" s="220">
      <c r="A969" s="1" t="n"/>
      <c r="B969" s="1" t="n"/>
      <c r="C969" s="2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  <c r="AR969" s="1" t="n"/>
      <c r="AS969" s="1" t="n"/>
      <c r="AT969" s="1" t="n"/>
      <c r="AU969" s="1" t="n"/>
      <c r="AV969" s="1" t="n"/>
      <c r="AW969" s="1" t="n"/>
      <c r="AX969" s="1" t="n"/>
      <c r="AY969" s="1" t="n"/>
      <c r="AZ969" s="1" t="n"/>
      <c r="BA969" s="1" t="n"/>
    </row>
    <row r="970" ht="16.5" customHeight="1" s="220">
      <c r="A970" s="1" t="n"/>
      <c r="B970" s="1" t="n"/>
      <c r="C970" s="2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Q970" s="1" t="n"/>
      <c r="AR970" s="1" t="n"/>
      <c r="AS970" s="1" t="n"/>
      <c r="AT970" s="1" t="n"/>
      <c r="AU970" s="1" t="n"/>
      <c r="AV970" s="1" t="n"/>
      <c r="AW970" s="1" t="n"/>
      <c r="AX970" s="1" t="n"/>
      <c r="AY970" s="1" t="n"/>
      <c r="AZ970" s="1" t="n"/>
      <c r="BA970" s="1" t="n"/>
    </row>
    <row r="971" ht="16.5" customHeight="1" s="220">
      <c r="A971" s="1" t="n"/>
      <c r="B971" s="1" t="n"/>
      <c r="C971" s="2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  <c r="AR971" s="1" t="n"/>
      <c r="AS971" s="1" t="n"/>
      <c r="AT971" s="1" t="n"/>
      <c r="AU971" s="1" t="n"/>
      <c r="AV971" s="1" t="n"/>
      <c r="AW971" s="1" t="n"/>
      <c r="AX971" s="1" t="n"/>
      <c r="AY971" s="1" t="n"/>
      <c r="AZ971" s="1" t="n"/>
      <c r="BA971" s="1" t="n"/>
    </row>
    <row r="972" ht="16.5" customHeight="1" s="220">
      <c r="A972" s="1" t="n"/>
      <c r="B972" s="1" t="n"/>
      <c r="C972" s="2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Q972" s="1" t="n"/>
      <c r="AR972" s="1" t="n"/>
      <c r="AS972" s="1" t="n"/>
      <c r="AT972" s="1" t="n"/>
      <c r="AU972" s="1" t="n"/>
      <c r="AV972" s="1" t="n"/>
      <c r="AW972" s="1" t="n"/>
      <c r="AX972" s="1" t="n"/>
      <c r="AY972" s="1" t="n"/>
      <c r="AZ972" s="1" t="n"/>
      <c r="BA972" s="1" t="n"/>
    </row>
    <row r="973" ht="16.5" customHeight="1" s="220">
      <c r="A973" s="1" t="n"/>
      <c r="B973" s="1" t="n"/>
      <c r="C973" s="2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  <c r="AR973" s="1" t="n"/>
      <c r="AS973" s="1" t="n"/>
      <c r="AT973" s="1" t="n"/>
      <c r="AU973" s="1" t="n"/>
      <c r="AV973" s="1" t="n"/>
      <c r="AW973" s="1" t="n"/>
      <c r="AX973" s="1" t="n"/>
      <c r="AY973" s="1" t="n"/>
      <c r="AZ973" s="1" t="n"/>
      <c r="BA973" s="1" t="n"/>
    </row>
    <row r="974" ht="16.5" customHeight="1" s="220">
      <c r="A974" s="1" t="n"/>
      <c r="B974" s="1" t="n"/>
      <c r="C974" s="2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Q974" s="1" t="n"/>
      <c r="AR974" s="1" t="n"/>
      <c r="AS974" s="1" t="n"/>
      <c r="AT974" s="1" t="n"/>
      <c r="AU974" s="1" t="n"/>
      <c r="AV974" s="1" t="n"/>
      <c r="AW974" s="1" t="n"/>
      <c r="AX974" s="1" t="n"/>
      <c r="AY974" s="1" t="n"/>
      <c r="AZ974" s="1" t="n"/>
      <c r="BA974" s="1" t="n"/>
    </row>
    <row r="975" ht="16.5" customHeight="1" s="220">
      <c r="A975" s="1" t="n"/>
      <c r="B975" s="1" t="n"/>
      <c r="C975" s="2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  <c r="AR975" s="1" t="n"/>
      <c r="AS975" s="1" t="n"/>
      <c r="AT975" s="1" t="n"/>
      <c r="AU975" s="1" t="n"/>
      <c r="AV975" s="1" t="n"/>
      <c r="AW975" s="1" t="n"/>
      <c r="AX975" s="1" t="n"/>
      <c r="AY975" s="1" t="n"/>
      <c r="AZ975" s="1" t="n"/>
      <c r="BA975" s="1" t="n"/>
    </row>
    <row r="976" ht="16.5" customHeight="1" s="220">
      <c r="A976" s="1" t="n"/>
      <c r="B976" s="1" t="n"/>
      <c r="C976" s="2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Q976" s="1" t="n"/>
      <c r="AR976" s="1" t="n"/>
      <c r="AS976" s="1" t="n"/>
      <c r="AT976" s="1" t="n"/>
      <c r="AU976" s="1" t="n"/>
      <c r="AV976" s="1" t="n"/>
      <c r="AW976" s="1" t="n"/>
      <c r="AX976" s="1" t="n"/>
      <c r="AY976" s="1" t="n"/>
      <c r="AZ976" s="1" t="n"/>
      <c r="BA976" s="1" t="n"/>
    </row>
    <row r="977" ht="16.5" customHeight="1" s="220">
      <c r="A977" s="1" t="n"/>
      <c r="B977" s="1" t="n"/>
      <c r="C977" s="2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  <c r="AR977" s="1" t="n"/>
      <c r="AS977" s="1" t="n"/>
      <c r="AT977" s="1" t="n"/>
      <c r="AU977" s="1" t="n"/>
      <c r="AV977" s="1" t="n"/>
      <c r="AW977" s="1" t="n"/>
      <c r="AX977" s="1" t="n"/>
      <c r="AY977" s="1" t="n"/>
      <c r="AZ977" s="1" t="n"/>
      <c r="BA977" s="1" t="n"/>
    </row>
    <row r="978" ht="16.5" customHeight="1" s="220">
      <c r="A978" s="1" t="n"/>
      <c r="B978" s="1" t="n"/>
      <c r="C978" s="2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Q978" s="1" t="n"/>
      <c r="AR978" s="1" t="n"/>
      <c r="AS978" s="1" t="n"/>
      <c r="AT978" s="1" t="n"/>
      <c r="AU978" s="1" t="n"/>
      <c r="AV978" s="1" t="n"/>
      <c r="AW978" s="1" t="n"/>
      <c r="AX978" s="1" t="n"/>
      <c r="AY978" s="1" t="n"/>
      <c r="AZ978" s="1" t="n"/>
      <c r="BA978" s="1" t="n"/>
    </row>
    <row r="979" ht="16.5" customHeight="1" s="220">
      <c r="A979" s="1" t="n"/>
      <c r="B979" s="1" t="n"/>
      <c r="C979" s="2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  <c r="AR979" s="1" t="n"/>
      <c r="AS979" s="1" t="n"/>
      <c r="AT979" s="1" t="n"/>
      <c r="AU979" s="1" t="n"/>
      <c r="AV979" s="1" t="n"/>
      <c r="AW979" s="1" t="n"/>
      <c r="AX979" s="1" t="n"/>
      <c r="AY979" s="1" t="n"/>
      <c r="AZ979" s="1" t="n"/>
      <c r="BA979" s="1" t="n"/>
    </row>
    <row r="980" ht="16.5" customHeight="1" s="220">
      <c r="A980" s="1" t="n"/>
      <c r="B980" s="1" t="n"/>
      <c r="C980" s="2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Q980" s="1" t="n"/>
      <c r="AR980" s="1" t="n"/>
      <c r="AS980" s="1" t="n"/>
      <c r="AT980" s="1" t="n"/>
      <c r="AU980" s="1" t="n"/>
      <c r="AV980" s="1" t="n"/>
      <c r="AW980" s="1" t="n"/>
      <c r="AX980" s="1" t="n"/>
      <c r="AY980" s="1" t="n"/>
      <c r="AZ980" s="1" t="n"/>
      <c r="BA980" s="1" t="n"/>
    </row>
    <row r="981" ht="16.5" customHeight="1" s="220">
      <c r="A981" s="1" t="n"/>
      <c r="B981" s="1" t="n"/>
      <c r="C981" s="2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  <c r="AR981" s="1" t="n"/>
      <c r="AS981" s="1" t="n"/>
      <c r="AT981" s="1" t="n"/>
      <c r="AU981" s="1" t="n"/>
      <c r="AV981" s="1" t="n"/>
      <c r="AW981" s="1" t="n"/>
      <c r="AX981" s="1" t="n"/>
      <c r="AY981" s="1" t="n"/>
      <c r="AZ981" s="1" t="n"/>
      <c r="BA981" s="1" t="n"/>
    </row>
    <row r="982" ht="16.5" customHeight="1" s="220">
      <c r="A982" s="1" t="n"/>
      <c r="B982" s="1" t="n"/>
      <c r="C982" s="2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Q982" s="1" t="n"/>
      <c r="AR982" s="1" t="n"/>
      <c r="AS982" s="1" t="n"/>
      <c r="AT982" s="1" t="n"/>
      <c r="AU982" s="1" t="n"/>
      <c r="AV982" s="1" t="n"/>
      <c r="AW982" s="1" t="n"/>
      <c r="AX982" s="1" t="n"/>
      <c r="AY982" s="1" t="n"/>
      <c r="AZ982" s="1" t="n"/>
      <c r="BA982" s="1" t="n"/>
    </row>
    <row r="983" ht="16.5" customHeight="1" s="220">
      <c r="A983" s="1" t="n"/>
      <c r="B983" s="1" t="n"/>
      <c r="C983" s="2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  <c r="AR983" s="1" t="n"/>
      <c r="AS983" s="1" t="n"/>
      <c r="AT983" s="1" t="n"/>
      <c r="AU983" s="1" t="n"/>
      <c r="AV983" s="1" t="n"/>
      <c r="AW983" s="1" t="n"/>
      <c r="AX983" s="1" t="n"/>
      <c r="AY983" s="1" t="n"/>
      <c r="AZ983" s="1" t="n"/>
      <c r="BA983" s="1" t="n"/>
    </row>
    <row r="984" ht="16.5" customHeight="1" s="220">
      <c r="A984" s="1" t="n"/>
      <c r="B984" s="1" t="n"/>
      <c r="C984" s="2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Q984" s="1" t="n"/>
      <c r="AR984" s="1" t="n"/>
      <c r="AS984" s="1" t="n"/>
      <c r="AT984" s="1" t="n"/>
      <c r="AU984" s="1" t="n"/>
      <c r="AV984" s="1" t="n"/>
      <c r="AW984" s="1" t="n"/>
      <c r="AX984" s="1" t="n"/>
      <c r="AY984" s="1" t="n"/>
      <c r="AZ984" s="1" t="n"/>
      <c r="BA984" s="1" t="n"/>
    </row>
    <row r="985" ht="16.5" customHeight="1" s="220">
      <c r="A985" s="1" t="n"/>
      <c r="B985" s="1" t="n"/>
      <c r="C985" s="2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  <c r="AR985" s="1" t="n"/>
      <c r="AS985" s="1" t="n"/>
      <c r="AT985" s="1" t="n"/>
      <c r="AU985" s="1" t="n"/>
      <c r="AV985" s="1" t="n"/>
      <c r="AW985" s="1" t="n"/>
      <c r="AX985" s="1" t="n"/>
      <c r="AY985" s="1" t="n"/>
      <c r="AZ985" s="1" t="n"/>
      <c r="BA985" s="1" t="n"/>
    </row>
    <row r="986" ht="16.5" customHeight="1" s="220">
      <c r="A986" s="1" t="n"/>
      <c r="B986" s="1" t="n"/>
      <c r="C986" s="2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Q986" s="1" t="n"/>
      <c r="AR986" s="1" t="n"/>
      <c r="AS986" s="1" t="n"/>
      <c r="AT986" s="1" t="n"/>
      <c r="AU986" s="1" t="n"/>
      <c r="AV986" s="1" t="n"/>
      <c r="AW986" s="1" t="n"/>
      <c r="AX986" s="1" t="n"/>
      <c r="AY986" s="1" t="n"/>
      <c r="AZ986" s="1" t="n"/>
      <c r="BA986" s="1" t="n"/>
    </row>
    <row r="987" ht="16.5" customHeight="1" s="220">
      <c r="A987" s="1" t="n"/>
      <c r="B987" s="1" t="n"/>
      <c r="C987" s="2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  <c r="AR987" s="1" t="n"/>
      <c r="AS987" s="1" t="n"/>
      <c r="AT987" s="1" t="n"/>
      <c r="AU987" s="1" t="n"/>
      <c r="AV987" s="1" t="n"/>
      <c r="AW987" s="1" t="n"/>
      <c r="AX987" s="1" t="n"/>
      <c r="AY987" s="1" t="n"/>
      <c r="AZ987" s="1" t="n"/>
      <c r="BA987" s="1" t="n"/>
    </row>
    <row r="988" ht="16.5" customHeight="1" s="220">
      <c r="A988" s="1" t="n"/>
      <c r="B988" s="1" t="n"/>
      <c r="C988" s="2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Q988" s="1" t="n"/>
      <c r="AR988" s="1" t="n"/>
      <c r="AS988" s="1" t="n"/>
      <c r="AT988" s="1" t="n"/>
      <c r="AU988" s="1" t="n"/>
      <c r="AV988" s="1" t="n"/>
      <c r="AW988" s="1" t="n"/>
      <c r="AX988" s="1" t="n"/>
      <c r="AY988" s="1" t="n"/>
      <c r="AZ988" s="1" t="n"/>
      <c r="BA988" s="1" t="n"/>
    </row>
    <row r="989" ht="16.5" customHeight="1" s="220">
      <c r="A989" s="1" t="n"/>
      <c r="B989" s="1" t="n"/>
      <c r="C989" s="2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  <c r="AR989" s="1" t="n"/>
      <c r="AS989" s="1" t="n"/>
      <c r="AT989" s="1" t="n"/>
      <c r="AU989" s="1" t="n"/>
      <c r="AV989" s="1" t="n"/>
      <c r="AW989" s="1" t="n"/>
      <c r="AX989" s="1" t="n"/>
      <c r="AY989" s="1" t="n"/>
      <c r="AZ989" s="1" t="n"/>
      <c r="BA989" s="1" t="n"/>
    </row>
    <row r="990" ht="16.5" customHeight="1" s="220">
      <c r="A990" s="1" t="n"/>
      <c r="B990" s="1" t="n"/>
      <c r="C990" s="2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  <c r="AQ990" s="1" t="n"/>
      <c r="AR990" s="1" t="n"/>
      <c r="AS990" s="1" t="n"/>
      <c r="AT990" s="1" t="n"/>
      <c r="AU990" s="1" t="n"/>
      <c r="AV990" s="1" t="n"/>
      <c r="AW990" s="1" t="n"/>
      <c r="AX990" s="1" t="n"/>
      <c r="AY990" s="1" t="n"/>
      <c r="AZ990" s="1" t="n"/>
      <c r="BA990" s="1" t="n"/>
    </row>
    <row r="991" ht="16.5" customHeight="1" s="220">
      <c r="A991" s="1" t="n"/>
      <c r="B991" s="1" t="n"/>
      <c r="C991" s="2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  <c r="AR991" s="1" t="n"/>
      <c r="AS991" s="1" t="n"/>
      <c r="AT991" s="1" t="n"/>
      <c r="AU991" s="1" t="n"/>
      <c r="AV991" s="1" t="n"/>
      <c r="AW991" s="1" t="n"/>
      <c r="AX991" s="1" t="n"/>
      <c r="AY991" s="1" t="n"/>
      <c r="AZ991" s="1" t="n"/>
      <c r="BA991" s="1" t="n"/>
    </row>
    <row r="992" ht="16.5" customHeight="1" s="220">
      <c r="A992" s="1" t="n"/>
      <c r="B992" s="1" t="n"/>
      <c r="C992" s="2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  <c r="AQ992" s="1" t="n"/>
      <c r="AR992" s="1" t="n"/>
      <c r="AS992" s="1" t="n"/>
      <c r="AT992" s="1" t="n"/>
      <c r="AU992" s="1" t="n"/>
      <c r="AV992" s="1" t="n"/>
      <c r="AW992" s="1" t="n"/>
      <c r="AX992" s="1" t="n"/>
      <c r="AY992" s="1" t="n"/>
      <c r="AZ992" s="1" t="n"/>
      <c r="BA992" s="1" t="n"/>
    </row>
    <row r="993" ht="16.5" customHeight="1" s="220">
      <c r="A993" s="1" t="n"/>
      <c r="B993" s="1" t="n"/>
      <c r="C993" s="2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Q993" s="1" t="n"/>
      <c r="AR993" s="1" t="n"/>
      <c r="AS993" s="1" t="n"/>
      <c r="AT993" s="1" t="n"/>
      <c r="AU993" s="1" t="n"/>
      <c r="AV993" s="1" t="n"/>
      <c r="AW993" s="1" t="n"/>
      <c r="AX993" s="1" t="n"/>
      <c r="AY993" s="1" t="n"/>
      <c r="AZ993" s="1" t="n"/>
      <c r="BA993" s="1" t="n"/>
    </row>
    <row r="994" ht="16.5" customHeight="1" s="220">
      <c r="A994" s="1" t="n"/>
      <c r="B994" s="1" t="n"/>
      <c r="C994" s="2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Q994" s="1" t="n"/>
      <c r="AR994" s="1" t="n"/>
      <c r="AS994" s="1" t="n"/>
      <c r="AT994" s="1" t="n"/>
      <c r="AU994" s="1" t="n"/>
      <c r="AV994" s="1" t="n"/>
      <c r="AW994" s="1" t="n"/>
      <c r="AX994" s="1" t="n"/>
      <c r="AY994" s="1" t="n"/>
      <c r="AZ994" s="1" t="n"/>
      <c r="BA994" s="1" t="n"/>
    </row>
    <row r="995" ht="16.5" customHeight="1" s="220">
      <c r="A995" s="1" t="n"/>
      <c r="B995" s="1" t="n"/>
      <c r="C995" s="2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  <c r="AR995" s="1" t="n"/>
      <c r="AS995" s="1" t="n"/>
      <c r="AT995" s="1" t="n"/>
      <c r="AU995" s="1" t="n"/>
      <c r="AV995" s="1" t="n"/>
      <c r="AW995" s="1" t="n"/>
      <c r="AX995" s="1" t="n"/>
      <c r="AY995" s="1" t="n"/>
      <c r="AZ995" s="1" t="n"/>
      <c r="BA995" s="1" t="n"/>
    </row>
    <row r="996" ht="16.5" customHeight="1" s="220">
      <c r="A996" s="1" t="n"/>
      <c r="B996" s="1" t="n"/>
      <c r="C996" s="2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Q996" s="1" t="n"/>
      <c r="AR996" s="1" t="n"/>
      <c r="AS996" s="1" t="n"/>
      <c r="AT996" s="1" t="n"/>
      <c r="AU996" s="1" t="n"/>
      <c r="AV996" s="1" t="n"/>
      <c r="AW996" s="1" t="n"/>
      <c r="AX996" s="1" t="n"/>
      <c r="AY996" s="1" t="n"/>
      <c r="AZ996" s="1" t="n"/>
      <c r="BA996" s="1" t="n"/>
    </row>
    <row r="997" ht="16.5" customHeight="1" s="220">
      <c r="A997" s="1" t="n"/>
      <c r="B997" s="1" t="n"/>
      <c r="C997" s="2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  <c r="AR997" s="1" t="n"/>
      <c r="AS997" s="1" t="n"/>
      <c r="AT997" s="1" t="n"/>
      <c r="AU997" s="1" t="n"/>
      <c r="AV997" s="1" t="n"/>
      <c r="AW997" s="1" t="n"/>
      <c r="AX997" s="1" t="n"/>
      <c r="AY997" s="1" t="n"/>
      <c r="AZ997" s="1" t="n"/>
      <c r="BA997" s="1" t="n"/>
    </row>
    <row r="998" ht="16.5" customHeight="1" s="220">
      <c r="A998" s="1" t="n"/>
      <c r="B998" s="1" t="n"/>
      <c r="C998" s="2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  <c r="AQ998" s="1" t="n"/>
      <c r="AR998" s="1" t="n"/>
      <c r="AS998" s="1" t="n"/>
      <c r="AT998" s="1" t="n"/>
      <c r="AU998" s="1" t="n"/>
      <c r="AV998" s="1" t="n"/>
      <c r="AW998" s="1" t="n"/>
      <c r="AX998" s="1" t="n"/>
      <c r="AY998" s="1" t="n"/>
      <c r="AZ998" s="1" t="n"/>
      <c r="BA998" s="1" t="n"/>
    </row>
    <row r="999" ht="16.5" customHeight="1" s="220">
      <c r="A999" s="1" t="n"/>
      <c r="B999" s="1" t="n"/>
      <c r="C999" s="2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Q999" s="1" t="n"/>
      <c r="AR999" s="1" t="n"/>
      <c r="AS999" s="1" t="n"/>
      <c r="AT999" s="1" t="n"/>
      <c r="AU999" s="1" t="n"/>
      <c r="AV999" s="1" t="n"/>
      <c r="AW999" s="1" t="n"/>
      <c r="AX999" s="1" t="n"/>
      <c r="AY999" s="1" t="n"/>
      <c r="AZ999" s="1" t="n"/>
      <c r="BA999" s="1" t="n"/>
    </row>
    <row r="1000" ht="16.5" customHeight="1" s="220">
      <c r="A1000" s="1" t="n"/>
      <c r="B1000" s="1" t="n"/>
      <c r="C1000" s="2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  <c r="AQ1000" s="1" t="n"/>
      <c r="AR1000" s="1" t="n"/>
      <c r="AS1000" s="1" t="n"/>
      <c r="AT1000" s="1" t="n"/>
      <c r="AU1000" s="1" t="n"/>
      <c r="AV1000" s="1" t="n"/>
      <c r="AW1000" s="1" t="n"/>
      <c r="AX1000" s="1" t="n"/>
      <c r="AY1000" s="1" t="n"/>
      <c r="AZ1000" s="1" t="n"/>
      <c r="BA1000" s="1" t="n"/>
    </row>
  </sheetData>
  <mergeCells count="48">
    <mergeCell ref="F4:G4"/>
    <mergeCell ref="Y5:AA5"/>
    <mergeCell ref="Q5:S5"/>
    <mergeCell ref="AY3:AZ3"/>
    <mergeCell ref="B3:C3"/>
    <mergeCell ref="V33:W33"/>
    <mergeCell ref="N4:O4"/>
    <mergeCell ref="AY33:AZ33"/>
    <mergeCell ref="R4:S4"/>
    <mergeCell ref="F3:G3"/>
    <mergeCell ref="AT3:AU3"/>
    <mergeCell ref="V4:W4"/>
    <mergeCell ref="AE3:AF3"/>
    <mergeCell ref="N3:O3"/>
    <mergeCell ref="AY4:AZ4"/>
    <mergeCell ref="A5:C5"/>
    <mergeCell ref="AT33:AU33"/>
    <mergeCell ref="AO3:AP3"/>
    <mergeCell ref="I5:K5"/>
    <mergeCell ref="F33:G33"/>
    <mergeCell ref="AO33:AP33"/>
    <mergeCell ref="N33:O33"/>
    <mergeCell ref="AE33:AF33"/>
    <mergeCell ref="AT4:AU4"/>
    <mergeCell ref="Z3:AA3"/>
    <mergeCell ref="J4:K4"/>
    <mergeCell ref="AJ3:AK3"/>
    <mergeCell ref="U5:W5"/>
    <mergeCell ref="AX5:AZ5"/>
    <mergeCell ref="AI5:AK5"/>
    <mergeCell ref="AJ33:AK33"/>
    <mergeCell ref="Z33:AA33"/>
    <mergeCell ref="AS5:AU5"/>
    <mergeCell ref="R3:S3"/>
    <mergeCell ref="AO4:AP4"/>
    <mergeCell ref="J3:K3"/>
    <mergeCell ref="AJ4:AK4"/>
    <mergeCell ref="Z4:AA4"/>
    <mergeCell ref="AD5:AF5"/>
    <mergeCell ref="B33:C33"/>
    <mergeCell ref="E5:G5"/>
    <mergeCell ref="AN5:AP5"/>
    <mergeCell ref="M5:O5"/>
    <mergeCell ref="J33:K33"/>
    <mergeCell ref="R33:S33"/>
    <mergeCell ref="B4:C4"/>
    <mergeCell ref="V3:W3"/>
    <mergeCell ref="AE4:AF4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FFCC00"/>
    <outlinePr summaryBelow="1" summaryRight="1"/>
    <pageSetUpPr/>
  </sheetPr>
  <dimension ref="B1:D1000"/>
  <sheetViews>
    <sheetView workbookViewId="0">
      <selection activeCell="A1" sqref="A1"/>
    </sheetView>
  </sheetViews>
  <sheetFormatPr baseColWidth="8" defaultColWidth="12.63" defaultRowHeight="15" customHeight="1"/>
  <cols>
    <col width="9" customWidth="1" style="220" min="1" max="1"/>
    <col width="19.5" customWidth="1" style="220" min="2" max="2"/>
    <col width="10.13" customWidth="1" style="220" min="3" max="3"/>
    <col width="6.63" customWidth="1" style="220" min="4" max="4"/>
    <col width="8" customWidth="1" style="220" min="5" max="26"/>
  </cols>
  <sheetData>
    <row r="1" ht="16.5" customHeight="1" s="220">
      <c r="B1" s="211" t="inlineStr">
        <is>
          <t>Range</t>
        </is>
      </c>
      <c r="C1" s="211" t="inlineStr">
        <is>
          <t>Tier</t>
        </is>
      </c>
      <c r="D1" s="211" t="inlineStr">
        <is>
          <t>Comm</t>
        </is>
      </c>
    </row>
    <row r="2" ht="16.5" customHeight="1" s="220">
      <c r="B2" s="212" t="inlineStr">
        <is>
          <t>$110,000 - $119,999</t>
        </is>
      </c>
      <c r="C2" s="213" t="n">
        <v>110000</v>
      </c>
      <c r="D2" s="214" t="n">
        <v>0.05</v>
      </c>
    </row>
    <row r="3" ht="16.5" customHeight="1" s="220">
      <c r="B3" s="212" t="inlineStr">
        <is>
          <t>$120,000 - $129,999</t>
        </is>
      </c>
      <c r="C3" s="213" t="n">
        <v>120000</v>
      </c>
      <c r="D3" s="214" t="n">
        <v>0.1</v>
      </c>
    </row>
    <row r="4" ht="16.5" customHeight="1" s="220">
      <c r="B4" s="212" t="inlineStr">
        <is>
          <t>$130,000 - $139,999</t>
        </is>
      </c>
      <c r="C4" s="213" t="n">
        <v>130000</v>
      </c>
      <c r="D4" s="214" t="n">
        <v>0.15</v>
      </c>
    </row>
    <row r="5" ht="16.5" customHeight="1" s="220">
      <c r="B5" s="212" t="inlineStr">
        <is>
          <t>$140,000 - $149,999</t>
        </is>
      </c>
      <c r="C5" s="213" t="n">
        <v>140000</v>
      </c>
      <c r="D5" s="214" t="n">
        <v>0.2</v>
      </c>
    </row>
    <row r="6" ht="16.5" customHeight="1" s="220">
      <c r="B6" s="212" t="inlineStr">
        <is>
          <t>$150,000 - $159,999</t>
        </is>
      </c>
      <c r="C6" s="213" t="n">
        <v>150000</v>
      </c>
      <c r="D6" s="214" t="n">
        <v>0.25</v>
      </c>
    </row>
    <row r="7" ht="16.5" customHeight="1" s="220">
      <c r="B7" s="212" t="inlineStr">
        <is>
          <t>$160,000 - $169,999</t>
        </is>
      </c>
      <c r="C7" s="213" t="n">
        <v>160000</v>
      </c>
      <c r="D7" s="214" t="n">
        <v>0.3</v>
      </c>
    </row>
    <row r="8" ht="16.5" customHeight="1" s="220">
      <c r="B8" s="212" t="inlineStr">
        <is>
          <t>$170,000 - $179,999</t>
        </is>
      </c>
      <c r="C8" s="213" t="n">
        <v>170000</v>
      </c>
      <c r="D8" s="214" t="n">
        <v>0.35</v>
      </c>
    </row>
    <row r="9" ht="16.5" customHeight="1" s="220">
      <c r="B9" s="212" t="inlineStr">
        <is>
          <t>$180,000 - $189,999</t>
        </is>
      </c>
      <c r="C9" s="213" t="n">
        <v>180000</v>
      </c>
      <c r="D9" s="214" t="n">
        <v>0.4</v>
      </c>
    </row>
    <row r="10" ht="16.5" customHeight="1" s="220">
      <c r="B10" s="212" t="inlineStr">
        <is>
          <t>$190,000 - $199,999</t>
        </is>
      </c>
      <c r="C10" s="213" t="n">
        <v>190000</v>
      </c>
      <c r="D10" s="214" t="n">
        <v>0.45</v>
      </c>
    </row>
    <row r="11" ht="16.5" customHeight="1" s="220">
      <c r="B11" s="212" t="inlineStr">
        <is>
          <t>$200,000 - $209,999</t>
        </is>
      </c>
      <c r="C11" s="213" t="n">
        <v>200000</v>
      </c>
      <c r="D11" s="214" t="n">
        <v>0.5</v>
      </c>
    </row>
    <row r="12" ht="16.5" customHeight="1" s="220">
      <c r="B12" s="212" t="inlineStr">
        <is>
          <t>$210,000 - $219,999</t>
        </is>
      </c>
      <c r="C12" s="213" t="n">
        <v>210000</v>
      </c>
      <c r="D12" s="214" t="n">
        <v>0.55</v>
      </c>
    </row>
    <row r="13" ht="16.5" customHeight="1" s="220">
      <c r="B13" s="212" t="inlineStr">
        <is>
          <t>$220,000 - $229,999</t>
        </is>
      </c>
      <c r="C13" s="213" t="n">
        <v>220000</v>
      </c>
      <c r="D13" s="214" t="n">
        <v>0.6</v>
      </c>
    </row>
    <row r="14" ht="16.5" customHeight="1" s="220">
      <c r="B14" s="212" t="inlineStr">
        <is>
          <t>$230,000 - $239,999</t>
        </is>
      </c>
      <c r="C14" s="213" t="n">
        <v>230000</v>
      </c>
      <c r="D14" s="214" t="n">
        <v>0.65</v>
      </c>
    </row>
    <row r="15" ht="16.5" customHeight="1" s="220">
      <c r="B15" s="212" t="inlineStr">
        <is>
          <t>$240,000 - $249,999</t>
        </is>
      </c>
      <c r="C15" s="213" t="n">
        <v>240000</v>
      </c>
      <c r="D15" s="214" t="n">
        <v>0.7</v>
      </c>
    </row>
    <row r="16" ht="16.5" customHeight="1" s="220">
      <c r="B16" s="212" t="inlineStr">
        <is>
          <t>$250,000 - $259,999</t>
        </is>
      </c>
      <c r="C16" s="215" t="n">
        <v>250000</v>
      </c>
      <c r="D16" s="214" t="n">
        <v>0.75</v>
      </c>
    </row>
    <row r="17" ht="16.5" customHeight="1" s="220">
      <c r="B17" s="212" t="inlineStr">
        <is>
          <t>$260,000 - $269,999</t>
        </is>
      </c>
      <c r="C17" s="215" t="n">
        <v>260000</v>
      </c>
      <c r="D17" s="214" t="n">
        <v>0.8</v>
      </c>
    </row>
    <row r="18" ht="16.5" customHeight="1" s="220">
      <c r="B18" s="212" t="inlineStr">
        <is>
          <t>$270,000 - $279,999</t>
        </is>
      </c>
      <c r="C18" s="215" t="n">
        <v>270000</v>
      </c>
      <c r="D18" s="214" t="n">
        <v>0.85</v>
      </c>
    </row>
    <row r="19" ht="16.5" customHeight="1" s="220">
      <c r="B19" s="212" t="inlineStr">
        <is>
          <t>$280,000 - $289,999</t>
        </is>
      </c>
      <c r="C19" s="215" t="n">
        <v>280000</v>
      </c>
      <c r="D19" s="214" t="n">
        <v>0.9</v>
      </c>
    </row>
    <row r="20" ht="16.5" customHeight="1" s="220">
      <c r="B20" s="212" t="inlineStr">
        <is>
          <t>$290,000 - $299,999</t>
        </is>
      </c>
      <c r="C20" s="215" t="n">
        <v>290000</v>
      </c>
      <c r="D20" s="214" t="n">
        <v>0.95</v>
      </c>
    </row>
    <row r="21" ht="16.5" customHeight="1" s="220">
      <c r="B21" s="212" t="inlineStr">
        <is>
          <t>$300,000 - $309,999</t>
        </is>
      </c>
      <c r="C21" s="215" t="n">
        <v>300000</v>
      </c>
      <c r="D21" s="214" t="n">
        <v>1</v>
      </c>
    </row>
    <row r="22" ht="16.5" customHeight="1" s="220">
      <c r="B22" s="212" t="inlineStr">
        <is>
          <t>$310,000 - $319,999</t>
        </is>
      </c>
      <c r="C22" s="215" t="n">
        <v>310000</v>
      </c>
      <c r="D22" s="214" t="n">
        <v>1.05</v>
      </c>
    </row>
    <row r="23" ht="16.5" customHeight="1" s="220">
      <c r="B23" s="212" t="inlineStr">
        <is>
          <t>$320,000 - $329,999</t>
        </is>
      </c>
      <c r="C23" s="215" t="n">
        <v>320000</v>
      </c>
      <c r="D23" s="214" t="n">
        <v>1.1</v>
      </c>
    </row>
    <row r="24" ht="16.5" customHeight="1" s="220">
      <c r="B24" s="212" t="inlineStr">
        <is>
          <t>$330,000 - $339,999</t>
        </is>
      </c>
      <c r="C24" s="215" t="n">
        <v>330000</v>
      </c>
      <c r="D24" s="214" t="n">
        <v>1.15</v>
      </c>
    </row>
    <row r="25" ht="16.5" customHeight="1" s="220">
      <c r="B25" s="212" t="inlineStr">
        <is>
          <t>$340,000 - $349,999</t>
        </is>
      </c>
      <c r="C25" s="215" t="n">
        <v>340000</v>
      </c>
      <c r="D25" s="214" t="n">
        <v>1.2</v>
      </c>
    </row>
    <row r="26" ht="16.5" customHeight="1" s="220">
      <c r="B26" s="212" t="inlineStr">
        <is>
          <t>$350,000 - $359,999</t>
        </is>
      </c>
      <c r="C26" s="215" t="n">
        <v>350000</v>
      </c>
      <c r="D26" s="214" t="n">
        <v>1.25</v>
      </c>
    </row>
    <row r="27" ht="16.5" customHeight="1" s="220">
      <c r="B27" s="216" t="inlineStr">
        <is>
          <t>$360,000 - $369,999</t>
        </is>
      </c>
      <c r="C27" s="217" t="n">
        <v>360000</v>
      </c>
      <c r="D27" s="214" t="n">
        <v>1.3</v>
      </c>
    </row>
    <row r="28" ht="16.5" customHeight="1" s="220">
      <c r="B28" s="212" t="inlineStr">
        <is>
          <t>$370,000 - $379,999</t>
        </is>
      </c>
      <c r="C28" s="215" t="n">
        <v>370000</v>
      </c>
      <c r="D28" s="214" t="n">
        <v>1.35</v>
      </c>
    </row>
    <row r="29" ht="16.5" customHeight="1" s="220">
      <c r="B29" s="212" t="inlineStr">
        <is>
          <t>$380,000 - $389,999</t>
        </is>
      </c>
      <c r="C29" s="215" t="n">
        <v>380000</v>
      </c>
      <c r="D29" s="214" t="n">
        <v>1.4</v>
      </c>
    </row>
    <row r="30" ht="16.5" customHeight="1" s="220">
      <c r="B30" s="212" t="inlineStr">
        <is>
          <t>$390,000 - $399,999</t>
        </is>
      </c>
      <c r="C30" s="215" t="n">
        <v>390000</v>
      </c>
      <c r="D30" s="214" t="n">
        <v>1.45</v>
      </c>
    </row>
    <row r="31" ht="16.5" customHeight="1" s="220">
      <c r="B31" s="216" t="inlineStr">
        <is>
          <t>$400,000 - $409,999</t>
        </is>
      </c>
      <c r="C31" s="215" t="n">
        <v>400000</v>
      </c>
      <c r="D31" s="214" t="n">
        <v>1.5</v>
      </c>
    </row>
    <row r="32" ht="16.5" customHeight="1" s="220">
      <c r="B32" s="216" t="inlineStr">
        <is>
          <t>$410,000 - $419,999</t>
        </is>
      </c>
      <c r="C32" s="215" t="n">
        <v>410000</v>
      </c>
      <c r="D32" s="214" t="n">
        <v>1.55</v>
      </c>
    </row>
    <row r="33" ht="16.5" customHeight="1" s="220">
      <c r="B33" s="216" t="inlineStr">
        <is>
          <t>$420,000 - $429,999</t>
        </is>
      </c>
      <c r="C33" s="215" t="n">
        <v>420000</v>
      </c>
      <c r="D33" s="214" t="n">
        <v>1.6</v>
      </c>
    </row>
    <row r="34" ht="16.5" customHeight="1" s="220">
      <c r="B34" s="216" t="inlineStr">
        <is>
          <t>$430,000 - $439,999</t>
        </is>
      </c>
      <c r="C34" s="215" t="n">
        <v>430000</v>
      </c>
      <c r="D34" s="214" t="n">
        <v>1.65</v>
      </c>
    </row>
    <row r="35" ht="16.5" customHeight="1" s="220">
      <c r="B35" s="216" t="inlineStr">
        <is>
          <t>$440,000 - $449,999</t>
        </is>
      </c>
      <c r="C35" s="215" t="n">
        <v>440000</v>
      </c>
      <c r="D35" s="214" t="n">
        <v>1.7</v>
      </c>
    </row>
    <row r="36" ht="16.5" customHeight="1" s="220">
      <c r="B36" s="216" t="inlineStr">
        <is>
          <t>$450,000 - $459,999</t>
        </is>
      </c>
      <c r="C36" s="215" t="n">
        <v>450000</v>
      </c>
      <c r="D36" s="214" t="n">
        <v>1.75</v>
      </c>
    </row>
    <row r="37" ht="16.5" customHeight="1" s="220">
      <c r="B37" s="216" t="n"/>
      <c r="C37" s="215" t="n">
        <v>460000</v>
      </c>
      <c r="D37" s="214" t="n">
        <v>1.8</v>
      </c>
    </row>
    <row r="38" ht="16.5" customHeight="1" s="220">
      <c r="B38" s="216" t="n"/>
      <c r="C38" s="215" t="n">
        <v>470000</v>
      </c>
      <c r="D38" s="214" t="n">
        <v>1.85</v>
      </c>
    </row>
    <row r="39" ht="16.5" customHeight="1" s="220">
      <c r="B39" s="216" t="n"/>
      <c r="C39" s="215" t="n">
        <v>480000</v>
      </c>
      <c r="D39" s="214" t="n">
        <v>1.9</v>
      </c>
    </row>
    <row r="40" ht="16.5" customHeight="1" s="220">
      <c r="B40" s="216" t="n"/>
      <c r="C40" s="215" t="n">
        <v>490000</v>
      </c>
      <c r="D40" s="214" t="n">
        <v>1.95</v>
      </c>
    </row>
    <row r="41" ht="16.5" customHeight="1" s="220">
      <c r="B41" s="216" t="n"/>
      <c r="C41" s="215" t="n">
        <v>500000</v>
      </c>
      <c r="D41" s="214" t="n">
        <v>2</v>
      </c>
    </row>
    <row r="42" ht="16.5" customHeight="1" s="220">
      <c r="B42" s="216" t="n"/>
      <c r="C42" s="215" t="n">
        <v>510000</v>
      </c>
      <c r="D42" s="214" t="n">
        <v>2.05</v>
      </c>
    </row>
    <row r="43" ht="16.5" customHeight="1" s="220">
      <c r="B43" s="216" t="n"/>
      <c r="C43" s="215" t="n">
        <v>520000</v>
      </c>
      <c r="D43" s="214" t="n">
        <v>2.1</v>
      </c>
    </row>
    <row r="44" ht="16.5" customHeight="1" s="220">
      <c r="B44" s="216" t="n"/>
      <c r="C44" s="215" t="n">
        <v>530000</v>
      </c>
      <c r="D44" s="214" t="n">
        <v>2.15</v>
      </c>
    </row>
    <row r="45" ht="16.5" customHeight="1" s="220">
      <c r="B45" s="216" t="n"/>
      <c r="C45" s="215" t="n">
        <v>540000</v>
      </c>
      <c r="D45" s="214" t="n">
        <v>2.2</v>
      </c>
    </row>
    <row r="46" ht="16.5" customHeight="1" s="220">
      <c r="B46" s="216" t="n"/>
      <c r="C46" s="215" t="n">
        <v>550000</v>
      </c>
      <c r="D46" s="214" t="n">
        <v>2.25</v>
      </c>
    </row>
    <row r="47" ht="16.5" customHeight="1" s="220">
      <c r="B47" s="216" t="n"/>
      <c r="C47" s="215" t="n">
        <v>560000</v>
      </c>
      <c r="D47" s="214" t="n">
        <v>2.3</v>
      </c>
    </row>
    <row r="48" ht="16.5" customHeight="1" s="220">
      <c r="B48" s="216" t="n"/>
      <c r="C48" s="215" t="n">
        <v>570000</v>
      </c>
      <c r="D48" s="214" t="n">
        <v>2.35</v>
      </c>
    </row>
    <row r="49" ht="16.5" customHeight="1" s="220">
      <c r="B49" s="216" t="n"/>
      <c r="C49" s="216" t="n"/>
      <c r="D49" s="216" t="n"/>
    </row>
    <row r="50" ht="16.5" customHeight="1" s="220">
      <c r="B50" s="216" t="n"/>
      <c r="C50" s="216" t="n"/>
      <c r="D50" s="216" t="n"/>
    </row>
    <row r="51" ht="16.5" customHeight="1" s="220">
      <c r="B51" s="216" t="n"/>
      <c r="C51" s="216" t="n"/>
      <c r="D51" s="216" t="n"/>
    </row>
    <row r="52" ht="16.5" customHeight="1" s="220">
      <c r="B52" s="216" t="n"/>
      <c r="C52" s="216" t="n"/>
      <c r="D52" s="216" t="n"/>
    </row>
    <row r="53" ht="16.5" customHeight="1" s="220">
      <c r="B53" s="216" t="n"/>
      <c r="C53" s="216" t="n"/>
      <c r="D53" s="216" t="n"/>
    </row>
    <row r="54" ht="16.5" customHeight="1" s="220">
      <c r="B54" s="216" t="n"/>
      <c r="C54" s="216" t="n"/>
      <c r="D54" s="216" t="n"/>
    </row>
    <row r="55" ht="16.5" customHeight="1" s="220">
      <c r="B55" s="216" t="n"/>
      <c r="C55" s="216" t="n"/>
      <c r="D55" s="216" t="n"/>
    </row>
    <row r="56" ht="16.5" customHeight="1" s="220">
      <c r="B56" s="216" t="n"/>
      <c r="C56" s="216" t="n"/>
      <c r="D56" s="216" t="n"/>
    </row>
    <row r="57" ht="16.5" customHeight="1" s="220">
      <c r="B57" s="216" t="n"/>
      <c r="C57" s="216" t="n"/>
      <c r="D57" s="216" t="n"/>
    </row>
    <row r="58" ht="16.5" customHeight="1" s="220">
      <c r="B58" s="216" t="n"/>
      <c r="C58" s="216" t="n"/>
      <c r="D58" s="216" t="n"/>
    </row>
    <row r="59" ht="16.5" customHeight="1" s="220">
      <c r="B59" s="216" t="n"/>
      <c r="C59" s="216" t="n"/>
      <c r="D59" s="216" t="n"/>
    </row>
    <row r="60" ht="16.5" customHeight="1" s="220">
      <c r="B60" s="216" t="n"/>
      <c r="C60" s="216" t="n"/>
      <c r="D60" s="216" t="n"/>
    </row>
    <row r="61" ht="16.5" customHeight="1" s="220">
      <c r="B61" s="216" t="n"/>
      <c r="C61" s="216" t="n"/>
      <c r="D61" s="216" t="n"/>
    </row>
    <row r="62" ht="16.5" customHeight="1" s="220">
      <c r="B62" s="216" t="n"/>
      <c r="C62" s="216" t="n"/>
      <c r="D62" s="216" t="n"/>
    </row>
    <row r="63" ht="16.5" customHeight="1" s="220">
      <c r="B63" s="216" t="n"/>
      <c r="C63" s="216" t="n"/>
      <c r="D63" s="216" t="n"/>
    </row>
    <row r="64" ht="16.5" customHeight="1" s="220">
      <c r="B64" s="216" t="n"/>
      <c r="C64" s="216" t="n"/>
      <c r="D64" s="216" t="n"/>
    </row>
    <row r="65" ht="16.5" customHeight="1" s="220">
      <c r="B65" s="216" t="n"/>
      <c r="C65" s="216" t="n"/>
      <c r="D65" s="216" t="n"/>
    </row>
    <row r="66" ht="16.5" customHeight="1" s="220">
      <c r="B66" s="216" t="n"/>
      <c r="C66" s="216" t="n"/>
      <c r="D66" s="216" t="n"/>
    </row>
    <row r="67" ht="16.5" customHeight="1" s="220">
      <c r="B67" s="216" t="n"/>
      <c r="C67" s="216" t="n"/>
      <c r="D67" s="216" t="n"/>
    </row>
    <row r="68" ht="16.5" customHeight="1" s="220">
      <c r="B68" s="216" t="n"/>
      <c r="C68" s="216" t="n"/>
      <c r="D68" s="216" t="n"/>
    </row>
    <row r="69" ht="16.5" customHeight="1" s="220">
      <c r="B69" s="216" t="n"/>
      <c r="C69" s="216" t="n"/>
      <c r="D69" s="216" t="n"/>
    </row>
    <row r="70" ht="16.5" customHeight="1" s="220">
      <c r="B70" s="216" t="n"/>
      <c r="C70" s="216" t="n"/>
      <c r="D70" s="216" t="n"/>
    </row>
    <row r="71" ht="16.5" customHeight="1" s="220">
      <c r="B71" s="216" t="n"/>
      <c r="C71" s="216" t="n"/>
      <c r="D71" s="216" t="n"/>
    </row>
    <row r="72" ht="16.5" customHeight="1" s="220">
      <c r="B72" s="216" t="n"/>
      <c r="C72" s="216" t="n"/>
      <c r="D72" s="216" t="n"/>
    </row>
    <row r="73" ht="16.5" customHeight="1" s="220">
      <c r="B73" s="216" t="n"/>
      <c r="C73" s="216" t="n"/>
      <c r="D73" s="216" t="n"/>
    </row>
    <row r="74" ht="16.5" customHeight="1" s="220">
      <c r="B74" s="216" t="n"/>
      <c r="C74" s="216" t="n"/>
      <c r="D74" s="216" t="n"/>
    </row>
    <row r="75" ht="16.5" customHeight="1" s="220">
      <c r="B75" s="216" t="n"/>
      <c r="C75" s="216" t="n"/>
      <c r="D75" s="216" t="n"/>
    </row>
    <row r="76" ht="16.5" customHeight="1" s="220">
      <c r="B76" s="216" t="n"/>
      <c r="C76" s="216" t="n"/>
      <c r="D76" s="216" t="n"/>
    </row>
    <row r="77" ht="16.5" customHeight="1" s="220">
      <c r="B77" s="216" t="n"/>
      <c r="C77" s="216" t="n"/>
      <c r="D77" s="216" t="n"/>
    </row>
    <row r="78" ht="16.5" customHeight="1" s="220">
      <c r="B78" s="216" t="n"/>
      <c r="C78" s="216" t="n"/>
      <c r="D78" s="216" t="n"/>
    </row>
    <row r="79" ht="16.5" customHeight="1" s="220">
      <c r="B79" s="216" t="n"/>
      <c r="C79" s="216" t="n"/>
      <c r="D79" s="216" t="n"/>
    </row>
    <row r="80" ht="16.5" customHeight="1" s="220">
      <c r="B80" s="216" t="n"/>
      <c r="C80" s="216" t="n"/>
      <c r="D80" s="216" t="n"/>
    </row>
    <row r="81" ht="16.5" customHeight="1" s="220">
      <c r="B81" s="216" t="n"/>
      <c r="C81" s="216" t="n"/>
      <c r="D81" s="216" t="n"/>
    </row>
    <row r="82" ht="16.5" customHeight="1" s="220">
      <c r="B82" s="216" t="n"/>
      <c r="C82" s="216" t="n"/>
      <c r="D82" s="216" t="n"/>
    </row>
    <row r="83" ht="16.5" customHeight="1" s="220">
      <c r="B83" s="216" t="n"/>
      <c r="C83" s="216" t="n"/>
      <c r="D83" s="216" t="n"/>
    </row>
    <row r="84" ht="16.5" customHeight="1" s="220">
      <c r="B84" s="216" t="n"/>
      <c r="C84" s="216" t="n"/>
      <c r="D84" s="216" t="n"/>
    </row>
    <row r="85" ht="16.5" customHeight="1" s="220">
      <c r="B85" s="216" t="n"/>
      <c r="C85" s="216" t="n"/>
      <c r="D85" s="216" t="n"/>
    </row>
    <row r="86" ht="16.5" customHeight="1" s="220">
      <c r="B86" s="216" t="n"/>
      <c r="C86" s="216" t="n"/>
      <c r="D86" s="216" t="n"/>
    </row>
    <row r="87" ht="16.5" customHeight="1" s="220">
      <c r="B87" s="216" t="n"/>
      <c r="C87" s="216" t="n"/>
      <c r="D87" s="216" t="n"/>
    </row>
    <row r="88" ht="16.5" customHeight="1" s="220">
      <c r="B88" s="216" t="n"/>
      <c r="C88" s="216" t="n"/>
      <c r="D88" s="216" t="n"/>
    </row>
    <row r="89" ht="16.5" customHeight="1" s="220">
      <c r="B89" s="216" t="n"/>
      <c r="C89" s="216" t="n"/>
      <c r="D89" s="216" t="n"/>
    </row>
    <row r="90" ht="16.5" customHeight="1" s="220">
      <c r="B90" s="216" t="n"/>
      <c r="C90" s="216" t="n"/>
      <c r="D90" s="216" t="n"/>
    </row>
    <row r="91" ht="16.5" customHeight="1" s="220">
      <c r="B91" s="216" t="n"/>
      <c r="C91" s="216" t="n"/>
      <c r="D91" s="216" t="n"/>
    </row>
    <row r="92" ht="16.5" customHeight="1" s="220">
      <c r="B92" s="216" t="n"/>
      <c r="C92" s="216" t="n"/>
      <c r="D92" s="216" t="n"/>
    </row>
    <row r="93" ht="16.5" customHeight="1" s="220">
      <c r="B93" s="216" t="n"/>
      <c r="C93" s="216" t="n"/>
      <c r="D93" s="216" t="n"/>
    </row>
    <row r="94" ht="16.5" customHeight="1" s="220">
      <c r="B94" s="216" t="n"/>
      <c r="C94" s="216" t="n"/>
      <c r="D94" s="216" t="n"/>
    </row>
    <row r="95" ht="16.5" customHeight="1" s="220">
      <c r="B95" s="216" t="n"/>
      <c r="C95" s="216" t="n"/>
      <c r="D95" s="216" t="n"/>
    </row>
    <row r="96" ht="16.5" customHeight="1" s="220">
      <c r="B96" s="216" t="n"/>
      <c r="C96" s="216" t="n"/>
      <c r="D96" s="216" t="n"/>
    </row>
    <row r="97" ht="16.5" customHeight="1" s="220">
      <c r="B97" s="216" t="n"/>
      <c r="C97" s="216" t="n"/>
      <c r="D97" s="216" t="n"/>
    </row>
    <row r="98" ht="16.5" customHeight="1" s="220">
      <c r="B98" s="216" t="n"/>
      <c r="C98" s="216" t="n"/>
      <c r="D98" s="216" t="n"/>
    </row>
    <row r="99" ht="16.5" customHeight="1" s="220">
      <c r="B99" s="216" t="n"/>
      <c r="C99" s="216" t="n"/>
      <c r="D99" s="216" t="n"/>
    </row>
    <row r="100" ht="16.5" customHeight="1" s="220">
      <c r="B100" s="216" t="n"/>
      <c r="C100" s="216" t="n"/>
      <c r="D100" s="216" t="n"/>
    </row>
    <row r="101" ht="16.5" customHeight="1" s="220">
      <c r="B101" s="216" t="n"/>
      <c r="C101" s="216" t="n"/>
      <c r="D101" s="216" t="n"/>
    </row>
    <row r="102" ht="16.5" customHeight="1" s="220">
      <c r="B102" s="216" t="n"/>
      <c r="C102" s="216" t="n"/>
      <c r="D102" s="216" t="n"/>
    </row>
    <row r="103" ht="16.5" customHeight="1" s="220">
      <c r="B103" s="216" t="n"/>
      <c r="C103" s="216" t="n"/>
      <c r="D103" s="216" t="n"/>
    </row>
    <row r="104" ht="16.5" customHeight="1" s="220">
      <c r="B104" s="216" t="n"/>
      <c r="C104" s="216" t="n"/>
      <c r="D104" s="216" t="n"/>
    </row>
    <row r="105" ht="16.5" customHeight="1" s="220">
      <c r="B105" s="216" t="n"/>
      <c r="C105" s="216" t="n"/>
      <c r="D105" s="216" t="n"/>
    </row>
    <row r="106" ht="16.5" customHeight="1" s="220">
      <c r="B106" s="216" t="n"/>
      <c r="C106" s="216" t="n"/>
      <c r="D106" s="216" t="n"/>
    </row>
    <row r="107" ht="16.5" customHeight="1" s="220">
      <c r="B107" s="216" t="n"/>
      <c r="C107" s="216" t="n"/>
      <c r="D107" s="216" t="n"/>
    </row>
    <row r="108" ht="16.5" customHeight="1" s="220">
      <c r="B108" s="216" t="n"/>
      <c r="C108" s="216" t="n"/>
      <c r="D108" s="216" t="n"/>
    </row>
    <row r="109" ht="16.5" customHeight="1" s="220">
      <c r="B109" s="216" t="n"/>
      <c r="C109" s="216" t="n"/>
      <c r="D109" s="216" t="n"/>
    </row>
    <row r="110" ht="16.5" customHeight="1" s="220">
      <c r="B110" s="216" t="n"/>
      <c r="C110" s="216" t="n"/>
      <c r="D110" s="216" t="n"/>
    </row>
    <row r="111" ht="16.5" customHeight="1" s="220">
      <c r="B111" s="216" t="n"/>
      <c r="C111" s="216" t="n"/>
      <c r="D111" s="216" t="n"/>
    </row>
    <row r="112" ht="16.5" customHeight="1" s="220">
      <c r="B112" s="216" t="n"/>
      <c r="C112" s="216" t="n"/>
      <c r="D112" s="216" t="n"/>
    </row>
    <row r="113" ht="16.5" customHeight="1" s="220">
      <c r="B113" s="216" t="n"/>
      <c r="C113" s="216" t="n"/>
      <c r="D113" s="216" t="n"/>
    </row>
    <row r="114" ht="16.5" customHeight="1" s="220">
      <c r="B114" s="216" t="n"/>
      <c r="C114" s="216" t="n"/>
      <c r="D114" s="216" t="n"/>
    </row>
    <row r="115" ht="16.5" customHeight="1" s="220">
      <c r="B115" s="216" t="n"/>
      <c r="C115" s="216" t="n"/>
      <c r="D115" s="216" t="n"/>
    </row>
    <row r="116" ht="16.5" customHeight="1" s="220">
      <c r="B116" s="216" t="n"/>
      <c r="C116" s="216" t="n"/>
      <c r="D116" s="216" t="n"/>
    </row>
    <row r="117" ht="16.5" customHeight="1" s="220">
      <c r="B117" s="216" t="n"/>
      <c r="C117" s="216" t="n"/>
      <c r="D117" s="216" t="n"/>
    </row>
    <row r="118" ht="16.5" customHeight="1" s="220">
      <c r="B118" s="216" t="n"/>
      <c r="C118" s="216" t="n"/>
      <c r="D118" s="216" t="n"/>
    </row>
    <row r="119" ht="16.5" customHeight="1" s="220">
      <c r="B119" s="216" t="n"/>
      <c r="C119" s="216" t="n"/>
      <c r="D119" s="216" t="n"/>
    </row>
    <row r="120" ht="16.5" customHeight="1" s="220">
      <c r="B120" s="216" t="n"/>
      <c r="C120" s="216" t="n"/>
      <c r="D120" s="216" t="n"/>
    </row>
    <row r="121" ht="16.5" customHeight="1" s="220">
      <c r="B121" s="216" t="n"/>
      <c r="C121" s="216" t="n"/>
      <c r="D121" s="216" t="n"/>
    </row>
    <row r="122" ht="16.5" customHeight="1" s="220">
      <c r="B122" s="216" t="n"/>
      <c r="C122" s="216" t="n"/>
      <c r="D122" s="216" t="n"/>
    </row>
    <row r="123" ht="16.5" customHeight="1" s="220">
      <c r="B123" s="216" t="n"/>
      <c r="C123" s="216" t="n"/>
      <c r="D123" s="216" t="n"/>
    </row>
    <row r="124" ht="16.5" customHeight="1" s="220">
      <c r="B124" s="216" t="n"/>
      <c r="C124" s="216" t="n"/>
      <c r="D124" s="216" t="n"/>
    </row>
    <row r="125" ht="16.5" customHeight="1" s="220">
      <c r="B125" s="216" t="n"/>
      <c r="C125" s="216" t="n"/>
      <c r="D125" s="216" t="n"/>
    </row>
    <row r="126" ht="16.5" customHeight="1" s="220">
      <c r="B126" s="216" t="n"/>
      <c r="C126" s="216" t="n"/>
      <c r="D126" s="216" t="n"/>
    </row>
    <row r="127" ht="16.5" customHeight="1" s="220">
      <c r="B127" s="216" t="n"/>
      <c r="C127" s="216" t="n"/>
      <c r="D127" s="216" t="n"/>
    </row>
    <row r="128" ht="16.5" customHeight="1" s="220">
      <c r="B128" s="216" t="n"/>
      <c r="C128" s="216" t="n"/>
      <c r="D128" s="216" t="n"/>
    </row>
    <row r="129" ht="16.5" customHeight="1" s="220">
      <c r="B129" s="216" t="n"/>
      <c r="C129" s="216" t="n"/>
      <c r="D129" s="216" t="n"/>
    </row>
    <row r="130" ht="16.5" customHeight="1" s="220">
      <c r="B130" s="216" t="n"/>
      <c r="C130" s="216" t="n"/>
      <c r="D130" s="216" t="n"/>
    </row>
    <row r="131" ht="16.5" customHeight="1" s="220">
      <c r="B131" s="216" t="n"/>
      <c r="C131" s="216" t="n"/>
      <c r="D131" s="216" t="n"/>
    </row>
    <row r="132" ht="16.5" customHeight="1" s="220">
      <c r="B132" s="216" t="n"/>
      <c r="C132" s="216" t="n"/>
      <c r="D132" s="216" t="n"/>
    </row>
    <row r="133" ht="16.5" customHeight="1" s="220">
      <c r="B133" s="216" t="n"/>
      <c r="C133" s="216" t="n"/>
      <c r="D133" s="216" t="n"/>
    </row>
    <row r="134" ht="16.5" customHeight="1" s="220">
      <c r="B134" s="216" t="n"/>
      <c r="C134" s="216" t="n"/>
      <c r="D134" s="216" t="n"/>
    </row>
    <row r="135" ht="16.5" customHeight="1" s="220">
      <c r="B135" s="216" t="n"/>
      <c r="C135" s="216" t="n"/>
      <c r="D135" s="216" t="n"/>
    </row>
    <row r="136" ht="16.5" customHeight="1" s="220">
      <c r="B136" s="216" t="n"/>
      <c r="C136" s="216" t="n"/>
      <c r="D136" s="216" t="n"/>
    </row>
    <row r="137" ht="16.5" customHeight="1" s="220">
      <c r="B137" s="216" t="n"/>
      <c r="C137" s="216" t="n"/>
      <c r="D137" s="216" t="n"/>
    </row>
    <row r="138" ht="16.5" customHeight="1" s="220">
      <c r="B138" s="216" t="n"/>
      <c r="C138" s="216" t="n"/>
      <c r="D138" s="216" t="n"/>
    </row>
    <row r="139" ht="16.5" customHeight="1" s="220">
      <c r="B139" s="216" t="n"/>
      <c r="C139" s="216" t="n"/>
      <c r="D139" s="216" t="n"/>
    </row>
    <row r="140" ht="16.5" customHeight="1" s="220">
      <c r="B140" s="216" t="n"/>
      <c r="C140" s="216" t="n"/>
      <c r="D140" s="216" t="n"/>
    </row>
    <row r="141" ht="16.5" customHeight="1" s="220">
      <c r="B141" s="216" t="n"/>
      <c r="C141" s="216" t="n"/>
      <c r="D141" s="216" t="n"/>
    </row>
    <row r="142" ht="16.5" customHeight="1" s="220">
      <c r="B142" s="216" t="n"/>
      <c r="C142" s="216" t="n"/>
      <c r="D142" s="216" t="n"/>
    </row>
    <row r="143" ht="16.5" customHeight="1" s="220">
      <c r="B143" s="216" t="n"/>
      <c r="C143" s="216" t="n"/>
      <c r="D143" s="216" t="n"/>
    </row>
    <row r="144" ht="16.5" customHeight="1" s="220">
      <c r="B144" s="216" t="n"/>
      <c r="C144" s="216" t="n"/>
      <c r="D144" s="216" t="n"/>
    </row>
    <row r="145" ht="16.5" customHeight="1" s="220">
      <c r="B145" s="216" t="n"/>
      <c r="C145" s="216" t="n"/>
      <c r="D145" s="216" t="n"/>
    </row>
    <row r="146" ht="16.5" customHeight="1" s="220">
      <c r="B146" s="216" t="n"/>
      <c r="C146" s="216" t="n"/>
      <c r="D146" s="216" t="n"/>
    </row>
    <row r="147" ht="16.5" customHeight="1" s="220">
      <c r="B147" s="216" t="n"/>
      <c r="C147" s="216" t="n"/>
      <c r="D147" s="216" t="n"/>
    </row>
    <row r="148" ht="16.5" customHeight="1" s="220">
      <c r="B148" s="216" t="n"/>
      <c r="C148" s="216" t="n"/>
      <c r="D148" s="216" t="n"/>
    </row>
    <row r="149" ht="16.5" customHeight="1" s="220">
      <c r="B149" s="216" t="n"/>
      <c r="C149" s="216" t="n"/>
      <c r="D149" s="216" t="n"/>
    </row>
    <row r="150" ht="16.5" customHeight="1" s="220">
      <c r="B150" s="216" t="n"/>
      <c r="C150" s="216" t="n"/>
      <c r="D150" s="216" t="n"/>
    </row>
    <row r="151" ht="16.5" customHeight="1" s="220">
      <c r="B151" s="216" t="n"/>
      <c r="C151" s="216" t="n"/>
      <c r="D151" s="216" t="n"/>
    </row>
    <row r="152" ht="16.5" customHeight="1" s="220">
      <c r="B152" s="216" t="n"/>
      <c r="C152" s="216" t="n"/>
      <c r="D152" s="216" t="n"/>
    </row>
    <row r="153" ht="16.5" customHeight="1" s="220">
      <c r="B153" s="216" t="n"/>
      <c r="C153" s="216" t="n"/>
      <c r="D153" s="216" t="n"/>
    </row>
    <row r="154" ht="16.5" customHeight="1" s="220">
      <c r="B154" s="216" t="n"/>
      <c r="C154" s="216" t="n"/>
      <c r="D154" s="216" t="n"/>
    </row>
    <row r="155" ht="16.5" customHeight="1" s="220">
      <c r="B155" s="216" t="n"/>
      <c r="C155" s="216" t="n"/>
      <c r="D155" s="216" t="n"/>
    </row>
    <row r="156" ht="16.5" customHeight="1" s="220">
      <c r="B156" s="216" t="n"/>
      <c r="C156" s="216" t="n"/>
      <c r="D156" s="216" t="n"/>
    </row>
    <row r="157" ht="16.5" customHeight="1" s="220">
      <c r="B157" s="216" t="n"/>
      <c r="C157" s="216" t="n"/>
      <c r="D157" s="216" t="n"/>
    </row>
    <row r="158" ht="16.5" customHeight="1" s="220">
      <c r="B158" s="216" t="n"/>
      <c r="C158" s="216" t="n"/>
      <c r="D158" s="216" t="n"/>
    </row>
    <row r="159" ht="16.5" customHeight="1" s="220">
      <c r="B159" s="216" t="n"/>
      <c r="C159" s="216" t="n"/>
      <c r="D159" s="216" t="n"/>
    </row>
    <row r="160" ht="16.5" customHeight="1" s="220">
      <c r="B160" s="216" t="n"/>
      <c r="C160" s="216" t="n"/>
      <c r="D160" s="216" t="n"/>
    </row>
    <row r="161" ht="16.5" customHeight="1" s="220">
      <c r="B161" s="216" t="n"/>
      <c r="C161" s="216" t="n"/>
      <c r="D161" s="216" t="n"/>
    </row>
    <row r="162" ht="16.5" customHeight="1" s="220">
      <c r="B162" s="216" t="n"/>
      <c r="C162" s="216" t="n"/>
      <c r="D162" s="216" t="n"/>
    </row>
    <row r="163" ht="16.5" customHeight="1" s="220">
      <c r="B163" s="216" t="n"/>
      <c r="C163" s="216" t="n"/>
      <c r="D163" s="216" t="n"/>
    </row>
    <row r="164" ht="16.5" customHeight="1" s="220">
      <c r="B164" s="216" t="n"/>
      <c r="C164" s="216" t="n"/>
      <c r="D164" s="216" t="n"/>
    </row>
    <row r="165" ht="16.5" customHeight="1" s="220">
      <c r="B165" s="216" t="n"/>
      <c r="C165" s="216" t="n"/>
      <c r="D165" s="216" t="n"/>
    </row>
    <row r="166" ht="16.5" customHeight="1" s="220">
      <c r="B166" s="216" t="n"/>
      <c r="C166" s="216" t="n"/>
      <c r="D166" s="216" t="n"/>
    </row>
    <row r="167" ht="16.5" customHeight="1" s="220">
      <c r="B167" s="216" t="n"/>
      <c r="C167" s="216" t="n"/>
      <c r="D167" s="216" t="n"/>
    </row>
    <row r="168" ht="16.5" customHeight="1" s="220">
      <c r="B168" s="216" t="n"/>
      <c r="C168" s="216" t="n"/>
      <c r="D168" s="216" t="n"/>
    </row>
    <row r="169" ht="16.5" customHeight="1" s="220">
      <c r="B169" s="216" t="n"/>
      <c r="C169" s="216" t="n"/>
      <c r="D169" s="216" t="n"/>
    </row>
    <row r="170" ht="16.5" customHeight="1" s="220">
      <c r="B170" s="216" t="n"/>
      <c r="C170" s="216" t="n"/>
      <c r="D170" s="216" t="n"/>
    </row>
    <row r="171" ht="16.5" customHeight="1" s="220">
      <c r="B171" s="216" t="n"/>
      <c r="C171" s="216" t="n"/>
      <c r="D171" s="216" t="n"/>
    </row>
    <row r="172" ht="16.5" customHeight="1" s="220">
      <c r="B172" s="216" t="n"/>
      <c r="C172" s="216" t="n"/>
      <c r="D172" s="216" t="n"/>
    </row>
    <row r="173" ht="16.5" customHeight="1" s="220">
      <c r="B173" s="216" t="n"/>
      <c r="C173" s="216" t="n"/>
      <c r="D173" s="216" t="n"/>
    </row>
    <row r="174" ht="16.5" customHeight="1" s="220">
      <c r="B174" s="216" t="n"/>
      <c r="C174" s="216" t="n"/>
      <c r="D174" s="216" t="n"/>
    </row>
    <row r="175" ht="16.5" customHeight="1" s="220">
      <c r="B175" s="216" t="n"/>
      <c r="C175" s="216" t="n"/>
      <c r="D175" s="216" t="n"/>
    </row>
    <row r="176" ht="16.5" customHeight="1" s="220">
      <c r="B176" s="216" t="n"/>
      <c r="C176" s="216" t="n"/>
      <c r="D176" s="216" t="n"/>
    </row>
    <row r="177" ht="16.5" customHeight="1" s="220">
      <c r="B177" s="216" t="n"/>
      <c r="C177" s="216" t="n"/>
      <c r="D177" s="216" t="n"/>
    </row>
    <row r="178" ht="16.5" customHeight="1" s="220">
      <c r="B178" s="216" t="n"/>
      <c r="C178" s="216" t="n"/>
      <c r="D178" s="216" t="n"/>
    </row>
    <row r="179" ht="16.5" customHeight="1" s="220">
      <c r="B179" s="216" t="n"/>
      <c r="C179" s="216" t="n"/>
      <c r="D179" s="216" t="n"/>
    </row>
    <row r="180" ht="16.5" customHeight="1" s="220">
      <c r="B180" s="216" t="n"/>
      <c r="C180" s="216" t="n"/>
      <c r="D180" s="216" t="n"/>
    </row>
    <row r="181" ht="16.5" customHeight="1" s="220">
      <c r="B181" s="216" t="n"/>
      <c r="C181" s="216" t="n"/>
      <c r="D181" s="216" t="n"/>
    </row>
    <row r="182" ht="16.5" customHeight="1" s="220">
      <c r="B182" s="216" t="n"/>
      <c r="C182" s="216" t="n"/>
      <c r="D182" s="216" t="n"/>
    </row>
    <row r="183" ht="16.5" customHeight="1" s="220">
      <c r="B183" s="216" t="n"/>
      <c r="C183" s="216" t="n"/>
      <c r="D183" s="216" t="n"/>
    </row>
    <row r="184" ht="16.5" customHeight="1" s="220">
      <c r="B184" s="216" t="n"/>
      <c r="C184" s="216" t="n"/>
      <c r="D184" s="216" t="n"/>
    </row>
    <row r="185" ht="16.5" customHeight="1" s="220">
      <c r="B185" s="216" t="n"/>
      <c r="C185" s="216" t="n"/>
      <c r="D185" s="216" t="n"/>
    </row>
    <row r="186" ht="16.5" customHeight="1" s="220">
      <c r="B186" s="216" t="n"/>
      <c r="C186" s="216" t="n"/>
      <c r="D186" s="216" t="n"/>
    </row>
    <row r="187" ht="16.5" customHeight="1" s="220">
      <c r="B187" s="216" t="n"/>
      <c r="C187" s="216" t="n"/>
      <c r="D187" s="216" t="n"/>
    </row>
    <row r="188" ht="16.5" customHeight="1" s="220">
      <c r="B188" s="216" t="n"/>
      <c r="C188" s="216" t="n"/>
      <c r="D188" s="216" t="n"/>
    </row>
    <row r="189" ht="16.5" customHeight="1" s="220">
      <c r="B189" s="216" t="n"/>
      <c r="C189" s="216" t="n"/>
      <c r="D189" s="216" t="n"/>
    </row>
    <row r="190" ht="16.5" customHeight="1" s="220">
      <c r="B190" s="216" t="n"/>
      <c r="C190" s="216" t="n"/>
      <c r="D190" s="216" t="n"/>
    </row>
    <row r="191" ht="16.5" customHeight="1" s="220">
      <c r="B191" s="216" t="n"/>
      <c r="C191" s="216" t="n"/>
      <c r="D191" s="216" t="n"/>
    </row>
    <row r="192" ht="16.5" customHeight="1" s="220">
      <c r="B192" s="216" t="n"/>
      <c r="C192" s="216" t="n"/>
      <c r="D192" s="216" t="n"/>
    </row>
    <row r="193" ht="16.5" customHeight="1" s="220">
      <c r="B193" s="216" t="n"/>
      <c r="C193" s="216" t="n"/>
      <c r="D193" s="216" t="n"/>
    </row>
    <row r="194" ht="16.5" customHeight="1" s="220">
      <c r="B194" s="216" t="n"/>
      <c r="C194" s="216" t="n"/>
      <c r="D194" s="216" t="n"/>
    </row>
    <row r="195" ht="16.5" customHeight="1" s="220">
      <c r="B195" s="216" t="n"/>
      <c r="C195" s="216" t="n"/>
      <c r="D195" s="216" t="n"/>
    </row>
    <row r="196" ht="16.5" customHeight="1" s="220">
      <c r="B196" s="216" t="n"/>
      <c r="C196" s="216" t="n"/>
      <c r="D196" s="216" t="n"/>
    </row>
    <row r="197" ht="16.5" customHeight="1" s="220">
      <c r="B197" s="216" t="n"/>
      <c r="C197" s="216" t="n"/>
      <c r="D197" s="216" t="n"/>
    </row>
    <row r="198" ht="16.5" customHeight="1" s="220">
      <c r="B198" s="216" t="n"/>
      <c r="C198" s="216" t="n"/>
      <c r="D198" s="216" t="n"/>
    </row>
    <row r="199" ht="16.5" customHeight="1" s="220">
      <c r="B199" s="216" t="n"/>
      <c r="C199" s="216" t="n"/>
      <c r="D199" s="216" t="n"/>
    </row>
    <row r="200" ht="16.5" customHeight="1" s="220">
      <c r="B200" s="216" t="n"/>
      <c r="C200" s="216" t="n"/>
      <c r="D200" s="216" t="n"/>
    </row>
    <row r="201" ht="16.5" customHeight="1" s="220">
      <c r="B201" s="216" t="n"/>
      <c r="C201" s="216" t="n"/>
      <c r="D201" s="216" t="n"/>
    </row>
    <row r="202" ht="16.5" customHeight="1" s="220">
      <c r="B202" s="216" t="n"/>
      <c r="C202" s="216" t="n"/>
      <c r="D202" s="216" t="n"/>
    </row>
    <row r="203" ht="16.5" customHeight="1" s="220">
      <c r="B203" s="216" t="n"/>
      <c r="C203" s="216" t="n"/>
      <c r="D203" s="216" t="n"/>
    </row>
    <row r="204" ht="16.5" customHeight="1" s="220">
      <c r="B204" s="216" t="n"/>
      <c r="C204" s="216" t="n"/>
      <c r="D204" s="216" t="n"/>
    </row>
    <row r="205" ht="16.5" customHeight="1" s="220">
      <c r="B205" s="216" t="n"/>
      <c r="C205" s="216" t="n"/>
      <c r="D205" s="216" t="n"/>
    </row>
    <row r="206" ht="16.5" customHeight="1" s="220">
      <c r="B206" s="216" t="n"/>
      <c r="C206" s="216" t="n"/>
      <c r="D206" s="216" t="n"/>
    </row>
    <row r="207" ht="16.5" customHeight="1" s="220">
      <c r="B207" s="216" t="n"/>
      <c r="C207" s="216" t="n"/>
      <c r="D207" s="216" t="n"/>
    </row>
    <row r="208" ht="16.5" customHeight="1" s="220">
      <c r="B208" s="216" t="n"/>
      <c r="C208" s="216" t="n"/>
      <c r="D208" s="216" t="n"/>
    </row>
    <row r="209" ht="16.5" customHeight="1" s="220">
      <c r="B209" s="216" t="n"/>
      <c r="C209" s="216" t="n"/>
      <c r="D209" s="216" t="n"/>
    </row>
    <row r="210" ht="16.5" customHeight="1" s="220">
      <c r="B210" s="216" t="n"/>
      <c r="C210" s="216" t="n"/>
      <c r="D210" s="216" t="n"/>
    </row>
    <row r="211" ht="16.5" customHeight="1" s="220">
      <c r="B211" s="216" t="n"/>
      <c r="C211" s="216" t="n"/>
      <c r="D211" s="216" t="n"/>
    </row>
    <row r="212" ht="16.5" customHeight="1" s="220">
      <c r="B212" s="216" t="n"/>
      <c r="C212" s="216" t="n"/>
      <c r="D212" s="216" t="n"/>
    </row>
    <row r="213" ht="16.5" customHeight="1" s="220">
      <c r="B213" s="216" t="n"/>
      <c r="C213" s="216" t="n"/>
      <c r="D213" s="216" t="n"/>
    </row>
    <row r="214" ht="16.5" customHeight="1" s="220">
      <c r="B214" s="216" t="n"/>
      <c r="C214" s="216" t="n"/>
      <c r="D214" s="216" t="n"/>
    </row>
    <row r="215" ht="16.5" customHeight="1" s="220">
      <c r="B215" s="216" t="n"/>
      <c r="C215" s="216" t="n"/>
      <c r="D215" s="216" t="n"/>
    </row>
    <row r="216" ht="16.5" customHeight="1" s="220">
      <c r="B216" s="216" t="n"/>
      <c r="C216" s="216" t="n"/>
      <c r="D216" s="216" t="n"/>
    </row>
    <row r="217" ht="16.5" customHeight="1" s="220">
      <c r="B217" s="216" t="n"/>
      <c r="C217" s="216" t="n"/>
      <c r="D217" s="216" t="n"/>
    </row>
    <row r="218" ht="16.5" customHeight="1" s="220">
      <c r="B218" s="216" t="n"/>
      <c r="C218" s="216" t="n"/>
      <c r="D218" s="216" t="n"/>
    </row>
    <row r="219" ht="16.5" customHeight="1" s="220">
      <c r="B219" s="216" t="n"/>
      <c r="C219" s="216" t="n"/>
      <c r="D219" s="216" t="n"/>
    </row>
    <row r="220" ht="16.5" customHeight="1" s="220">
      <c r="B220" s="216" t="n"/>
      <c r="C220" s="216" t="n"/>
      <c r="D220" s="216" t="n"/>
    </row>
    <row r="221" ht="16.5" customHeight="1" s="220">
      <c r="B221" s="216" t="n"/>
      <c r="C221" s="216" t="n"/>
      <c r="D221" s="216" t="n"/>
    </row>
    <row r="222" ht="16.5" customHeight="1" s="220">
      <c r="B222" s="216" t="n"/>
      <c r="C222" s="216" t="n"/>
      <c r="D222" s="216" t="n"/>
    </row>
    <row r="223" ht="16.5" customHeight="1" s="220">
      <c r="B223" s="216" t="n"/>
      <c r="C223" s="216" t="n"/>
      <c r="D223" s="216" t="n"/>
    </row>
    <row r="224" ht="16.5" customHeight="1" s="220">
      <c r="B224" s="216" t="n"/>
      <c r="C224" s="216" t="n"/>
      <c r="D224" s="216" t="n"/>
    </row>
    <row r="225" ht="16.5" customHeight="1" s="220">
      <c r="B225" s="216" t="n"/>
      <c r="C225" s="216" t="n"/>
      <c r="D225" s="216" t="n"/>
    </row>
    <row r="226" ht="16.5" customHeight="1" s="220">
      <c r="B226" s="216" t="n"/>
      <c r="C226" s="216" t="n"/>
      <c r="D226" s="216" t="n"/>
    </row>
    <row r="227" ht="16.5" customHeight="1" s="220">
      <c r="B227" s="216" t="n"/>
      <c r="C227" s="216" t="n"/>
      <c r="D227" s="216" t="n"/>
    </row>
    <row r="228" ht="16.5" customHeight="1" s="220">
      <c r="B228" s="216" t="n"/>
      <c r="C228" s="216" t="n"/>
      <c r="D228" s="216" t="n"/>
    </row>
    <row r="229" ht="16.5" customHeight="1" s="220">
      <c r="B229" s="216" t="n"/>
      <c r="C229" s="216" t="n"/>
      <c r="D229" s="216" t="n"/>
    </row>
    <row r="230" ht="16.5" customHeight="1" s="220">
      <c r="B230" s="216" t="n"/>
      <c r="C230" s="216" t="n"/>
      <c r="D230" s="216" t="n"/>
    </row>
    <row r="231" ht="16.5" customHeight="1" s="220">
      <c r="B231" s="216" t="n"/>
      <c r="C231" s="216" t="n"/>
      <c r="D231" s="216" t="n"/>
    </row>
    <row r="232" ht="16.5" customHeight="1" s="220">
      <c r="B232" s="216" t="n"/>
      <c r="C232" s="216" t="n"/>
      <c r="D232" s="216" t="n"/>
    </row>
    <row r="233" ht="16.5" customHeight="1" s="220">
      <c r="B233" s="216" t="n"/>
      <c r="C233" s="216" t="n"/>
      <c r="D233" s="216" t="n"/>
    </row>
    <row r="234" ht="16.5" customHeight="1" s="220">
      <c r="B234" s="216" t="n"/>
      <c r="C234" s="216" t="n"/>
      <c r="D234" s="216" t="n"/>
    </row>
    <row r="235" ht="16.5" customHeight="1" s="220">
      <c r="B235" s="216" t="n"/>
      <c r="C235" s="216" t="n"/>
      <c r="D235" s="216" t="n"/>
    </row>
    <row r="236" ht="16.5" customHeight="1" s="220">
      <c r="B236" s="216" t="n"/>
      <c r="C236" s="216" t="n"/>
      <c r="D236" s="216" t="n"/>
    </row>
    <row r="237" ht="16.5" customHeight="1" s="220">
      <c r="B237" s="216" t="n"/>
      <c r="C237" s="216" t="n"/>
      <c r="D237" s="216" t="n"/>
    </row>
    <row r="238" ht="16.5" customHeight="1" s="220">
      <c r="B238" s="216" t="n"/>
      <c r="C238" s="216" t="n"/>
      <c r="D238" s="216" t="n"/>
    </row>
    <row r="239" ht="16.5" customHeight="1" s="220">
      <c r="B239" s="216" t="n"/>
      <c r="C239" s="216" t="n"/>
      <c r="D239" s="216" t="n"/>
    </row>
    <row r="240" ht="16.5" customHeight="1" s="220">
      <c r="B240" s="216" t="n"/>
      <c r="C240" s="216" t="n"/>
      <c r="D240" s="216" t="n"/>
    </row>
    <row r="241" ht="16.5" customHeight="1" s="220">
      <c r="B241" s="216" t="n"/>
      <c r="C241" s="216" t="n"/>
      <c r="D241" s="216" t="n"/>
    </row>
    <row r="242" ht="16.5" customHeight="1" s="220">
      <c r="B242" s="216" t="n"/>
      <c r="C242" s="216" t="n"/>
      <c r="D242" s="216" t="n"/>
    </row>
    <row r="243" ht="16.5" customHeight="1" s="220">
      <c r="B243" s="216" t="n"/>
      <c r="C243" s="216" t="n"/>
      <c r="D243" s="216" t="n"/>
    </row>
    <row r="244" ht="16.5" customHeight="1" s="220">
      <c r="B244" s="216" t="n"/>
      <c r="C244" s="216" t="n"/>
      <c r="D244" s="216" t="n"/>
    </row>
    <row r="245" ht="16.5" customHeight="1" s="220">
      <c r="B245" s="216" t="n"/>
      <c r="C245" s="216" t="n"/>
      <c r="D245" s="216" t="n"/>
    </row>
    <row r="246" ht="16.5" customHeight="1" s="220">
      <c r="B246" s="216" t="n"/>
      <c r="C246" s="216" t="n"/>
      <c r="D246" s="216" t="n"/>
    </row>
    <row r="247" ht="16.5" customHeight="1" s="220">
      <c r="B247" s="216" t="n"/>
      <c r="C247" s="216" t="n"/>
      <c r="D247" s="216" t="n"/>
    </row>
    <row r="248" ht="16.5" customHeight="1" s="220">
      <c r="B248" s="216" t="n"/>
      <c r="C248" s="216" t="n"/>
      <c r="D248" s="216" t="n"/>
    </row>
    <row r="249" ht="16.5" customHeight="1" s="220">
      <c r="B249" s="216" t="n"/>
      <c r="C249" s="216" t="n"/>
      <c r="D249" s="216" t="n"/>
    </row>
    <row r="250" ht="16.5" customHeight="1" s="220">
      <c r="B250" s="216" t="n"/>
      <c r="C250" s="216" t="n"/>
      <c r="D250" s="216" t="n"/>
    </row>
    <row r="251" ht="16.5" customHeight="1" s="220">
      <c r="B251" s="216" t="n"/>
      <c r="C251" s="216" t="n"/>
      <c r="D251" s="216" t="n"/>
    </row>
    <row r="252" ht="16.5" customHeight="1" s="220">
      <c r="B252" s="216" t="n"/>
      <c r="C252" s="216" t="n"/>
      <c r="D252" s="216" t="n"/>
    </row>
    <row r="253" ht="16.5" customHeight="1" s="220">
      <c r="B253" s="216" t="n"/>
      <c r="C253" s="216" t="n"/>
      <c r="D253" s="216" t="n"/>
    </row>
    <row r="254" ht="16.5" customHeight="1" s="220">
      <c r="B254" s="216" t="n"/>
      <c r="C254" s="216" t="n"/>
      <c r="D254" s="216" t="n"/>
    </row>
    <row r="255" ht="16.5" customHeight="1" s="220">
      <c r="B255" s="216" t="n"/>
      <c r="C255" s="216" t="n"/>
      <c r="D255" s="216" t="n"/>
    </row>
    <row r="256" ht="16.5" customHeight="1" s="220">
      <c r="B256" s="216" t="n"/>
      <c r="C256" s="216" t="n"/>
      <c r="D256" s="216" t="n"/>
    </row>
    <row r="257" ht="16.5" customHeight="1" s="220">
      <c r="B257" s="216" t="n"/>
      <c r="C257" s="216" t="n"/>
      <c r="D257" s="216" t="n"/>
    </row>
    <row r="258" ht="16.5" customHeight="1" s="220">
      <c r="B258" s="216" t="n"/>
      <c r="C258" s="216" t="n"/>
      <c r="D258" s="216" t="n"/>
    </row>
    <row r="259" ht="16.5" customHeight="1" s="220">
      <c r="B259" s="216" t="n"/>
      <c r="C259" s="216" t="n"/>
      <c r="D259" s="216" t="n"/>
    </row>
    <row r="260" ht="16.5" customHeight="1" s="220">
      <c r="B260" s="216" t="n"/>
      <c r="C260" s="216" t="n"/>
      <c r="D260" s="216" t="n"/>
    </row>
    <row r="261" ht="16.5" customHeight="1" s="220">
      <c r="B261" s="216" t="n"/>
      <c r="C261" s="216" t="n"/>
      <c r="D261" s="216" t="n"/>
    </row>
    <row r="262" ht="16.5" customHeight="1" s="220">
      <c r="B262" s="216" t="n"/>
      <c r="C262" s="216" t="n"/>
      <c r="D262" s="216" t="n"/>
    </row>
    <row r="263" ht="16.5" customHeight="1" s="220">
      <c r="B263" s="216" t="n"/>
      <c r="C263" s="216" t="n"/>
      <c r="D263" s="216" t="n"/>
    </row>
    <row r="264" ht="16.5" customHeight="1" s="220">
      <c r="B264" s="216" t="n"/>
      <c r="C264" s="216" t="n"/>
      <c r="D264" s="216" t="n"/>
    </row>
    <row r="265" ht="16.5" customHeight="1" s="220">
      <c r="B265" s="216" t="n"/>
      <c r="C265" s="216" t="n"/>
      <c r="D265" s="216" t="n"/>
    </row>
    <row r="266" ht="16.5" customHeight="1" s="220">
      <c r="B266" s="216" t="n"/>
      <c r="C266" s="216" t="n"/>
      <c r="D266" s="216" t="n"/>
    </row>
    <row r="267" ht="16.5" customHeight="1" s="220">
      <c r="B267" s="216" t="n"/>
      <c r="C267" s="216" t="n"/>
      <c r="D267" s="216" t="n"/>
    </row>
    <row r="268" ht="16.5" customHeight="1" s="220">
      <c r="B268" s="216" t="n"/>
      <c r="C268" s="216" t="n"/>
      <c r="D268" s="216" t="n"/>
    </row>
    <row r="269" ht="16.5" customHeight="1" s="220">
      <c r="B269" s="216" t="n"/>
      <c r="C269" s="216" t="n"/>
      <c r="D269" s="216" t="n"/>
    </row>
    <row r="270" ht="16.5" customHeight="1" s="220">
      <c r="B270" s="216" t="n"/>
      <c r="C270" s="216" t="n"/>
      <c r="D270" s="216" t="n"/>
    </row>
    <row r="271" ht="16.5" customHeight="1" s="220">
      <c r="B271" s="216" t="n"/>
      <c r="C271" s="216" t="n"/>
      <c r="D271" s="216" t="n"/>
    </row>
    <row r="272" ht="16.5" customHeight="1" s="220">
      <c r="B272" s="216" t="n"/>
      <c r="C272" s="216" t="n"/>
      <c r="D272" s="216" t="n"/>
    </row>
    <row r="273" ht="16.5" customHeight="1" s="220">
      <c r="B273" s="216" t="n"/>
      <c r="C273" s="216" t="n"/>
      <c r="D273" s="216" t="n"/>
    </row>
    <row r="274" ht="16.5" customHeight="1" s="220">
      <c r="B274" s="216" t="n"/>
      <c r="C274" s="216" t="n"/>
      <c r="D274" s="216" t="n"/>
    </row>
    <row r="275" ht="16.5" customHeight="1" s="220">
      <c r="B275" s="216" t="n"/>
      <c r="C275" s="216" t="n"/>
      <c r="D275" s="216" t="n"/>
    </row>
    <row r="276" ht="16.5" customHeight="1" s="220">
      <c r="B276" s="216" t="n"/>
      <c r="C276" s="216" t="n"/>
      <c r="D276" s="216" t="n"/>
    </row>
    <row r="277" ht="16.5" customHeight="1" s="220">
      <c r="B277" s="216" t="n"/>
      <c r="C277" s="216" t="n"/>
      <c r="D277" s="216" t="n"/>
    </row>
    <row r="278" ht="16.5" customHeight="1" s="220">
      <c r="B278" s="216" t="n"/>
      <c r="C278" s="216" t="n"/>
      <c r="D278" s="216" t="n"/>
    </row>
    <row r="279" ht="16.5" customHeight="1" s="220">
      <c r="B279" s="216" t="n"/>
      <c r="C279" s="216" t="n"/>
      <c r="D279" s="216" t="n"/>
    </row>
    <row r="280" ht="16.5" customHeight="1" s="220">
      <c r="B280" s="216" t="n"/>
      <c r="C280" s="216" t="n"/>
      <c r="D280" s="216" t="n"/>
    </row>
    <row r="281" ht="16.5" customHeight="1" s="220">
      <c r="B281" s="216" t="n"/>
      <c r="C281" s="216" t="n"/>
      <c r="D281" s="216" t="n"/>
    </row>
    <row r="282" ht="16.5" customHeight="1" s="220">
      <c r="B282" s="216" t="n"/>
      <c r="C282" s="216" t="n"/>
      <c r="D282" s="216" t="n"/>
    </row>
    <row r="283" ht="16.5" customHeight="1" s="220">
      <c r="B283" s="216" t="n"/>
      <c r="C283" s="216" t="n"/>
      <c r="D283" s="216" t="n"/>
    </row>
    <row r="284" ht="16.5" customHeight="1" s="220">
      <c r="B284" s="216" t="n"/>
      <c r="C284" s="216" t="n"/>
      <c r="D284" s="216" t="n"/>
    </row>
    <row r="285" ht="16.5" customHeight="1" s="220">
      <c r="B285" s="216" t="n"/>
      <c r="C285" s="216" t="n"/>
      <c r="D285" s="216" t="n"/>
    </row>
    <row r="286" ht="16.5" customHeight="1" s="220">
      <c r="B286" s="216" t="n"/>
      <c r="C286" s="216" t="n"/>
      <c r="D286" s="216" t="n"/>
    </row>
    <row r="287" ht="16.5" customHeight="1" s="220">
      <c r="B287" s="216" t="n"/>
      <c r="C287" s="216" t="n"/>
      <c r="D287" s="216" t="n"/>
    </row>
    <row r="288" ht="16.5" customHeight="1" s="220">
      <c r="B288" s="216" t="n"/>
      <c r="C288" s="216" t="n"/>
      <c r="D288" s="216" t="n"/>
    </row>
    <row r="289" ht="16.5" customHeight="1" s="220">
      <c r="B289" s="216" t="n"/>
      <c r="C289" s="216" t="n"/>
      <c r="D289" s="216" t="n"/>
    </row>
    <row r="290" ht="16.5" customHeight="1" s="220">
      <c r="B290" s="216" t="n"/>
      <c r="C290" s="216" t="n"/>
      <c r="D290" s="216" t="n"/>
    </row>
    <row r="291" ht="16.5" customHeight="1" s="220">
      <c r="B291" s="216" t="n"/>
      <c r="C291" s="216" t="n"/>
      <c r="D291" s="216" t="n"/>
    </row>
    <row r="292" ht="16.5" customHeight="1" s="220">
      <c r="B292" s="216" t="n"/>
      <c r="C292" s="216" t="n"/>
      <c r="D292" s="216" t="n"/>
    </row>
    <row r="293" ht="16.5" customHeight="1" s="220">
      <c r="B293" s="216" t="n"/>
      <c r="C293" s="216" t="n"/>
      <c r="D293" s="216" t="n"/>
    </row>
    <row r="294" ht="16.5" customHeight="1" s="220">
      <c r="B294" s="216" t="n"/>
      <c r="C294" s="216" t="n"/>
      <c r="D294" s="216" t="n"/>
    </row>
    <row r="295" ht="16.5" customHeight="1" s="220">
      <c r="B295" s="216" t="n"/>
      <c r="C295" s="216" t="n"/>
      <c r="D295" s="216" t="n"/>
    </row>
    <row r="296" ht="16.5" customHeight="1" s="220">
      <c r="B296" s="216" t="n"/>
      <c r="C296" s="216" t="n"/>
      <c r="D296" s="216" t="n"/>
    </row>
    <row r="297" ht="16.5" customHeight="1" s="220">
      <c r="B297" s="216" t="n"/>
      <c r="C297" s="216" t="n"/>
      <c r="D297" s="216" t="n"/>
    </row>
    <row r="298" ht="16.5" customHeight="1" s="220">
      <c r="B298" s="216" t="n"/>
      <c r="C298" s="216" t="n"/>
      <c r="D298" s="216" t="n"/>
    </row>
    <row r="299" ht="16.5" customHeight="1" s="220">
      <c r="B299" s="216" t="n"/>
      <c r="C299" s="216" t="n"/>
      <c r="D299" s="216" t="n"/>
    </row>
    <row r="300" ht="16.5" customHeight="1" s="220">
      <c r="B300" s="216" t="n"/>
      <c r="C300" s="216" t="n"/>
      <c r="D300" s="216" t="n"/>
    </row>
    <row r="301" ht="16.5" customHeight="1" s="220">
      <c r="B301" s="216" t="n"/>
      <c r="C301" s="216" t="n"/>
      <c r="D301" s="216" t="n"/>
    </row>
    <row r="302" ht="16.5" customHeight="1" s="220">
      <c r="B302" s="216" t="n"/>
      <c r="C302" s="216" t="n"/>
      <c r="D302" s="216" t="n"/>
    </row>
    <row r="303" ht="16.5" customHeight="1" s="220">
      <c r="B303" s="216" t="n"/>
      <c r="C303" s="216" t="n"/>
      <c r="D303" s="216" t="n"/>
    </row>
    <row r="304" ht="16.5" customHeight="1" s="220">
      <c r="B304" s="216" t="n"/>
      <c r="C304" s="216" t="n"/>
      <c r="D304" s="216" t="n"/>
    </row>
    <row r="305" ht="16.5" customHeight="1" s="220">
      <c r="B305" s="216" t="n"/>
      <c r="C305" s="216" t="n"/>
      <c r="D305" s="216" t="n"/>
    </row>
    <row r="306" ht="16.5" customHeight="1" s="220">
      <c r="B306" s="216" t="n"/>
      <c r="C306" s="216" t="n"/>
      <c r="D306" s="216" t="n"/>
    </row>
    <row r="307" ht="16.5" customHeight="1" s="220">
      <c r="B307" s="216" t="n"/>
      <c r="C307" s="216" t="n"/>
      <c r="D307" s="216" t="n"/>
    </row>
    <row r="308" ht="16.5" customHeight="1" s="220">
      <c r="B308" s="216" t="n"/>
      <c r="C308" s="216" t="n"/>
      <c r="D308" s="216" t="n"/>
    </row>
    <row r="309" ht="16.5" customHeight="1" s="220">
      <c r="B309" s="216" t="n"/>
      <c r="C309" s="216" t="n"/>
      <c r="D309" s="216" t="n"/>
    </row>
    <row r="310" ht="16.5" customHeight="1" s="220">
      <c r="B310" s="216" t="n"/>
      <c r="C310" s="216" t="n"/>
      <c r="D310" s="216" t="n"/>
    </row>
    <row r="311" ht="16.5" customHeight="1" s="220">
      <c r="B311" s="216" t="n"/>
      <c r="C311" s="216" t="n"/>
      <c r="D311" s="216" t="n"/>
    </row>
    <row r="312" ht="16.5" customHeight="1" s="220">
      <c r="B312" s="216" t="n"/>
      <c r="C312" s="216" t="n"/>
      <c r="D312" s="216" t="n"/>
    </row>
    <row r="313" ht="16.5" customHeight="1" s="220">
      <c r="B313" s="216" t="n"/>
      <c r="C313" s="216" t="n"/>
      <c r="D313" s="216" t="n"/>
    </row>
    <row r="314" ht="16.5" customHeight="1" s="220">
      <c r="B314" s="216" t="n"/>
      <c r="C314" s="216" t="n"/>
      <c r="D314" s="216" t="n"/>
    </row>
    <row r="315" ht="16.5" customHeight="1" s="220">
      <c r="B315" s="216" t="n"/>
      <c r="C315" s="216" t="n"/>
      <c r="D315" s="216" t="n"/>
    </row>
    <row r="316" ht="16.5" customHeight="1" s="220">
      <c r="B316" s="216" t="n"/>
      <c r="C316" s="216" t="n"/>
      <c r="D316" s="216" t="n"/>
    </row>
    <row r="317" ht="16.5" customHeight="1" s="220">
      <c r="B317" s="216" t="n"/>
      <c r="C317" s="216" t="n"/>
      <c r="D317" s="216" t="n"/>
    </row>
    <row r="318" ht="16.5" customHeight="1" s="220">
      <c r="B318" s="216" t="n"/>
      <c r="C318" s="216" t="n"/>
      <c r="D318" s="216" t="n"/>
    </row>
    <row r="319" ht="16.5" customHeight="1" s="220">
      <c r="B319" s="216" t="n"/>
      <c r="C319" s="216" t="n"/>
      <c r="D319" s="216" t="n"/>
    </row>
    <row r="320" ht="16.5" customHeight="1" s="220">
      <c r="B320" s="216" t="n"/>
      <c r="C320" s="216" t="n"/>
      <c r="D320" s="216" t="n"/>
    </row>
    <row r="321" ht="16.5" customHeight="1" s="220">
      <c r="B321" s="216" t="n"/>
      <c r="C321" s="216" t="n"/>
      <c r="D321" s="216" t="n"/>
    </row>
    <row r="322" ht="16.5" customHeight="1" s="220">
      <c r="B322" s="216" t="n"/>
      <c r="C322" s="216" t="n"/>
      <c r="D322" s="216" t="n"/>
    </row>
    <row r="323" ht="16.5" customHeight="1" s="220">
      <c r="B323" s="216" t="n"/>
      <c r="C323" s="216" t="n"/>
      <c r="D323" s="216" t="n"/>
    </row>
    <row r="324" ht="16.5" customHeight="1" s="220">
      <c r="B324" s="216" t="n"/>
      <c r="C324" s="216" t="n"/>
      <c r="D324" s="216" t="n"/>
    </row>
    <row r="325" ht="16.5" customHeight="1" s="220">
      <c r="B325" s="216" t="n"/>
      <c r="C325" s="216" t="n"/>
      <c r="D325" s="216" t="n"/>
    </row>
    <row r="326" ht="16.5" customHeight="1" s="220">
      <c r="B326" s="216" t="n"/>
      <c r="C326" s="216" t="n"/>
      <c r="D326" s="216" t="n"/>
    </row>
    <row r="327" ht="16.5" customHeight="1" s="220">
      <c r="B327" s="216" t="n"/>
      <c r="C327" s="216" t="n"/>
      <c r="D327" s="216" t="n"/>
    </row>
    <row r="328" ht="16.5" customHeight="1" s="220">
      <c r="B328" s="216" t="n"/>
      <c r="C328" s="216" t="n"/>
      <c r="D328" s="216" t="n"/>
    </row>
    <row r="329" ht="16.5" customHeight="1" s="220">
      <c r="B329" s="216" t="n"/>
      <c r="C329" s="216" t="n"/>
      <c r="D329" s="216" t="n"/>
    </row>
    <row r="330" ht="16.5" customHeight="1" s="220">
      <c r="B330" s="216" t="n"/>
      <c r="C330" s="216" t="n"/>
      <c r="D330" s="216" t="n"/>
    </row>
    <row r="331" ht="16.5" customHeight="1" s="220">
      <c r="B331" s="216" t="n"/>
      <c r="C331" s="216" t="n"/>
      <c r="D331" s="216" t="n"/>
    </row>
    <row r="332" ht="16.5" customHeight="1" s="220">
      <c r="B332" s="216" t="n"/>
      <c r="C332" s="216" t="n"/>
      <c r="D332" s="216" t="n"/>
    </row>
    <row r="333" ht="16.5" customHeight="1" s="220">
      <c r="B333" s="216" t="n"/>
      <c r="C333" s="216" t="n"/>
      <c r="D333" s="216" t="n"/>
    </row>
    <row r="334" ht="16.5" customHeight="1" s="220">
      <c r="B334" s="216" t="n"/>
      <c r="C334" s="216" t="n"/>
      <c r="D334" s="216" t="n"/>
    </row>
    <row r="335" ht="16.5" customHeight="1" s="220">
      <c r="B335" s="216" t="n"/>
      <c r="C335" s="216" t="n"/>
      <c r="D335" s="216" t="n"/>
    </row>
    <row r="336" ht="16.5" customHeight="1" s="220">
      <c r="B336" s="216" t="n"/>
      <c r="C336" s="216" t="n"/>
      <c r="D336" s="216" t="n"/>
    </row>
    <row r="337" ht="16.5" customHeight="1" s="220">
      <c r="B337" s="216" t="n"/>
      <c r="C337" s="216" t="n"/>
      <c r="D337" s="216" t="n"/>
    </row>
    <row r="338" ht="16.5" customHeight="1" s="220">
      <c r="B338" s="216" t="n"/>
      <c r="C338" s="216" t="n"/>
      <c r="D338" s="216" t="n"/>
    </row>
    <row r="339" ht="16.5" customHeight="1" s="220">
      <c r="B339" s="216" t="n"/>
      <c r="C339" s="216" t="n"/>
      <c r="D339" s="216" t="n"/>
    </row>
    <row r="340" ht="16.5" customHeight="1" s="220">
      <c r="B340" s="216" t="n"/>
      <c r="C340" s="216" t="n"/>
      <c r="D340" s="216" t="n"/>
    </row>
    <row r="341" ht="16.5" customHeight="1" s="220">
      <c r="B341" s="216" t="n"/>
      <c r="C341" s="216" t="n"/>
      <c r="D341" s="216" t="n"/>
    </row>
    <row r="342" ht="16.5" customHeight="1" s="220">
      <c r="B342" s="216" t="n"/>
      <c r="C342" s="216" t="n"/>
      <c r="D342" s="216" t="n"/>
    </row>
    <row r="343" ht="16.5" customHeight="1" s="220">
      <c r="B343" s="216" t="n"/>
      <c r="C343" s="216" t="n"/>
      <c r="D343" s="216" t="n"/>
    </row>
    <row r="344" ht="16.5" customHeight="1" s="220">
      <c r="B344" s="216" t="n"/>
      <c r="C344" s="216" t="n"/>
      <c r="D344" s="216" t="n"/>
    </row>
    <row r="345" ht="16.5" customHeight="1" s="220">
      <c r="B345" s="216" t="n"/>
      <c r="C345" s="216" t="n"/>
      <c r="D345" s="216" t="n"/>
    </row>
    <row r="346" ht="16.5" customHeight="1" s="220">
      <c r="B346" s="216" t="n"/>
      <c r="C346" s="216" t="n"/>
      <c r="D346" s="216" t="n"/>
    </row>
    <row r="347" ht="16.5" customHeight="1" s="220">
      <c r="B347" s="216" t="n"/>
      <c r="C347" s="216" t="n"/>
      <c r="D347" s="216" t="n"/>
    </row>
    <row r="348" ht="16.5" customHeight="1" s="220">
      <c r="B348" s="216" t="n"/>
      <c r="C348" s="216" t="n"/>
      <c r="D348" s="216" t="n"/>
    </row>
    <row r="349" ht="16.5" customHeight="1" s="220">
      <c r="B349" s="216" t="n"/>
      <c r="C349" s="216" t="n"/>
      <c r="D349" s="216" t="n"/>
    </row>
    <row r="350" ht="16.5" customHeight="1" s="220">
      <c r="B350" s="216" t="n"/>
      <c r="C350" s="216" t="n"/>
      <c r="D350" s="216" t="n"/>
    </row>
    <row r="351" ht="16.5" customHeight="1" s="220">
      <c r="B351" s="216" t="n"/>
      <c r="C351" s="216" t="n"/>
      <c r="D351" s="216" t="n"/>
    </row>
    <row r="352" ht="16.5" customHeight="1" s="220">
      <c r="B352" s="216" t="n"/>
      <c r="C352" s="216" t="n"/>
      <c r="D352" s="216" t="n"/>
    </row>
    <row r="353" ht="16.5" customHeight="1" s="220">
      <c r="B353" s="216" t="n"/>
      <c r="C353" s="216" t="n"/>
      <c r="D353" s="216" t="n"/>
    </row>
    <row r="354" ht="16.5" customHeight="1" s="220">
      <c r="B354" s="216" t="n"/>
      <c r="C354" s="216" t="n"/>
      <c r="D354" s="216" t="n"/>
    </row>
    <row r="355" ht="16.5" customHeight="1" s="220">
      <c r="B355" s="216" t="n"/>
      <c r="C355" s="216" t="n"/>
      <c r="D355" s="216" t="n"/>
    </row>
    <row r="356" ht="16.5" customHeight="1" s="220">
      <c r="B356" s="216" t="n"/>
      <c r="C356" s="216" t="n"/>
      <c r="D356" s="216" t="n"/>
    </row>
    <row r="357" ht="16.5" customHeight="1" s="220">
      <c r="B357" s="216" t="n"/>
      <c r="C357" s="216" t="n"/>
      <c r="D357" s="216" t="n"/>
    </row>
    <row r="358" ht="16.5" customHeight="1" s="220">
      <c r="B358" s="216" t="n"/>
      <c r="C358" s="216" t="n"/>
      <c r="D358" s="216" t="n"/>
    </row>
    <row r="359" ht="16.5" customHeight="1" s="220">
      <c r="B359" s="216" t="n"/>
      <c r="C359" s="216" t="n"/>
      <c r="D359" s="216" t="n"/>
    </row>
    <row r="360" ht="16.5" customHeight="1" s="220">
      <c r="B360" s="216" t="n"/>
      <c r="C360" s="216" t="n"/>
      <c r="D360" s="216" t="n"/>
    </row>
    <row r="361" ht="16.5" customHeight="1" s="220">
      <c r="B361" s="216" t="n"/>
      <c r="C361" s="216" t="n"/>
      <c r="D361" s="216" t="n"/>
    </row>
    <row r="362" ht="16.5" customHeight="1" s="220">
      <c r="B362" s="216" t="n"/>
      <c r="C362" s="216" t="n"/>
      <c r="D362" s="216" t="n"/>
    </row>
    <row r="363" ht="16.5" customHeight="1" s="220">
      <c r="B363" s="216" t="n"/>
      <c r="C363" s="216" t="n"/>
      <c r="D363" s="216" t="n"/>
    </row>
    <row r="364" ht="16.5" customHeight="1" s="220">
      <c r="B364" s="216" t="n"/>
      <c r="C364" s="216" t="n"/>
      <c r="D364" s="216" t="n"/>
    </row>
    <row r="365" ht="16.5" customHeight="1" s="220">
      <c r="B365" s="216" t="n"/>
      <c r="C365" s="216" t="n"/>
      <c r="D365" s="216" t="n"/>
    </row>
    <row r="366" ht="16.5" customHeight="1" s="220">
      <c r="B366" s="216" t="n"/>
      <c r="C366" s="216" t="n"/>
      <c r="D366" s="216" t="n"/>
    </row>
    <row r="367" ht="16.5" customHeight="1" s="220">
      <c r="B367" s="216" t="n"/>
      <c r="C367" s="216" t="n"/>
      <c r="D367" s="216" t="n"/>
    </row>
    <row r="368" ht="16.5" customHeight="1" s="220">
      <c r="B368" s="216" t="n"/>
      <c r="C368" s="216" t="n"/>
      <c r="D368" s="216" t="n"/>
    </row>
    <row r="369" ht="16.5" customHeight="1" s="220">
      <c r="B369" s="216" t="n"/>
      <c r="C369" s="216" t="n"/>
      <c r="D369" s="216" t="n"/>
    </row>
    <row r="370" ht="16.5" customHeight="1" s="220">
      <c r="B370" s="216" t="n"/>
      <c r="C370" s="216" t="n"/>
      <c r="D370" s="216" t="n"/>
    </row>
    <row r="371" ht="16.5" customHeight="1" s="220">
      <c r="B371" s="216" t="n"/>
      <c r="C371" s="216" t="n"/>
      <c r="D371" s="216" t="n"/>
    </row>
    <row r="372" ht="16.5" customHeight="1" s="220">
      <c r="B372" s="216" t="n"/>
      <c r="C372" s="216" t="n"/>
      <c r="D372" s="216" t="n"/>
    </row>
    <row r="373" ht="16.5" customHeight="1" s="220">
      <c r="B373" s="216" t="n"/>
      <c r="C373" s="216" t="n"/>
      <c r="D373" s="216" t="n"/>
    </row>
    <row r="374" ht="16.5" customHeight="1" s="220">
      <c r="B374" s="216" t="n"/>
      <c r="C374" s="216" t="n"/>
      <c r="D374" s="216" t="n"/>
    </row>
    <row r="375" ht="16.5" customHeight="1" s="220">
      <c r="B375" s="216" t="n"/>
      <c r="C375" s="216" t="n"/>
      <c r="D375" s="216" t="n"/>
    </row>
    <row r="376" ht="16.5" customHeight="1" s="220">
      <c r="B376" s="216" t="n"/>
      <c r="C376" s="216" t="n"/>
      <c r="D376" s="216" t="n"/>
    </row>
    <row r="377" ht="16.5" customHeight="1" s="220">
      <c r="B377" s="216" t="n"/>
      <c r="C377" s="216" t="n"/>
      <c r="D377" s="216" t="n"/>
    </row>
    <row r="378" ht="16.5" customHeight="1" s="220">
      <c r="B378" s="216" t="n"/>
      <c r="C378" s="216" t="n"/>
      <c r="D378" s="216" t="n"/>
    </row>
    <row r="379" ht="16.5" customHeight="1" s="220">
      <c r="B379" s="216" t="n"/>
      <c r="C379" s="216" t="n"/>
      <c r="D379" s="216" t="n"/>
    </row>
    <row r="380" ht="16.5" customHeight="1" s="220">
      <c r="B380" s="216" t="n"/>
      <c r="C380" s="216" t="n"/>
      <c r="D380" s="216" t="n"/>
    </row>
    <row r="381" ht="16.5" customHeight="1" s="220">
      <c r="B381" s="216" t="n"/>
      <c r="C381" s="216" t="n"/>
      <c r="D381" s="216" t="n"/>
    </row>
    <row r="382" ht="16.5" customHeight="1" s="220">
      <c r="B382" s="216" t="n"/>
      <c r="C382" s="216" t="n"/>
      <c r="D382" s="216" t="n"/>
    </row>
    <row r="383" ht="16.5" customHeight="1" s="220">
      <c r="B383" s="216" t="n"/>
      <c r="C383" s="216" t="n"/>
      <c r="D383" s="216" t="n"/>
    </row>
    <row r="384" ht="16.5" customHeight="1" s="220">
      <c r="B384" s="216" t="n"/>
      <c r="C384" s="216" t="n"/>
      <c r="D384" s="216" t="n"/>
    </row>
    <row r="385" ht="16.5" customHeight="1" s="220">
      <c r="B385" s="216" t="n"/>
      <c r="C385" s="216" t="n"/>
      <c r="D385" s="216" t="n"/>
    </row>
    <row r="386" ht="16.5" customHeight="1" s="220">
      <c r="B386" s="216" t="n"/>
      <c r="C386" s="216" t="n"/>
      <c r="D386" s="216" t="n"/>
    </row>
    <row r="387" ht="16.5" customHeight="1" s="220">
      <c r="B387" s="216" t="n"/>
      <c r="C387" s="216" t="n"/>
      <c r="D387" s="216" t="n"/>
    </row>
    <row r="388" ht="16.5" customHeight="1" s="220">
      <c r="B388" s="216" t="n"/>
      <c r="C388" s="216" t="n"/>
      <c r="D388" s="216" t="n"/>
    </row>
    <row r="389" ht="16.5" customHeight="1" s="220">
      <c r="B389" s="216" t="n"/>
      <c r="C389" s="216" t="n"/>
      <c r="D389" s="216" t="n"/>
    </row>
    <row r="390" ht="16.5" customHeight="1" s="220">
      <c r="B390" s="216" t="n"/>
      <c r="C390" s="216" t="n"/>
      <c r="D390" s="216" t="n"/>
    </row>
    <row r="391" ht="16.5" customHeight="1" s="220">
      <c r="B391" s="216" t="n"/>
      <c r="C391" s="216" t="n"/>
      <c r="D391" s="216" t="n"/>
    </row>
    <row r="392" ht="16.5" customHeight="1" s="220">
      <c r="B392" s="216" t="n"/>
      <c r="C392" s="216" t="n"/>
      <c r="D392" s="216" t="n"/>
    </row>
    <row r="393" ht="16.5" customHeight="1" s="220">
      <c r="B393" s="216" t="n"/>
      <c r="C393" s="216" t="n"/>
      <c r="D393" s="216" t="n"/>
    </row>
    <row r="394" ht="16.5" customHeight="1" s="220">
      <c r="B394" s="216" t="n"/>
      <c r="C394" s="216" t="n"/>
      <c r="D394" s="216" t="n"/>
    </row>
    <row r="395" ht="16.5" customHeight="1" s="220">
      <c r="B395" s="216" t="n"/>
      <c r="C395" s="216" t="n"/>
      <c r="D395" s="216" t="n"/>
    </row>
    <row r="396" ht="16.5" customHeight="1" s="220">
      <c r="B396" s="216" t="n"/>
      <c r="C396" s="216" t="n"/>
      <c r="D396" s="216" t="n"/>
    </row>
    <row r="397" ht="16.5" customHeight="1" s="220">
      <c r="B397" s="216" t="n"/>
      <c r="C397" s="216" t="n"/>
      <c r="D397" s="216" t="n"/>
    </row>
    <row r="398" ht="16.5" customHeight="1" s="220">
      <c r="B398" s="216" t="n"/>
      <c r="C398" s="216" t="n"/>
      <c r="D398" s="216" t="n"/>
    </row>
    <row r="399" ht="16.5" customHeight="1" s="220">
      <c r="B399" s="216" t="n"/>
      <c r="C399" s="216" t="n"/>
      <c r="D399" s="216" t="n"/>
    </row>
    <row r="400" ht="16.5" customHeight="1" s="220">
      <c r="B400" s="216" t="n"/>
      <c r="C400" s="216" t="n"/>
      <c r="D400" s="216" t="n"/>
    </row>
    <row r="401" ht="16.5" customHeight="1" s="220">
      <c r="B401" s="216" t="n"/>
      <c r="C401" s="216" t="n"/>
      <c r="D401" s="216" t="n"/>
    </row>
    <row r="402" ht="16.5" customHeight="1" s="220">
      <c r="B402" s="216" t="n"/>
      <c r="C402" s="216" t="n"/>
      <c r="D402" s="216" t="n"/>
    </row>
    <row r="403" ht="16.5" customHeight="1" s="220">
      <c r="B403" s="216" t="n"/>
      <c r="C403" s="216" t="n"/>
      <c r="D403" s="216" t="n"/>
    </row>
    <row r="404" ht="16.5" customHeight="1" s="220">
      <c r="B404" s="216" t="n"/>
      <c r="C404" s="216" t="n"/>
      <c r="D404" s="216" t="n"/>
    </row>
    <row r="405" ht="16.5" customHeight="1" s="220">
      <c r="B405" s="216" t="n"/>
      <c r="C405" s="216" t="n"/>
      <c r="D405" s="216" t="n"/>
    </row>
    <row r="406" ht="16.5" customHeight="1" s="220">
      <c r="B406" s="216" t="n"/>
      <c r="C406" s="216" t="n"/>
      <c r="D406" s="216" t="n"/>
    </row>
    <row r="407" ht="16.5" customHeight="1" s="220">
      <c r="B407" s="216" t="n"/>
      <c r="C407" s="216" t="n"/>
      <c r="D407" s="216" t="n"/>
    </row>
    <row r="408" ht="16.5" customHeight="1" s="220">
      <c r="B408" s="216" t="n"/>
      <c r="C408" s="216" t="n"/>
      <c r="D408" s="216" t="n"/>
    </row>
    <row r="409" ht="16.5" customHeight="1" s="220">
      <c r="B409" s="216" t="n"/>
      <c r="C409" s="216" t="n"/>
      <c r="D409" s="216" t="n"/>
    </row>
    <row r="410" ht="16.5" customHeight="1" s="220">
      <c r="B410" s="216" t="n"/>
      <c r="C410" s="216" t="n"/>
      <c r="D410" s="216" t="n"/>
    </row>
    <row r="411" ht="16.5" customHeight="1" s="220">
      <c r="B411" s="216" t="n"/>
      <c r="C411" s="216" t="n"/>
      <c r="D411" s="216" t="n"/>
    </row>
    <row r="412" ht="16.5" customHeight="1" s="220">
      <c r="B412" s="216" t="n"/>
      <c r="C412" s="216" t="n"/>
      <c r="D412" s="216" t="n"/>
    </row>
    <row r="413" ht="16.5" customHeight="1" s="220">
      <c r="B413" s="216" t="n"/>
      <c r="C413" s="216" t="n"/>
      <c r="D413" s="216" t="n"/>
    </row>
    <row r="414" ht="16.5" customHeight="1" s="220">
      <c r="B414" s="216" t="n"/>
      <c r="C414" s="216" t="n"/>
      <c r="D414" s="216" t="n"/>
    </row>
    <row r="415" ht="16.5" customHeight="1" s="220">
      <c r="B415" s="216" t="n"/>
      <c r="C415" s="216" t="n"/>
      <c r="D415" s="216" t="n"/>
    </row>
    <row r="416" ht="16.5" customHeight="1" s="220">
      <c r="B416" s="216" t="n"/>
      <c r="C416" s="216" t="n"/>
      <c r="D416" s="216" t="n"/>
    </row>
    <row r="417" ht="16.5" customHeight="1" s="220">
      <c r="B417" s="216" t="n"/>
      <c r="C417" s="216" t="n"/>
      <c r="D417" s="216" t="n"/>
    </row>
    <row r="418" ht="16.5" customHeight="1" s="220">
      <c r="B418" s="216" t="n"/>
      <c r="C418" s="216" t="n"/>
      <c r="D418" s="216" t="n"/>
    </row>
    <row r="419" ht="16.5" customHeight="1" s="220">
      <c r="B419" s="216" t="n"/>
      <c r="C419" s="216" t="n"/>
      <c r="D419" s="216" t="n"/>
    </row>
    <row r="420" ht="16.5" customHeight="1" s="220">
      <c r="B420" s="216" t="n"/>
      <c r="C420" s="216" t="n"/>
      <c r="D420" s="216" t="n"/>
    </row>
    <row r="421" ht="16.5" customHeight="1" s="220">
      <c r="B421" s="216" t="n"/>
      <c r="C421" s="216" t="n"/>
      <c r="D421" s="216" t="n"/>
    </row>
    <row r="422" ht="16.5" customHeight="1" s="220">
      <c r="B422" s="216" t="n"/>
      <c r="C422" s="216" t="n"/>
      <c r="D422" s="216" t="n"/>
    </row>
    <row r="423" ht="16.5" customHeight="1" s="220">
      <c r="B423" s="216" t="n"/>
      <c r="C423" s="216" t="n"/>
      <c r="D423" s="216" t="n"/>
    </row>
    <row r="424" ht="16.5" customHeight="1" s="220">
      <c r="B424" s="216" t="n"/>
      <c r="C424" s="216" t="n"/>
      <c r="D424" s="216" t="n"/>
    </row>
    <row r="425" ht="16.5" customHeight="1" s="220">
      <c r="B425" s="216" t="n"/>
      <c r="C425" s="216" t="n"/>
      <c r="D425" s="216" t="n"/>
    </row>
    <row r="426" ht="16.5" customHeight="1" s="220">
      <c r="B426" s="216" t="n"/>
      <c r="C426" s="216" t="n"/>
      <c r="D426" s="216" t="n"/>
    </row>
    <row r="427" ht="16.5" customHeight="1" s="220">
      <c r="B427" s="216" t="n"/>
      <c r="C427" s="216" t="n"/>
      <c r="D427" s="216" t="n"/>
    </row>
    <row r="428" ht="16.5" customHeight="1" s="220">
      <c r="B428" s="216" t="n"/>
      <c r="C428" s="216" t="n"/>
      <c r="D428" s="216" t="n"/>
    </row>
    <row r="429" ht="16.5" customHeight="1" s="220">
      <c r="B429" s="216" t="n"/>
      <c r="C429" s="216" t="n"/>
      <c r="D429" s="216" t="n"/>
    </row>
    <row r="430" ht="16.5" customHeight="1" s="220">
      <c r="B430" s="216" t="n"/>
      <c r="C430" s="216" t="n"/>
      <c r="D430" s="216" t="n"/>
    </row>
    <row r="431" ht="16.5" customHeight="1" s="220">
      <c r="B431" s="216" t="n"/>
      <c r="C431" s="216" t="n"/>
      <c r="D431" s="216" t="n"/>
    </row>
    <row r="432" ht="16.5" customHeight="1" s="220">
      <c r="B432" s="216" t="n"/>
      <c r="C432" s="216" t="n"/>
      <c r="D432" s="216" t="n"/>
    </row>
    <row r="433" ht="16.5" customHeight="1" s="220">
      <c r="B433" s="216" t="n"/>
      <c r="C433" s="216" t="n"/>
      <c r="D433" s="216" t="n"/>
    </row>
    <row r="434" ht="16.5" customHeight="1" s="220">
      <c r="B434" s="216" t="n"/>
      <c r="C434" s="216" t="n"/>
      <c r="D434" s="216" t="n"/>
    </row>
    <row r="435" ht="16.5" customHeight="1" s="220">
      <c r="B435" s="216" t="n"/>
      <c r="C435" s="216" t="n"/>
      <c r="D435" s="216" t="n"/>
    </row>
    <row r="436" ht="16.5" customHeight="1" s="220">
      <c r="B436" s="216" t="n"/>
      <c r="C436" s="216" t="n"/>
      <c r="D436" s="216" t="n"/>
    </row>
    <row r="437" ht="16.5" customHeight="1" s="220">
      <c r="B437" s="216" t="n"/>
      <c r="C437" s="216" t="n"/>
      <c r="D437" s="216" t="n"/>
    </row>
    <row r="438" ht="16.5" customHeight="1" s="220">
      <c r="B438" s="216" t="n"/>
      <c r="C438" s="216" t="n"/>
      <c r="D438" s="216" t="n"/>
    </row>
    <row r="439" ht="16.5" customHeight="1" s="220">
      <c r="B439" s="216" t="n"/>
      <c r="C439" s="216" t="n"/>
      <c r="D439" s="216" t="n"/>
    </row>
    <row r="440" ht="16.5" customHeight="1" s="220">
      <c r="B440" s="216" t="n"/>
      <c r="C440" s="216" t="n"/>
      <c r="D440" s="216" t="n"/>
    </row>
    <row r="441" ht="16.5" customHeight="1" s="220">
      <c r="B441" s="216" t="n"/>
      <c r="C441" s="216" t="n"/>
      <c r="D441" s="216" t="n"/>
    </row>
    <row r="442" ht="16.5" customHeight="1" s="220">
      <c r="B442" s="216" t="n"/>
      <c r="C442" s="216" t="n"/>
      <c r="D442" s="216" t="n"/>
    </row>
    <row r="443" ht="16.5" customHeight="1" s="220">
      <c r="B443" s="216" t="n"/>
      <c r="C443" s="216" t="n"/>
      <c r="D443" s="216" t="n"/>
    </row>
    <row r="444" ht="16.5" customHeight="1" s="220">
      <c r="B444" s="216" t="n"/>
      <c r="C444" s="216" t="n"/>
      <c r="D444" s="216" t="n"/>
    </row>
    <row r="445" ht="16.5" customHeight="1" s="220">
      <c r="B445" s="216" t="n"/>
      <c r="C445" s="216" t="n"/>
      <c r="D445" s="216" t="n"/>
    </row>
    <row r="446" ht="16.5" customHeight="1" s="220">
      <c r="B446" s="216" t="n"/>
      <c r="C446" s="216" t="n"/>
      <c r="D446" s="216" t="n"/>
    </row>
    <row r="447" ht="16.5" customHeight="1" s="220">
      <c r="B447" s="216" t="n"/>
      <c r="C447" s="216" t="n"/>
      <c r="D447" s="216" t="n"/>
    </row>
    <row r="448" ht="16.5" customHeight="1" s="220">
      <c r="B448" s="216" t="n"/>
      <c r="C448" s="216" t="n"/>
      <c r="D448" s="216" t="n"/>
    </row>
    <row r="449" ht="16.5" customHeight="1" s="220">
      <c r="B449" s="216" t="n"/>
      <c r="C449" s="216" t="n"/>
      <c r="D449" s="216" t="n"/>
    </row>
    <row r="450" ht="16.5" customHeight="1" s="220">
      <c r="B450" s="216" t="n"/>
      <c r="C450" s="216" t="n"/>
      <c r="D450" s="216" t="n"/>
    </row>
    <row r="451" ht="16.5" customHeight="1" s="220">
      <c r="B451" s="216" t="n"/>
      <c r="C451" s="216" t="n"/>
      <c r="D451" s="216" t="n"/>
    </row>
    <row r="452" ht="16.5" customHeight="1" s="220">
      <c r="B452" s="216" t="n"/>
      <c r="C452" s="216" t="n"/>
      <c r="D452" s="216" t="n"/>
    </row>
    <row r="453" ht="16.5" customHeight="1" s="220">
      <c r="B453" s="216" t="n"/>
      <c r="C453" s="216" t="n"/>
      <c r="D453" s="216" t="n"/>
    </row>
    <row r="454" ht="16.5" customHeight="1" s="220">
      <c r="B454" s="216" t="n"/>
      <c r="C454" s="216" t="n"/>
      <c r="D454" s="216" t="n"/>
    </row>
    <row r="455" ht="16.5" customHeight="1" s="220">
      <c r="B455" s="216" t="n"/>
      <c r="C455" s="216" t="n"/>
      <c r="D455" s="216" t="n"/>
    </row>
    <row r="456" ht="16.5" customHeight="1" s="220">
      <c r="B456" s="216" t="n"/>
      <c r="C456" s="216" t="n"/>
      <c r="D456" s="216" t="n"/>
    </row>
    <row r="457" ht="16.5" customHeight="1" s="220">
      <c r="B457" s="216" t="n"/>
      <c r="C457" s="216" t="n"/>
      <c r="D457" s="216" t="n"/>
    </row>
    <row r="458" ht="16.5" customHeight="1" s="220">
      <c r="B458" s="216" t="n"/>
      <c r="C458" s="216" t="n"/>
      <c r="D458" s="216" t="n"/>
    </row>
    <row r="459" ht="16.5" customHeight="1" s="220">
      <c r="B459" s="216" t="n"/>
      <c r="C459" s="216" t="n"/>
      <c r="D459" s="216" t="n"/>
    </row>
    <row r="460" ht="16.5" customHeight="1" s="220">
      <c r="B460" s="216" t="n"/>
      <c r="C460" s="216" t="n"/>
      <c r="D460" s="216" t="n"/>
    </row>
    <row r="461" ht="16.5" customHeight="1" s="220">
      <c r="B461" s="216" t="n"/>
      <c r="C461" s="216" t="n"/>
      <c r="D461" s="216" t="n"/>
    </row>
    <row r="462" ht="16.5" customHeight="1" s="220">
      <c r="B462" s="216" t="n"/>
      <c r="C462" s="216" t="n"/>
      <c r="D462" s="216" t="n"/>
    </row>
    <row r="463" ht="16.5" customHeight="1" s="220">
      <c r="B463" s="216" t="n"/>
      <c r="C463" s="216" t="n"/>
      <c r="D463" s="216" t="n"/>
    </row>
    <row r="464" ht="16.5" customHeight="1" s="220">
      <c r="B464" s="216" t="n"/>
      <c r="C464" s="216" t="n"/>
      <c r="D464" s="216" t="n"/>
    </row>
    <row r="465" ht="16.5" customHeight="1" s="220">
      <c r="B465" s="216" t="n"/>
      <c r="C465" s="216" t="n"/>
      <c r="D465" s="216" t="n"/>
    </row>
    <row r="466" ht="16.5" customHeight="1" s="220">
      <c r="B466" s="216" t="n"/>
      <c r="C466" s="216" t="n"/>
      <c r="D466" s="216" t="n"/>
    </row>
    <row r="467" ht="16.5" customHeight="1" s="220">
      <c r="B467" s="216" t="n"/>
      <c r="C467" s="216" t="n"/>
      <c r="D467" s="216" t="n"/>
    </row>
    <row r="468" ht="16.5" customHeight="1" s="220">
      <c r="B468" s="216" t="n"/>
      <c r="C468" s="216" t="n"/>
      <c r="D468" s="216" t="n"/>
    </row>
    <row r="469" ht="16.5" customHeight="1" s="220">
      <c r="B469" s="216" t="n"/>
      <c r="C469" s="216" t="n"/>
      <c r="D469" s="216" t="n"/>
    </row>
    <row r="470" ht="16.5" customHeight="1" s="220">
      <c r="B470" s="216" t="n"/>
      <c r="C470" s="216" t="n"/>
      <c r="D470" s="216" t="n"/>
    </row>
    <row r="471" ht="16.5" customHeight="1" s="220">
      <c r="B471" s="216" t="n"/>
      <c r="C471" s="216" t="n"/>
      <c r="D471" s="216" t="n"/>
    </row>
    <row r="472" ht="16.5" customHeight="1" s="220">
      <c r="B472" s="216" t="n"/>
      <c r="C472" s="216" t="n"/>
      <c r="D472" s="216" t="n"/>
    </row>
    <row r="473" ht="16.5" customHeight="1" s="220">
      <c r="B473" s="216" t="n"/>
      <c r="C473" s="216" t="n"/>
      <c r="D473" s="216" t="n"/>
    </row>
    <row r="474" ht="16.5" customHeight="1" s="220">
      <c r="B474" s="216" t="n"/>
      <c r="C474" s="216" t="n"/>
      <c r="D474" s="216" t="n"/>
    </row>
    <row r="475" ht="16.5" customHeight="1" s="220">
      <c r="B475" s="216" t="n"/>
      <c r="C475" s="216" t="n"/>
      <c r="D475" s="216" t="n"/>
    </row>
    <row r="476" ht="16.5" customHeight="1" s="220">
      <c r="B476" s="216" t="n"/>
      <c r="C476" s="216" t="n"/>
      <c r="D476" s="216" t="n"/>
    </row>
    <row r="477" ht="16.5" customHeight="1" s="220">
      <c r="B477" s="216" t="n"/>
      <c r="C477" s="216" t="n"/>
      <c r="D477" s="216" t="n"/>
    </row>
    <row r="478" ht="16.5" customHeight="1" s="220">
      <c r="B478" s="216" t="n"/>
      <c r="C478" s="216" t="n"/>
      <c r="D478" s="216" t="n"/>
    </row>
    <row r="479" ht="16.5" customHeight="1" s="220">
      <c r="B479" s="216" t="n"/>
      <c r="C479" s="216" t="n"/>
      <c r="D479" s="216" t="n"/>
    </row>
    <row r="480" ht="16.5" customHeight="1" s="220">
      <c r="B480" s="216" t="n"/>
      <c r="C480" s="216" t="n"/>
      <c r="D480" s="216" t="n"/>
    </row>
    <row r="481" ht="16.5" customHeight="1" s="220">
      <c r="B481" s="216" t="n"/>
      <c r="C481" s="216" t="n"/>
      <c r="D481" s="216" t="n"/>
    </row>
    <row r="482" ht="16.5" customHeight="1" s="220">
      <c r="B482" s="216" t="n"/>
      <c r="C482" s="216" t="n"/>
      <c r="D482" s="216" t="n"/>
    </row>
    <row r="483" ht="16.5" customHeight="1" s="220">
      <c r="B483" s="216" t="n"/>
      <c r="C483" s="216" t="n"/>
      <c r="D483" s="216" t="n"/>
    </row>
    <row r="484" ht="16.5" customHeight="1" s="220">
      <c r="B484" s="216" t="n"/>
      <c r="C484" s="216" t="n"/>
      <c r="D484" s="216" t="n"/>
    </row>
    <row r="485" ht="16.5" customHeight="1" s="220">
      <c r="B485" s="216" t="n"/>
      <c r="C485" s="216" t="n"/>
      <c r="D485" s="216" t="n"/>
    </row>
    <row r="486" ht="16.5" customHeight="1" s="220">
      <c r="B486" s="216" t="n"/>
      <c r="C486" s="216" t="n"/>
      <c r="D486" s="216" t="n"/>
    </row>
    <row r="487" ht="16.5" customHeight="1" s="220">
      <c r="B487" s="216" t="n"/>
      <c r="C487" s="216" t="n"/>
      <c r="D487" s="216" t="n"/>
    </row>
    <row r="488" ht="16.5" customHeight="1" s="220">
      <c r="B488" s="216" t="n"/>
      <c r="C488" s="216" t="n"/>
      <c r="D488" s="216" t="n"/>
    </row>
    <row r="489" ht="16.5" customHeight="1" s="220">
      <c r="B489" s="216" t="n"/>
      <c r="C489" s="216" t="n"/>
      <c r="D489" s="216" t="n"/>
    </row>
    <row r="490" ht="16.5" customHeight="1" s="220">
      <c r="B490" s="216" t="n"/>
      <c r="C490" s="216" t="n"/>
      <c r="D490" s="216" t="n"/>
    </row>
    <row r="491" ht="16.5" customHeight="1" s="220">
      <c r="B491" s="216" t="n"/>
      <c r="C491" s="216" t="n"/>
      <c r="D491" s="216" t="n"/>
    </row>
    <row r="492" ht="16.5" customHeight="1" s="220">
      <c r="B492" s="216" t="n"/>
      <c r="C492" s="216" t="n"/>
      <c r="D492" s="216" t="n"/>
    </row>
    <row r="493" ht="16.5" customHeight="1" s="220">
      <c r="B493" s="216" t="n"/>
      <c r="C493" s="216" t="n"/>
      <c r="D493" s="216" t="n"/>
    </row>
    <row r="494" ht="16.5" customHeight="1" s="220">
      <c r="B494" s="216" t="n"/>
      <c r="C494" s="216" t="n"/>
      <c r="D494" s="216" t="n"/>
    </row>
    <row r="495" ht="16.5" customHeight="1" s="220">
      <c r="B495" s="216" t="n"/>
      <c r="C495" s="216" t="n"/>
      <c r="D495" s="216" t="n"/>
    </row>
    <row r="496" ht="16.5" customHeight="1" s="220">
      <c r="B496" s="216" t="n"/>
      <c r="C496" s="216" t="n"/>
      <c r="D496" s="216" t="n"/>
    </row>
    <row r="497" ht="16.5" customHeight="1" s="220">
      <c r="B497" s="216" t="n"/>
      <c r="C497" s="216" t="n"/>
      <c r="D497" s="216" t="n"/>
    </row>
    <row r="498" ht="16.5" customHeight="1" s="220">
      <c r="B498" s="216" t="n"/>
      <c r="C498" s="216" t="n"/>
      <c r="D498" s="216" t="n"/>
    </row>
    <row r="499" ht="16.5" customHeight="1" s="220">
      <c r="B499" s="216" t="n"/>
      <c r="C499" s="216" t="n"/>
      <c r="D499" s="216" t="n"/>
    </row>
    <row r="500" ht="16.5" customHeight="1" s="220">
      <c r="B500" s="216" t="n"/>
      <c r="C500" s="216" t="n"/>
      <c r="D500" s="216" t="n"/>
    </row>
    <row r="501" ht="16.5" customHeight="1" s="220">
      <c r="B501" s="216" t="n"/>
      <c r="C501" s="216" t="n"/>
      <c r="D501" s="216" t="n"/>
    </row>
    <row r="502" ht="16.5" customHeight="1" s="220">
      <c r="B502" s="216" t="n"/>
      <c r="C502" s="216" t="n"/>
      <c r="D502" s="216" t="n"/>
    </row>
    <row r="503" ht="16.5" customHeight="1" s="220">
      <c r="B503" s="216" t="n"/>
      <c r="C503" s="216" t="n"/>
      <c r="D503" s="216" t="n"/>
    </row>
    <row r="504" ht="16.5" customHeight="1" s="220">
      <c r="B504" s="216" t="n"/>
      <c r="C504" s="216" t="n"/>
      <c r="D504" s="216" t="n"/>
    </row>
    <row r="505" ht="16.5" customHeight="1" s="220">
      <c r="B505" s="216" t="n"/>
      <c r="C505" s="216" t="n"/>
      <c r="D505" s="216" t="n"/>
    </row>
    <row r="506" ht="16.5" customHeight="1" s="220">
      <c r="B506" s="216" t="n"/>
      <c r="C506" s="216" t="n"/>
      <c r="D506" s="216" t="n"/>
    </row>
    <row r="507" ht="16.5" customHeight="1" s="220">
      <c r="B507" s="216" t="n"/>
      <c r="C507" s="216" t="n"/>
      <c r="D507" s="216" t="n"/>
    </row>
    <row r="508" ht="16.5" customHeight="1" s="220">
      <c r="B508" s="216" t="n"/>
      <c r="C508" s="216" t="n"/>
      <c r="D508" s="216" t="n"/>
    </row>
    <row r="509" ht="16.5" customHeight="1" s="220">
      <c r="B509" s="216" t="n"/>
      <c r="C509" s="216" t="n"/>
      <c r="D509" s="216" t="n"/>
    </row>
    <row r="510" ht="16.5" customHeight="1" s="220">
      <c r="B510" s="216" t="n"/>
      <c r="C510" s="216" t="n"/>
      <c r="D510" s="216" t="n"/>
    </row>
    <row r="511" ht="16.5" customHeight="1" s="220">
      <c r="B511" s="216" t="n"/>
      <c r="C511" s="216" t="n"/>
      <c r="D511" s="216" t="n"/>
    </row>
    <row r="512" ht="16.5" customHeight="1" s="220">
      <c r="B512" s="216" t="n"/>
      <c r="C512" s="216" t="n"/>
      <c r="D512" s="216" t="n"/>
    </row>
    <row r="513" ht="16.5" customHeight="1" s="220">
      <c r="B513" s="216" t="n"/>
      <c r="C513" s="216" t="n"/>
      <c r="D513" s="216" t="n"/>
    </row>
    <row r="514" ht="16.5" customHeight="1" s="220">
      <c r="B514" s="216" t="n"/>
      <c r="C514" s="216" t="n"/>
      <c r="D514" s="216" t="n"/>
    </row>
    <row r="515" ht="16.5" customHeight="1" s="220">
      <c r="B515" s="216" t="n"/>
      <c r="C515" s="216" t="n"/>
      <c r="D515" s="216" t="n"/>
    </row>
    <row r="516" ht="16.5" customHeight="1" s="220">
      <c r="B516" s="216" t="n"/>
      <c r="C516" s="216" t="n"/>
      <c r="D516" s="216" t="n"/>
    </row>
    <row r="517" ht="16.5" customHeight="1" s="220">
      <c r="B517" s="216" t="n"/>
      <c r="C517" s="216" t="n"/>
      <c r="D517" s="216" t="n"/>
    </row>
    <row r="518" ht="16.5" customHeight="1" s="220">
      <c r="B518" s="216" t="n"/>
      <c r="C518" s="216" t="n"/>
      <c r="D518" s="216" t="n"/>
    </row>
    <row r="519" ht="16.5" customHeight="1" s="220">
      <c r="B519" s="216" t="n"/>
      <c r="C519" s="216" t="n"/>
      <c r="D519" s="216" t="n"/>
    </row>
    <row r="520" ht="16.5" customHeight="1" s="220">
      <c r="B520" s="216" t="n"/>
      <c r="C520" s="216" t="n"/>
      <c r="D520" s="216" t="n"/>
    </row>
    <row r="521" ht="16.5" customHeight="1" s="220">
      <c r="B521" s="216" t="n"/>
      <c r="C521" s="216" t="n"/>
      <c r="D521" s="216" t="n"/>
    </row>
    <row r="522" ht="16.5" customHeight="1" s="220">
      <c r="B522" s="216" t="n"/>
      <c r="C522" s="216" t="n"/>
      <c r="D522" s="216" t="n"/>
    </row>
    <row r="523" ht="16.5" customHeight="1" s="220">
      <c r="B523" s="216" t="n"/>
      <c r="C523" s="216" t="n"/>
      <c r="D523" s="216" t="n"/>
    </row>
    <row r="524" ht="16.5" customHeight="1" s="220">
      <c r="B524" s="216" t="n"/>
      <c r="C524" s="216" t="n"/>
      <c r="D524" s="216" t="n"/>
    </row>
    <row r="525" ht="16.5" customHeight="1" s="220">
      <c r="B525" s="216" t="n"/>
      <c r="C525" s="216" t="n"/>
      <c r="D525" s="216" t="n"/>
    </row>
    <row r="526" ht="16.5" customHeight="1" s="220">
      <c r="B526" s="216" t="n"/>
      <c r="C526" s="216" t="n"/>
      <c r="D526" s="216" t="n"/>
    </row>
    <row r="527" ht="16.5" customHeight="1" s="220">
      <c r="B527" s="216" t="n"/>
      <c r="C527" s="216" t="n"/>
      <c r="D527" s="216" t="n"/>
    </row>
    <row r="528" ht="16.5" customHeight="1" s="220">
      <c r="B528" s="216" t="n"/>
      <c r="C528" s="216" t="n"/>
      <c r="D528" s="216" t="n"/>
    </row>
    <row r="529" ht="16.5" customHeight="1" s="220">
      <c r="B529" s="216" t="n"/>
      <c r="C529" s="216" t="n"/>
      <c r="D529" s="216" t="n"/>
    </row>
    <row r="530" ht="16.5" customHeight="1" s="220">
      <c r="B530" s="216" t="n"/>
      <c r="C530" s="216" t="n"/>
      <c r="D530" s="216" t="n"/>
    </row>
    <row r="531" ht="16.5" customHeight="1" s="220">
      <c r="B531" s="216" t="n"/>
      <c r="C531" s="216" t="n"/>
      <c r="D531" s="216" t="n"/>
    </row>
    <row r="532" ht="16.5" customHeight="1" s="220">
      <c r="B532" s="216" t="n"/>
      <c r="C532" s="216" t="n"/>
      <c r="D532" s="216" t="n"/>
    </row>
    <row r="533" ht="16.5" customHeight="1" s="220">
      <c r="B533" s="216" t="n"/>
      <c r="C533" s="216" t="n"/>
      <c r="D533" s="216" t="n"/>
    </row>
    <row r="534" ht="16.5" customHeight="1" s="220">
      <c r="B534" s="216" t="n"/>
      <c r="C534" s="216" t="n"/>
      <c r="D534" s="216" t="n"/>
    </row>
    <row r="535" ht="16.5" customHeight="1" s="220">
      <c r="B535" s="216" t="n"/>
      <c r="C535" s="216" t="n"/>
      <c r="D535" s="216" t="n"/>
    </row>
    <row r="536" ht="16.5" customHeight="1" s="220">
      <c r="B536" s="216" t="n"/>
      <c r="C536" s="216" t="n"/>
      <c r="D536" s="216" t="n"/>
    </row>
    <row r="537" ht="16.5" customHeight="1" s="220">
      <c r="B537" s="216" t="n"/>
      <c r="C537" s="216" t="n"/>
      <c r="D537" s="216" t="n"/>
    </row>
    <row r="538" ht="16.5" customHeight="1" s="220">
      <c r="B538" s="216" t="n"/>
      <c r="C538" s="216" t="n"/>
      <c r="D538" s="216" t="n"/>
    </row>
    <row r="539" ht="16.5" customHeight="1" s="220">
      <c r="B539" s="216" t="n"/>
      <c r="C539" s="216" t="n"/>
      <c r="D539" s="216" t="n"/>
    </row>
    <row r="540" ht="16.5" customHeight="1" s="220">
      <c r="B540" s="216" t="n"/>
      <c r="C540" s="216" t="n"/>
      <c r="D540" s="216" t="n"/>
    </row>
    <row r="541" ht="16.5" customHeight="1" s="220">
      <c r="B541" s="216" t="n"/>
      <c r="C541" s="216" t="n"/>
      <c r="D541" s="216" t="n"/>
    </row>
    <row r="542" ht="16.5" customHeight="1" s="220">
      <c r="B542" s="216" t="n"/>
      <c r="C542" s="216" t="n"/>
      <c r="D542" s="216" t="n"/>
    </row>
    <row r="543" ht="16.5" customHeight="1" s="220">
      <c r="B543" s="216" t="n"/>
      <c r="C543" s="216" t="n"/>
      <c r="D543" s="216" t="n"/>
    </row>
    <row r="544" ht="16.5" customHeight="1" s="220">
      <c r="B544" s="216" t="n"/>
      <c r="C544" s="216" t="n"/>
      <c r="D544" s="216" t="n"/>
    </row>
    <row r="545" ht="16.5" customHeight="1" s="220">
      <c r="B545" s="216" t="n"/>
      <c r="C545" s="216" t="n"/>
      <c r="D545" s="216" t="n"/>
    </row>
    <row r="546" ht="16.5" customHeight="1" s="220">
      <c r="B546" s="216" t="n"/>
      <c r="C546" s="216" t="n"/>
      <c r="D546" s="216" t="n"/>
    </row>
    <row r="547" ht="16.5" customHeight="1" s="220">
      <c r="B547" s="216" t="n"/>
      <c r="C547" s="216" t="n"/>
      <c r="D547" s="216" t="n"/>
    </row>
    <row r="548" ht="16.5" customHeight="1" s="220">
      <c r="B548" s="216" t="n"/>
      <c r="C548" s="216" t="n"/>
      <c r="D548" s="216" t="n"/>
    </row>
    <row r="549" ht="16.5" customHeight="1" s="220">
      <c r="B549" s="216" t="n"/>
      <c r="C549" s="216" t="n"/>
      <c r="D549" s="216" t="n"/>
    </row>
    <row r="550" ht="16.5" customHeight="1" s="220">
      <c r="B550" s="216" t="n"/>
      <c r="C550" s="216" t="n"/>
      <c r="D550" s="216" t="n"/>
    </row>
    <row r="551" ht="16.5" customHeight="1" s="220">
      <c r="B551" s="216" t="n"/>
      <c r="C551" s="216" t="n"/>
      <c r="D551" s="216" t="n"/>
    </row>
    <row r="552" ht="16.5" customHeight="1" s="220">
      <c r="B552" s="216" t="n"/>
      <c r="C552" s="216" t="n"/>
      <c r="D552" s="216" t="n"/>
    </row>
    <row r="553" ht="16.5" customHeight="1" s="220">
      <c r="B553" s="216" t="n"/>
      <c r="C553" s="216" t="n"/>
      <c r="D553" s="216" t="n"/>
    </row>
    <row r="554" ht="16.5" customHeight="1" s="220">
      <c r="B554" s="216" t="n"/>
      <c r="C554" s="216" t="n"/>
      <c r="D554" s="216" t="n"/>
    </row>
    <row r="555" ht="16.5" customHeight="1" s="220">
      <c r="B555" s="216" t="n"/>
      <c r="C555" s="216" t="n"/>
      <c r="D555" s="216" t="n"/>
    </row>
    <row r="556" ht="16.5" customHeight="1" s="220">
      <c r="B556" s="216" t="n"/>
      <c r="C556" s="216" t="n"/>
      <c r="D556" s="216" t="n"/>
    </row>
    <row r="557" ht="16.5" customHeight="1" s="220">
      <c r="B557" s="216" t="n"/>
      <c r="C557" s="216" t="n"/>
      <c r="D557" s="216" t="n"/>
    </row>
    <row r="558" ht="16.5" customHeight="1" s="220">
      <c r="B558" s="216" t="n"/>
      <c r="C558" s="216" t="n"/>
      <c r="D558" s="216" t="n"/>
    </row>
    <row r="559" ht="16.5" customHeight="1" s="220">
      <c r="B559" s="216" t="n"/>
      <c r="C559" s="216" t="n"/>
      <c r="D559" s="216" t="n"/>
    </row>
    <row r="560" ht="16.5" customHeight="1" s="220">
      <c r="B560" s="216" t="n"/>
      <c r="C560" s="216" t="n"/>
      <c r="D560" s="216" t="n"/>
    </row>
    <row r="561" ht="16.5" customHeight="1" s="220">
      <c r="B561" s="216" t="n"/>
      <c r="C561" s="216" t="n"/>
      <c r="D561" s="216" t="n"/>
    </row>
    <row r="562" ht="16.5" customHeight="1" s="220">
      <c r="B562" s="216" t="n"/>
      <c r="C562" s="216" t="n"/>
      <c r="D562" s="216" t="n"/>
    </row>
    <row r="563" ht="16.5" customHeight="1" s="220">
      <c r="B563" s="216" t="n"/>
      <c r="C563" s="216" t="n"/>
      <c r="D563" s="216" t="n"/>
    </row>
    <row r="564" ht="16.5" customHeight="1" s="220">
      <c r="B564" s="216" t="n"/>
      <c r="C564" s="216" t="n"/>
      <c r="D564" s="216" t="n"/>
    </row>
    <row r="565" ht="16.5" customHeight="1" s="220">
      <c r="B565" s="216" t="n"/>
      <c r="C565" s="216" t="n"/>
      <c r="D565" s="216" t="n"/>
    </row>
    <row r="566" ht="16.5" customHeight="1" s="220">
      <c r="B566" s="216" t="n"/>
      <c r="C566" s="216" t="n"/>
      <c r="D566" s="216" t="n"/>
    </row>
    <row r="567" ht="16.5" customHeight="1" s="220">
      <c r="B567" s="216" t="n"/>
      <c r="C567" s="216" t="n"/>
      <c r="D567" s="216" t="n"/>
    </row>
    <row r="568" ht="16.5" customHeight="1" s="220">
      <c r="B568" s="216" t="n"/>
      <c r="C568" s="216" t="n"/>
      <c r="D568" s="216" t="n"/>
    </row>
    <row r="569" ht="16.5" customHeight="1" s="220">
      <c r="B569" s="216" t="n"/>
      <c r="C569" s="216" t="n"/>
      <c r="D569" s="216" t="n"/>
    </row>
    <row r="570" ht="16.5" customHeight="1" s="220">
      <c r="B570" s="216" t="n"/>
      <c r="C570" s="216" t="n"/>
      <c r="D570" s="216" t="n"/>
    </row>
    <row r="571" ht="16.5" customHeight="1" s="220">
      <c r="B571" s="216" t="n"/>
      <c r="C571" s="216" t="n"/>
      <c r="D571" s="216" t="n"/>
    </row>
    <row r="572" ht="16.5" customHeight="1" s="220">
      <c r="B572" s="216" t="n"/>
      <c r="C572" s="216" t="n"/>
      <c r="D572" s="216" t="n"/>
    </row>
    <row r="573" ht="16.5" customHeight="1" s="220">
      <c r="B573" s="216" t="n"/>
      <c r="C573" s="216" t="n"/>
      <c r="D573" s="216" t="n"/>
    </row>
    <row r="574" ht="16.5" customHeight="1" s="220">
      <c r="B574" s="216" t="n"/>
      <c r="C574" s="216" t="n"/>
      <c r="D574" s="216" t="n"/>
    </row>
    <row r="575" ht="16.5" customHeight="1" s="220">
      <c r="B575" s="216" t="n"/>
      <c r="C575" s="216" t="n"/>
      <c r="D575" s="216" t="n"/>
    </row>
    <row r="576" ht="16.5" customHeight="1" s="220">
      <c r="B576" s="216" t="n"/>
      <c r="C576" s="216" t="n"/>
      <c r="D576" s="216" t="n"/>
    </row>
    <row r="577" ht="16.5" customHeight="1" s="220">
      <c r="B577" s="216" t="n"/>
      <c r="C577" s="216" t="n"/>
      <c r="D577" s="216" t="n"/>
    </row>
    <row r="578" ht="16.5" customHeight="1" s="220">
      <c r="B578" s="216" t="n"/>
      <c r="C578" s="216" t="n"/>
      <c r="D578" s="216" t="n"/>
    </row>
    <row r="579" ht="16.5" customHeight="1" s="220">
      <c r="B579" s="216" t="n"/>
      <c r="C579" s="216" t="n"/>
      <c r="D579" s="216" t="n"/>
    </row>
    <row r="580" ht="16.5" customHeight="1" s="220">
      <c r="B580" s="216" t="n"/>
      <c r="C580" s="216" t="n"/>
      <c r="D580" s="216" t="n"/>
    </row>
    <row r="581" ht="16.5" customHeight="1" s="220">
      <c r="B581" s="216" t="n"/>
      <c r="C581" s="216" t="n"/>
      <c r="D581" s="216" t="n"/>
    </row>
    <row r="582" ht="16.5" customHeight="1" s="220">
      <c r="B582" s="216" t="n"/>
      <c r="C582" s="216" t="n"/>
      <c r="D582" s="216" t="n"/>
    </row>
    <row r="583" ht="16.5" customHeight="1" s="220">
      <c r="B583" s="216" t="n"/>
      <c r="C583" s="216" t="n"/>
      <c r="D583" s="216" t="n"/>
    </row>
    <row r="584" ht="16.5" customHeight="1" s="220">
      <c r="B584" s="216" t="n"/>
      <c r="C584" s="216" t="n"/>
      <c r="D584" s="216" t="n"/>
    </row>
    <row r="585" ht="16.5" customHeight="1" s="220">
      <c r="B585" s="216" t="n"/>
      <c r="C585" s="216" t="n"/>
      <c r="D585" s="216" t="n"/>
    </row>
    <row r="586" ht="16.5" customHeight="1" s="220">
      <c r="B586" s="216" t="n"/>
      <c r="C586" s="216" t="n"/>
      <c r="D586" s="216" t="n"/>
    </row>
    <row r="587" ht="16.5" customHeight="1" s="220">
      <c r="B587" s="216" t="n"/>
      <c r="C587" s="216" t="n"/>
      <c r="D587" s="216" t="n"/>
    </row>
    <row r="588" ht="16.5" customHeight="1" s="220">
      <c r="B588" s="216" t="n"/>
      <c r="C588" s="216" t="n"/>
      <c r="D588" s="216" t="n"/>
    </row>
    <row r="589" ht="16.5" customHeight="1" s="220">
      <c r="B589" s="216" t="n"/>
      <c r="C589" s="216" t="n"/>
      <c r="D589" s="216" t="n"/>
    </row>
    <row r="590" ht="16.5" customHeight="1" s="220">
      <c r="B590" s="216" t="n"/>
      <c r="C590" s="216" t="n"/>
      <c r="D590" s="216" t="n"/>
    </row>
    <row r="591" ht="16.5" customHeight="1" s="220">
      <c r="B591" s="216" t="n"/>
      <c r="C591" s="216" t="n"/>
      <c r="D591" s="216" t="n"/>
    </row>
    <row r="592" ht="16.5" customHeight="1" s="220">
      <c r="B592" s="216" t="n"/>
      <c r="C592" s="216" t="n"/>
      <c r="D592" s="216" t="n"/>
    </row>
    <row r="593" ht="16.5" customHeight="1" s="220">
      <c r="B593" s="216" t="n"/>
      <c r="C593" s="216" t="n"/>
      <c r="D593" s="216" t="n"/>
    </row>
    <row r="594" ht="16.5" customHeight="1" s="220">
      <c r="B594" s="216" t="n"/>
      <c r="C594" s="216" t="n"/>
      <c r="D594" s="216" t="n"/>
    </row>
    <row r="595" ht="16.5" customHeight="1" s="220">
      <c r="B595" s="216" t="n"/>
      <c r="C595" s="216" t="n"/>
      <c r="D595" s="216" t="n"/>
    </row>
    <row r="596" ht="16.5" customHeight="1" s="220">
      <c r="B596" s="216" t="n"/>
      <c r="C596" s="216" t="n"/>
      <c r="D596" s="216" t="n"/>
    </row>
    <row r="597" ht="16.5" customHeight="1" s="220">
      <c r="B597" s="216" t="n"/>
      <c r="C597" s="216" t="n"/>
      <c r="D597" s="216" t="n"/>
    </row>
    <row r="598" ht="16.5" customHeight="1" s="220">
      <c r="B598" s="216" t="n"/>
      <c r="C598" s="216" t="n"/>
      <c r="D598" s="216" t="n"/>
    </row>
    <row r="599" ht="16.5" customHeight="1" s="220">
      <c r="B599" s="216" t="n"/>
      <c r="C599" s="216" t="n"/>
      <c r="D599" s="216" t="n"/>
    </row>
    <row r="600" ht="16.5" customHeight="1" s="220">
      <c r="B600" s="216" t="n"/>
      <c r="C600" s="216" t="n"/>
      <c r="D600" s="216" t="n"/>
    </row>
    <row r="601" ht="16.5" customHeight="1" s="220">
      <c r="B601" s="216" t="n"/>
      <c r="C601" s="216" t="n"/>
      <c r="D601" s="216" t="n"/>
    </row>
    <row r="602" ht="16.5" customHeight="1" s="220">
      <c r="B602" s="216" t="n"/>
      <c r="C602" s="216" t="n"/>
      <c r="D602" s="216" t="n"/>
    </row>
    <row r="603" ht="16.5" customHeight="1" s="220">
      <c r="B603" s="216" t="n"/>
      <c r="C603" s="216" t="n"/>
      <c r="D603" s="216" t="n"/>
    </row>
    <row r="604" ht="16.5" customHeight="1" s="220">
      <c r="B604" s="216" t="n"/>
      <c r="C604" s="216" t="n"/>
      <c r="D604" s="216" t="n"/>
    </row>
    <row r="605" ht="16.5" customHeight="1" s="220">
      <c r="B605" s="216" t="n"/>
      <c r="C605" s="216" t="n"/>
      <c r="D605" s="216" t="n"/>
    </row>
    <row r="606" ht="16.5" customHeight="1" s="220">
      <c r="B606" s="216" t="n"/>
      <c r="C606" s="216" t="n"/>
      <c r="D606" s="216" t="n"/>
    </row>
    <row r="607" ht="16.5" customHeight="1" s="220">
      <c r="B607" s="216" t="n"/>
      <c r="C607" s="216" t="n"/>
      <c r="D607" s="216" t="n"/>
    </row>
    <row r="608" ht="16.5" customHeight="1" s="220">
      <c r="B608" s="216" t="n"/>
      <c r="C608" s="216" t="n"/>
      <c r="D608" s="216" t="n"/>
    </row>
    <row r="609" ht="16.5" customHeight="1" s="220">
      <c r="B609" s="216" t="n"/>
      <c r="C609" s="216" t="n"/>
      <c r="D609" s="216" t="n"/>
    </row>
    <row r="610" ht="16.5" customHeight="1" s="220">
      <c r="B610" s="216" t="n"/>
      <c r="C610" s="216" t="n"/>
      <c r="D610" s="216" t="n"/>
    </row>
    <row r="611" ht="16.5" customHeight="1" s="220">
      <c r="B611" s="216" t="n"/>
      <c r="C611" s="216" t="n"/>
      <c r="D611" s="216" t="n"/>
    </row>
    <row r="612" ht="16.5" customHeight="1" s="220">
      <c r="B612" s="216" t="n"/>
      <c r="C612" s="216" t="n"/>
      <c r="D612" s="216" t="n"/>
    </row>
    <row r="613" ht="16.5" customHeight="1" s="220">
      <c r="B613" s="216" t="n"/>
      <c r="C613" s="216" t="n"/>
      <c r="D613" s="216" t="n"/>
    </row>
    <row r="614" ht="16.5" customHeight="1" s="220">
      <c r="B614" s="216" t="n"/>
      <c r="C614" s="216" t="n"/>
      <c r="D614" s="216" t="n"/>
    </row>
    <row r="615" ht="16.5" customHeight="1" s="220">
      <c r="B615" s="216" t="n"/>
      <c r="C615" s="216" t="n"/>
      <c r="D615" s="216" t="n"/>
    </row>
    <row r="616" ht="16.5" customHeight="1" s="220">
      <c r="B616" s="216" t="n"/>
      <c r="C616" s="216" t="n"/>
      <c r="D616" s="216" t="n"/>
    </row>
    <row r="617" ht="16.5" customHeight="1" s="220">
      <c r="B617" s="216" t="n"/>
      <c r="C617" s="216" t="n"/>
      <c r="D617" s="216" t="n"/>
    </row>
    <row r="618" ht="16.5" customHeight="1" s="220">
      <c r="B618" s="216" t="n"/>
      <c r="C618" s="216" t="n"/>
      <c r="D618" s="216" t="n"/>
    </row>
    <row r="619" ht="16.5" customHeight="1" s="220">
      <c r="B619" s="216" t="n"/>
      <c r="C619" s="216" t="n"/>
      <c r="D619" s="216" t="n"/>
    </row>
    <row r="620" ht="16.5" customHeight="1" s="220">
      <c r="B620" s="216" t="n"/>
      <c r="C620" s="216" t="n"/>
      <c r="D620" s="216" t="n"/>
    </row>
    <row r="621" ht="16.5" customHeight="1" s="220">
      <c r="B621" s="216" t="n"/>
      <c r="C621" s="216" t="n"/>
      <c r="D621" s="216" t="n"/>
    </row>
    <row r="622" ht="16.5" customHeight="1" s="220">
      <c r="B622" s="216" t="n"/>
      <c r="C622" s="216" t="n"/>
      <c r="D622" s="216" t="n"/>
    </row>
    <row r="623" ht="16.5" customHeight="1" s="220">
      <c r="B623" s="216" t="n"/>
      <c r="C623" s="216" t="n"/>
      <c r="D623" s="216" t="n"/>
    </row>
    <row r="624" ht="16.5" customHeight="1" s="220">
      <c r="B624" s="216" t="n"/>
      <c r="C624" s="216" t="n"/>
      <c r="D624" s="216" t="n"/>
    </row>
    <row r="625" ht="16.5" customHeight="1" s="220">
      <c r="B625" s="216" t="n"/>
      <c r="C625" s="216" t="n"/>
      <c r="D625" s="216" t="n"/>
    </row>
    <row r="626" ht="16.5" customHeight="1" s="220">
      <c r="B626" s="216" t="n"/>
      <c r="C626" s="216" t="n"/>
      <c r="D626" s="216" t="n"/>
    </row>
    <row r="627" ht="16.5" customHeight="1" s="220">
      <c r="B627" s="216" t="n"/>
      <c r="C627" s="216" t="n"/>
      <c r="D627" s="216" t="n"/>
    </row>
    <row r="628" ht="16.5" customHeight="1" s="220">
      <c r="B628" s="216" t="n"/>
      <c r="C628" s="216" t="n"/>
      <c r="D628" s="216" t="n"/>
    </row>
    <row r="629" ht="16.5" customHeight="1" s="220">
      <c r="B629" s="216" t="n"/>
      <c r="C629" s="216" t="n"/>
      <c r="D629" s="216" t="n"/>
    </row>
    <row r="630" ht="16.5" customHeight="1" s="220">
      <c r="B630" s="216" t="n"/>
      <c r="C630" s="216" t="n"/>
      <c r="D630" s="216" t="n"/>
    </row>
    <row r="631" ht="16.5" customHeight="1" s="220">
      <c r="B631" s="216" t="n"/>
      <c r="C631" s="216" t="n"/>
      <c r="D631" s="216" t="n"/>
    </row>
    <row r="632" ht="16.5" customHeight="1" s="220">
      <c r="B632" s="216" t="n"/>
      <c r="C632" s="216" t="n"/>
      <c r="D632" s="216" t="n"/>
    </row>
    <row r="633" ht="16.5" customHeight="1" s="220">
      <c r="B633" s="216" t="n"/>
      <c r="C633" s="216" t="n"/>
      <c r="D633" s="216" t="n"/>
    </row>
    <row r="634" ht="16.5" customHeight="1" s="220">
      <c r="B634" s="216" t="n"/>
      <c r="C634" s="216" t="n"/>
      <c r="D634" s="216" t="n"/>
    </row>
    <row r="635" ht="16.5" customHeight="1" s="220">
      <c r="B635" s="216" t="n"/>
      <c r="C635" s="216" t="n"/>
      <c r="D635" s="216" t="n"/>
    </row>
    <row r="636" ht="16.5" customHeight="1" s="220">
      <c r="B636" s="216" t="n"/>
      <c r="C636" s="216" t="n"/>
      <c r="D636" s="216" t="n"/>
    </row>
    <row r="637" ht="16.5" customHeight="1" s="220">
      <c r="B637" s="216" t="n"/>
      <c r="C637" s="216" t="n"/>
      <c r="D637" s="216" t="n"/>
    </row>
    <row r="638" ht="16.5" customHeight="1" s="220">
      <c r="B638" s="216" t="n"/>
      <c r="C638" s="216" t="n"/>
      <c r="D638" s="216" t="n"/>
    </row>
    <row r="639" ht="16.5" customHeight="1" s="220">
      <c r="B639" s="216" t="n"/>
      <c r="C639" s="216" t="n"/>
      <c r="D639" s="216" t="n"/>
    </row>
    <row r="640" ht="16.5" customHeight="1" s="220">
      <c r="B640" s="216" t="n"/>
      <c r="C640" s="216" t="n"/>
      <c r="D640" s="216" t="n"/>
    </row>
    <row r="641" ht="16.5" customHeight="1" s="220">
      <c r="B641" s="216" t="n"/>
      <c r="C641" s="216" t="n"/>
      <c r="D641" s="216" t="n"/>
    </row>
    <row r="642" ht="16.5" customHeight="1" s="220">
      <c r="B642" s="216" t="n"/>
      <c r="C642" s="216" t="n"/>
      <c r="D642" s="216" t="n"/>
    </row>
    <row r="643" ht="16.5" customHeight="1" s="220">
      <c r="B643" s="216" t="n"/>
      <c r="C643" s="216" t="n"/>
      <c r="D643" s="216" t="n"/>
    </row>
    <row r="644" ht="16.5" customHeight="1" s="220">
      <c r="B644" s="216" t="n"/>
      <c r="C644" s="216" t="n"/>
      <c r="D644" s="216" t="n"/>
    </row>
    <row r="645" ht="16.5" customHeight="1" s="220">
      <c r="B645" s="216" t="n"/>
      <c r="C645" s="216" t="n"/>
      <c r="D645" s="216" t="n"/>
    </row>
    <row r="646" ht="16.5" customHeight="1" s="220">
      <c r="B646" s="216" t="n"/>
      <c r="C646" s="216" t="n"/>
      <c r="D646" s="216" t="n"/>
    </row>
    <row r="647" ht="16.5" customHeight="1" s="220">
      <c r="B647" s="216" t="n"/>
      <c r="C647" s="216" t="n"/>
      <c r="D647" s="216" t="n"/>
    </row>
    <row r="648" ht="16.5" customHeight="1" s="220">
      <c r="B648" s="216" t="n"/>
      <c r="C648" s="216" t="n"/>
      <c r="D648" s="216" t="n"/>
    </row>
    <row r="649" ht="16.5" customHeight="1" s="220">
      <c r="B649" s="216" t="n"/>
      <c r="C649" s="216" t="n"/>
      <c r="D649" s="216" t="n"/>
    </row>
    <row r="650" ht="16.5" customHeight="1" s="220">
      <c r="B650" s="216" t="n"/>
      <c r="C650" s="216" t="n"/>
      <c r="D650" s="216" t="n"/>
    </row>
    <row r="651" ht="16.5" customHeight="1" s="220">
      <c r="B651" s="216" t="n"/>
      <c r="C651" s="216" t="n"/>
      <c r="D651" s="216" t="n"/>
    </row>
    <row r="652" ht="16.5" customHeight="1" s="220">
      <c r="B652" s="216" t="n"/>
      <c r="C652" s="216" t="n"/>
      <c r="D652" s="216" t="n"/>
    </row>
    <row r="653" ht="16.5" customHeight="1" s="220">
      <c r="B653" s="216" t="n"/>
      <c r="C653" s="216" t="n"/>
      <c r="D653" s="216" t="n"/>
    </row>
    <row r="654" ht="16.5" customHeight="1" s="220">
      <c r="B654" s="216" t="n"/>
      <c r="C654" s="216" t="n"/>
      <c r="D654" s="216" t="n"/>
    </row>
    <row r="655" ht="16.5" customHeight="1" s="220">
      <c r="B655" s="216" t="n"/>
      <c r="C655" s="216" t="n"/>
      <c r="D655" s="216" t="n"/>
    </row>
    <row r="656" ht="16.5" customHeight="1" s="220">
      <c r="B656" s="216" t="n"/>
      <c r="C656" s="216" t="n"/>
      <c r="D656" s="216" t="n"/>
    </row>
    <row r="657" ht="16.5" customHeight="1" s="220">
      <c r="B657" s="216" t="n"/>
      <c r="C657" s="216" t="n"/>
      <c r="D657" s="216" t="n"/>
    </row>
    <row r="658" ht="16.5" customHeight="1" s="220">
      <c r="B658" s="216" t="n"/>
      <c r="C658" s="216" t="n"/>
      <c r="D658" s="216" t="n"/>
    </row>
    <row r="659" ht="16.5" customHeight="1" s="220">
      <c r="B659" s="216" t="n"/>
      <c r="C659" s="216" t="n"/>
      <c r="D659" s="216" t="n"/>
    </row>
    <row r="660" ht="16.5" customHeight="1" s="220">
      <c r="B660" s="216" t="n"/>
      <c r="C660" s="216" t="n"/>
      <c r="D660" s="216" t="n"/>
    </row>
    <row r="661" ht="16.5" customHeight="1" s="220">
      <c r="B661" s="216" t="n"/>
      <c r="C661" s="216" t="n"/>
      <c r="D661" s="216" t="n"/>
    </row>
    <row r="662" ht="16.5" customHeight="1" s="220">
      <c r="B662" s="216" t="n"/>
      <c r="C662" s="216" t="n"/>
      <c r="D662" s="216" t="n"/>
    </row>
    <row r="663" ht="16.5" customHeight="1" s="220">
      <c r="B663" s="216" t="n"/>
      <c r="C663" s="216" t="n"/>
      <c r="D663" s="216" t="n"/>
    </row>
    <row r="664" ht="16.5" customHeight="1" s="220">
      <c r="B664" s="216" t="n"/>
      <c r="C664" s="216" t="n"/>
      <c r="D664" s="216" t="n"/>
    </row>
    <row r="665" ht="16.5" customHeight="1" s="220">
      <c r="B665" s="216" t="n"/>
      <c r="C665" s="216" t="n"/>
      <c r="D665" s="216" t="n"/>
    </row>
    <row r="666" ht="16.5" customHeight="1" s="220">
      <c r="B666" s="216" t="n"/>
      <c r="C666" s="216" t="n"/>
      <c r="D666" s="216" t="n"/>
    </row>
    <row r="667" ht="16.5" customHeight="1" s="220">
      <c r="B667" s="216" t="n"/>
      <c r="C667" s="216" t="n"/>
      <c r="D667" s="216" t="n"/>
    </row>
    <row r="668" ht="16.5" customHeight="1" s="220">
      <c r="B668" s="216" t="n"/>
      <c r="C668" s="216" t="n"/>
      <c r="D668" s="216" t="n"/>
    </row>
    <row r="669" ht="16.5" customHeight="1" s="220">
      <c r="B669" s="216" t="n"/>
      <c r="C669" s="216" t="n"/>
      <c r="D669" s="216" t="n"/>
    </row>
    <row r="670" ht="16.5" customHeight="1" s="220">
      <c r="B670" s="216" t="n"/>
      <c r="C670" s="216" t="n"/>
      <c r="D670" s="216" t="n"/>
    </row>
    <row r="671" ht="16.5" customHeight="1" s="220">
      <c r="B671" s="216" t="n"/>
      <c r="C671" s="216" t="n"/>
      <c r="D671" s="216" t="n"/>
    </row>
    <row r="672" ht="16.5" customHeight="1" s="220">
      <c r="B672" s="216" t="n"/>
      <c r="C672" s="216" t="n"/>
      <c r="D672" s="216" t="n"/>
    </row>
    <row r="673" ht="16.5" customHeight="1" s="220">
      <c r="B673" s="216" t="n"/>
      <c r="C673" s="216" t="n"/>
      <c r="D673" s="216" t="n"/>
    </row>
    <row r="674" ht="16.5" customHeight="1" s="220">
      <c r="B674" s="216" t="n"/>
      <c r="C674" s="216" t="n"/>
      <c r="D674" s="216" t="n"/>
    </row>
    <row r="675" ht="16.5" customHeight="1" s="220">
      <c r="B675" s="216" t="n"/>
      <c r="C675" s="216" t="n"/>
      <c r="D675" s="216" t="n"/>
    </row>
    <row r="676" ht="16.5" customHeight="1" s="220">
      <c r="B676" s="216" t="n"/>
      <c r="C676" s="216" t="n"/>
      <c r="D676" s="216" t="n"/>
    </row>
    <row r="677" ht="16.5" customHeight="1" s="220">
      <c r="B677" s="216" t="n"/>
      <c r="C677" s="216" t="n"/>
      <c r="D677" s="216" t="n"/>
    </row>
    <row r="678" ht="16.5" customHeight="1" s="220">
      <c r="B678" s="216" t="n"/>
      <c r="C678" s="216" t="n"/>
      <c r="D678" s="216" t="n"/>
    </row>
    <row r="679" ht="16.5" customHeight="1" s="220">
      <c r="B679" s="216" t="n"/>
      <c r="C679" s="216" t="n"/>
      <c r="D679" s="216" t="n"/>
    </row>
    <row r="680" ht="16.5" customHeight="1" s="220">
      <c r="B680" s="216" t="n"/>
      <c r="C680" s="216" t="n"/>
      <c r="D680" s="216" t="n"/>
    </row>
    <row r="681" ht="16.5" customHeight="1" s="220">
      <c r="B681" s="216" t="n"/>
      <c r="C681" s="216" t="n"/>
      <c r="D681" s="216" t="n"/>
    </row>
    <row r="682" ht="16.5" customHeight="1" s="220">
      <c r="B682" s="216" t="n"/>
      <c r="C682" s="216" t="n"/>
      <c r="D682" s="216" t="n"/>
    </row>
    <row r="683" ht="16.5" customHeight="1" s="220">
      <c r="B683" s="216" t="n"/>
      <c r="C683" s="216" t="n"/>
      <c r="D683" s="216" t="n"/>
    </row>
    <row r="684" ht="16.5" customHeight="1" s="220">
      <c r="B684" s="216" t="n"/>
      <c r="C684" s="216" t="n"/>
      <c r="D684" s="216" t="n"/>
    </row>
    <row r="685" ht="16.5" customHeight="1" s="220">
      <c r="B685" s="216" t="n"/>
      <c r="C685" s="216" t="n"/>
      <c r="D685" s="216" t="n"/>
    </row>
    <row r="686" ht="16.5" customHeight="1" s="220">
      <c r="B686" s="216" t="n"/>
      <c r="C686" s="216" t="n"/>
      <c r="D686" s="216" t="n"/>
    </row>
    <row r="687" ht="16.5" customHeight="1" s="220">
      <c r="B687" s="216" t="n"/>
      <c r="C687" s="216" t="n"/>
      <c r="D687" s="216" t="n"/>
    </row>
    <row r="688" ht="16.5" customHeight="1" s="220">
      <c r="B688" s="216" t="n"/>
      <c r="C688" s="216" t="n"/>
      <c r="D688" s="216" t="n"/>
    </row>
    <row r="689" ht="16.5" customHeight="1" s="220">
      <c r="B689" s="216" t="n"/>
      <c r="C689" s="216" t="n"/>
      <c r="D689" s="216" t="n"/>
    </row>
    <row r="690" ht="16.5" customHeight="1" s="220">
      <c r="B690" s="216" t="n"/>
      <c r="C690" s="216" t="n"/>
      <c r="D690" s="216" t="n"/>
    </row>
    <row r="691" ht="16.5" customHeight="1" s="220">
      <c r="B691" s="216" t="n"/>
      <c r="C691" s="216" t="n"/>
      <c r="D691" s="216" t="n"/>
    </row>
    <row r="692" ht="16.5" customHeight="1" s="220">
      <c r="B692" s="216" t="n"/>
      <c r="C692" s="216" t="n"/>
      <c r="D692" s="216" t="n"/>
    </row>
    <row r="693" ht="16.5" customHeight="1" s="220">
      <c r="B693" s="216" t="n"/>
      <c r="C693" s="216" t="n"/>
      <c r="D693" s="216" t="n"/>
    </row>
    <row r="694" ht="16.5" customHeight="1" s="220">
      <c r="B694" s="216" t="n"/>
      <c r="C694" s="216" t="n"/>
      <c r="D694" s="216" t="n"/>
    </row>
    <row r="695" ht="16.5" customHeight="1" s="220">
      <c r="B695" s="216" t="n"/>
      <c r="C695" s="216" t="n"/>
      <c r="D695" s="216" t="n"/>
    </row>
    <row r="696" ht="16.5" customHeight="1" s="220">
      <c r="B696" s="216" t="n"/>
      <c r="C696" s="216" t="n"/>
      <c r="D696" s="216" t="n"/>
    </row>
    <row r="697" ht="16.5" customHeight="1" s="220">
      <c r="B697" s="216" t="n"/>
      <c r="C697" s="216" t="n"/>
      <c r="D697" s="216" t="n"/>
    </row>
    <row r="698" ht="16.5" customHeight="1" s="220">
      <c r="B698" s="216" t="n"/>
      <c r="C698" s="216" t="n"/>
      <c r="D698" s="216" t="n"/>
    </row>
    <row r="699" ht="16.5" customHeight="1" s="220">
      <c r="B699" s="216" t="n"/>
      <c r="C699" s="216" t="n"/>
      <c r="D699" s="216" t="n"/>
    </row>
    <row r="700" ht="16.5" customHeight="1" s="220">
      <c r="B700" s="216" t="n"/>
      <c r="C700" s="216" t="n"/>
      <c r="D700" s="216" t="n"/>
    </row>
    <row r="701" ht="16.5" customHeight="1" s="220">
      <c r="B701" s="216" t="n"/>
      <c r="C701" s="216" t="n"/>
      <c r="D701" s="216" t="n"/>
    </row>
    <row r="702" ht="16.5" customHeight="1" s="220">
      <c r="B702" s="216" t="n"/>
      <c r="C702" s="216" t="n"/>
      <c r="D702" s="216" t="n"/>
    </row>
    <row r="703" ht="16.5" customHeight="1" s="220">
      <c r="B703" s="216" t="n"/>
      <c r="C703" s="216" t="n"/>
      <c r="D703" s="216" t="n"/>
    </row>
    <row r="704" ht="16.5" customHeight="1" s="220">
      <c r="B704" s="216" t="n"/>
      <c r="C704" s="216" t="n"/>
      <c r="D704" s="216" t="n"/>
    </row>
    <row r="705" ht="16.5" customHeight="1" s="220">
      <c r="B705" s="216" t="n"/>
      <c r="C705" s="216" t="n"/>
      <c r="D705" s="216" t="n"/>
    </row>
    <row r="706" ht="16.5" customHeight="1" s="220">
      <c r="B706" s="216" t="n"/>
      <c r="C706" s="216" t="n"/>
      <c r="D706" s="216" t="n"/>
    </row>
    <row r="707" ht="16.5" customHeight="1" s="220">
      <c r="B707" s="216" t="n"/>
      <c r="C707" s="216" t="n"/>
      <c r="D707" s="216" t="n"/>
    </row>
    <row r="708" ht="16.5" customHeight="1" s="220">
      <c r="B708" s="216" t="n"/>
      <c r="C708" s="216" t="n"/>
      <c r="D708" s="216" t="n"/>
    </row>
    <row r="709" ht="16.5" customHeight="1" s="220">
      <c r="B709" s="216" t="n"/>
      <c r="C709" s="216" t="n"/>
      <c r="D709" s="216" t="n"/>
    </row>
    <row r="710" ht="16.5" customHeight="1" s="220">
      <c r="B710" s="216" t="n"/>
      <c r="C710" s="216" t="n"/>
      <c r="D710" s="216" t="n"/>
    </row>
    <row r="711" ht="16.5" customHeight="1" s="220">
      <c r="B711" s="216" t="n"/>
      <c r="C711" s="216" t="n"/>
      <c r="D711" s="216" t="n"/>
    </row>
    <row r="712" ht="16.5" customHeight="1" s="220">
      <c r="B712" s="216" t="n"/>
      <c r="C712" s="216" t="n"/>
      <c r="D712" s="216" t="n"/>
    </row>
    <row r="713" ht="16.5" customHeight="1" s="220">
      <c r="B713" s="216" t="n"/>
      <c r="C713" s="216" t="n"/>
      <c r="D713" s="216" t="n"/>
    </row>
    <row r="714" ht="16.5" customHeight="1" s="220">
      <c r="B714" s="216" t="n"/>
      <c r="C714" s="216" t="n"/>
      <c r="D714" s="216" t="n"/>
    </row>
    <row r="715" ht="16.5" customHeight="1" s="220">
      <c r="B715" s="216" t="n"/>
      <c r="C715" s="216" t="n"/>
      <c r="D715" s="216" t="n"/>
    </row>
    <row r="716" ht="16.5" customHeight="1" s="220">
      <c r="B716" s="216" t="n"/>
      <c r="C716" s="216" t="n"/>
      <c r="D716" s="216" t="n"/>
    </row>
    <row r="717" ht="16.5" customHeight="1" s="220">
      <c r="B717" s="216" t="n"/>
      <c r="C717" s="216" t="n"/>
      <c r="D717" s="216" t="n"/>
    </row>
    <row r="718" ht="16.5" customHeight="1" s="220">
      <c r="B718" s="216" t="n"/>
      <c r="C718" s="216" t="n"/>
      <c r="D718" s="216" t="n"/>
    </row>
    <row r="719" ht="16.5" customHeight="1" s="220">
      <c r="B719" s="216" t="n"/>
      <c r="C719" s="216" t="n"/>
      <c r="D719" s="216" t="n"/>
    </row>
    <row r="720" ht="16.5" customHeight="1" s="220">
      <c r="B720" s="216" t="n"/>
      <c r="C720" s="216" t="n"/>
      <c r="D720" s="216" t="n"/>
    </row>
    <row r="721" ht="16.5" customHeight="1" s="220">
      <c r="B721" s="216" t="n"/>
      <c r="C721" s="216" t="n"/>
      <c r="D721" s="216" t="n"/>
    </row>
    <row r="722" ht="16.5" customHeight="1" s="220">
      <c r="B722" s="216" t="n"/>
      <c r="C722" s="216" t="n"/>
      <c r="D722" s="216" t="n"/>
    </row>
    <row r="723" ht="16.5" customHeight="1" s="220">
      <c r="B723" s="216" t="n"/>
      <c r="C723" s="216" t="n"/>
      <c r="D723" s="216" t="n"/>
    </row>
    <row r="724" ht="16.5" customHeight="1" s="220">
      <c r="B724" s="216" t="n"/>
      <c r="C724" s="216" t="n"/>
      <c r="D724" s="216" t="n"/>
    </row>
    <row r="725" ht="16.5" customHeight="1" s="220">
      <c r="B725" s="216" t="n"/>
      <c r="C725" s="216" t="n"/>
      <c r="D725" s="216" t="n"/>
    </row>
    <row r="726" ht="16.5" customHeight="1" s="220">
      <c r="B726" s="216" t="n"/>
      <c r="C726" s="216" t="n"/>
      <c r="D726" s="216" t="n"/>
    </row>
    <row r="727" ht="16.5" customHeight="1" s="220">
      <c r="B727" s="216" t="n"/>
      <c r="C727" s="216" t="n"/>
      <c r="D727" s="216" t="n"/>
    </row>
    <row r="728" ht="16.5" customHeight="1" s="220">
      <c r="B728" s="216" t="n"/>
      <c r="C728" s="216" t="n"/>
      <c r="D728" s="216" t="n"/>
    </row>
    <row r="729" ht="16.5" customHeight="1" s="220">
      <c r="B729" s="216" t="n"/>
      <c r="C729" s="216" t="n"/>
      <c r="D729" s="216" t="n"/>
    </row>
    <row r="730" ht="16.5" customHeight="1" s="220">
      <c r="B730" s="216" t="n"/>
      <c r="C730" s="216" t="n"/>
      <c r="D730" s="216" t="n"/>
    </row>
    <row r="731" ht="16.5" customHeight="1" s="220">
      <c r="B731" s="216" t="n"/>
      <c r="C731" s="216" t="n"/>
      <c r="D731" s="216" t="n"/>
    </row>
    <row r="732" ht="16.5" customHeight="1" s="220">
      <c r="B732" s="216" t="n"/>
      <c r="C732" s="216" t="n"/>
      <c r="D732" s="216" t="n"/>
    </row>
    <row r="733" ht="16.5" customHeight="1" s="220">
      <c r="B733" s="216" t="n"/>
      <c r="C733" s="216" t="n"/>
      <c r="D733" s="216" t="n"/>
    </row>
    <row r="734" ht="16.5" customHeight="1" s="220">
      <c r="B734" s="216" t="n"/>
      <c r="C734" s="216" t="n"/>
      <c r="D734" s="216" t="n"/>
    </row>
    <row r="735" ht="16.5" customHeight="1" s="220">
      <c r="B735" s="216" t="n"/>
      <c r="C735" s="216" t="n"/>
      <c r="D735" s="216" t="n"/>
    </row>
    <row r="736" ht="16.5" customHeight="1" s="220">
      <c r="B736" s="216" t="n"/>
      <c r="C736" s="216" t="n"/>
      <c r="D736" s="216" t="n"/>
    </row>
    <row r="737" ht="16.5" customHeight="1" s="220">
      <c r="B737" s="216" t="n"/>
      <c r="C737" s="216" t="n"/>
      <c r="D737" s="216" t="n"/>
    </row>
    <row r="738" ht="16.5" customHeight="1" s="220">
      <c r="B738" s="216" t="n"/>
      <c r="C738" s="216" t="n"/>
      <c r="D738" s="216" t="n"/>
    </row>
    <row r="739" ht="16.5" customHeight="1" s="220">
      <c r="B739" s="216" t="n"/>
      <c r="C739" s="216" t="n"/>
      <c r="D739" s="216" t="n"/>
    </row>
    <row r="740" ht="16.5" customHeight="1" s="220">
      <c r="B740" s="216" t="n"/>
      <c r="C740" s="216" t="n"/>
      <c r="D740" s="216" t="n"/>
    </row>
    <row r="741" ht="16.5" customHeight="1" s="220">
      <c r="B741" s="216" t="n"/>
      <c r="C741" s="216" t="n"/>
      <c r="D741" s="216" t="n"/>
    </row>
    <row r="742" ht="16.5" customHeight="1" s="220">
      <c r="B742" s="216" t="n"/>
      <c r="C742" s="216" t="n"/>
      <c r="D742" s="216" t="n"/>
    </row>
    <row r="743" ht="16.5" customHeight="1" s="220">
      <c r="B743" s="216" t="n"/>
      <c r="C743" s="216" t="n"/>
      <c r="D743" s="216" t="n"/>
    </row>
    <row r="744" ht="16.5" customHeight="1" s="220">
      <c r="B744" s="216" t="n"/>
      <c r="C744" s="216" t="n"/>
      <c r="D744" s="216" t="n"/>
    </row>
    <row r="745" ht="16.5" customHeight="1" s="220">
      <c r="B745" s="216" t="n"/>
      <c r="C745" s="216" t="n"/>
      <c r="D745" s="216" t="n"/>
    </row>
    <row r="746" ht="16.5" customHeight="1" s="220">
      <c r="B746" s="216" t="n"/>
      <c r="C746" s="216" t="n"/>
      <c r="D746" s="216" t="n"/>
    </row>
    <row r="747" ht="16.5" customHeight="1" s="220">
      <c r="B747" s="216" t="n"/>
      <c r="C747" s="216" t="n"/>
      <c r="D747" s="216" t="n"/>
    </row>
    <row r="748" ht="16.5" customHeight="1" s="220">
      <c r="B748" s="216" t="n"/>
      <c r="C748" s="216" t="n"/>
      <c r="D748" s="216" t="n"/>
    </row>
    <row r="749" ht="16.5" customHeight="1" s="220">
      <c r="B749" s="216" t="n"/>
      <c r="C749" s="216" t="n"/>
      <c r="D749" s="216" t="n"/>
    </row>
    <row r="750" ht="16.5" customHeight="1" s="220">
      <c r="B750" s="216" t="n"/>
      <c r="C750" s="216" t="n"/>
      <c r="D750" s="216" t="n"/>
    </row>
    <row r="751" ht="16.5" customHeight="1" s="220">
      <c r="B751" s="216" t="n"/>
      <c r="C751" s="216" t="n"/>
      <c r="D751" s="216" t="n"/>
    </row>
    <row r="752" ht="16.5" customHeight="1" s="220">
      <c r="B752" s="216" t="n"/>
      <c r="C752" s="216" t="n"/>
      <c r="D752" s="216" t="n"/>
    </row>
    <row r="753" ht="16.5" customHeight="1" s="220">
      <c r="B753" s="216" t="n"/>
      <c r="C753" s="216" t="n"/>
      <c r="D753" s="216" t="n"/>
    </row>
    <row r="754" ht="16.5" customHeight="1" s="220">
      <c r="B754" s="216" t="n"/>
      <c r="C754" s="216" t="n"/>
      <c r="D754" s="216" t="n"/>
    </row>
    <row r="755" ht="16.5" customHeight="1" s="220">
      <c r="B755" s="216" t="n"/>
      <c r="C755" s="216" t="n"/>
      <c r="D755" s="216" t="n"/>
    </row>
    <row r="756" ht="16.5" customHeight="1" s="220">
      <c r="B756" s="216" t="n"/>
      <c r="C756" s="216" t="n"/>
      <c r="D756" s="216" t="n"/>
    </row>
    <row r="757" ht="16.5" customHeight="1" s="220">
      <c r="B757" s="216" t="n"/>
      <c r="C757" s="216" t="n"/>
      <c r="D757" s="216" t="n"/>
    </row>
    <row r="758" ht="16.5" customHeight="1" s="220">
      <c r="B758" s="216" t="n"/>
      <c r="C758" s="216" t="n"/>
      <c r="D758" s="216" t="n"/>
    </row>
    <row r="759" ht="16.5" customHeight="1" s="220">
      <c r="B759" s="216" t="n"/>
      <c r="C759" s="216" t="n"/>
      <c r="D759" s="216" t="n"/>
    </row>
    <row r="760" ht="16.5" customHeight="1" s="220">
      <c r="B760" s="216" t="n"/>
      <c r="C760" s="216" t="n"/>
      <c r="D760" s="216" t="n"/>
    </row>
    <row r="761" ht="16.5" customHeight="1" s="220">
      <c r="B761" s="216" t="n"/>
      <c r="C761" s="216" t="n"/>
      <c r="D761" s="216" t="n"/>
    </row>
    <row r="762" ht="16.5" customHeight="1" s="220">
      <c r="B762" s="216" t="n"/>
      <c r="C762" s="216" t="n"/>
      <c r="D762" s="216" t="n"/>
    </row>
    <row r="763" ht="16.5" customHeight="1" s="220">
      <c r="B763" s="216" t="n"/>
      <c r="C763" s="216" t="n"/>
      <c r="D763" s="216" t="n"/>
    </row>
    <row r="764" ht="16.5" customHeight="1" s="220">
      <c r="B764" s="216" t="n"/>
      <c r="C764" s="216" t="n"/>
      <c r="D764" s="216" t="n"/>
    </row>
    <row r="765" ht="16.5" customHeight="1" s="220">
      <c r="B765" s="216" t="n"/>
      <c r="C765" s="216" t="n"/>
      <c r="D765" s="216" t="n"/>
    </row>
    <row r="766" ht="16.5" customHeight="1" s="220">
      <c r="B766" s="216" t="n"/>
      <c r="C766" s="216" t="n"/>
      <c r="D766" s="216" t="n"/>
    </row>
    <row r="767" ht="16.5" customHeight="1" s="220">
      <c r="B767" s="216" t="n"/>
      <c r="C767" s="216" t="n"/>
      <c r="D767" s="216" t="n"/>
    </row>
    <row r="768" ht="16.5" customHeight="1" s="220">
      <c r="B768" s="216" t="n"/>
      <c r="C768" s="216" t="n"/>
      <c r="D768" s="216" t="n"/>
    </row>
    <row r="769" ht="16.5" customHeight="1" s="220">
      <c r="B769" s="216" t="n"/>
      <c r="C769" s="216" t="n"/>
      <c r="D769" s="216" t="n"/>
    </row>
    <row r="770" ht="16.5" customHeight="1" s="220">
      <c r="B770" s="216" t="n"/>
      <c r="C770" s="216" t="n"/>
      <c r="D770" s="216" t="n"/>
    </row>
    <row r="771" ht="16.5" customHeight="1" s="220">
      <c r="B771" s="216" t="n"/>
      <c r="C771" s="216" t="n"/>
      <c r="D771" s="216" t="n"/>
    </row>
    <row r="772" ht="16.5" customHeight="1" s="220">
      <c r="B772" s="216" t="n"/>
      <c r="C772" s="216" t="n"/>
      <c r="D772" s="216" t="n"/>
    </row>
    <row r="773" ht="16.5" customHeight="1" s="220">
      <c r="B773" s="216" t="n"/>
      <c r="C773" s="216" t="n"/>
      <c r="D773" s="216" t="n"/>
    </row>
    <row r="774" ht="16.5" customHeight="1" s="220">
      <c r="B774" s="216" t="n"/>
      <c r="C774" s="216" t="n"/>
      <c r="D774" s="216" t="n"/>
    </row>
    <row r="775" ht="16.5" customHeight="1" s="220">
      <c r="B775" s="216" t="n"/>
      <c r="C775" s="216" t="n"/>
      <c r="D775" s="216" t="n"/>
    </row>
    <row r="776" ht="16.5" customHeight="1" s="220">
      <c r="B776" s="216" t="n"/>
      <c r="C776" s="216" t="n"/>
      <c r="D776" s="216" t="n"/>
    </row>
    <row r="777" ht="16.5" customHeight="1" s="220">
      <c r="B777" s="216" t="n"/>
      <c r="C777" s="216" t="n"/>
      <c r="D777" s="216" t="n"/>
    </row>
    <row r="778" ht="16.5" customHeight="1" s="220">
      <c r="B778" s="216" t="n"/>
      <c r="C778" s="216" t="n"/>
      <c r="D778" s="216" t="n"/>
    </row>
    <row r="779" ht="16.5" customHeight="1" s="220">
      <c r="B779" s="216" t="n"/>
      <c r="C779" s="216" t="n"/>
      <c r="D779" s="216" t="n"/>
    </row>
    <row r="780" ht="16.5" customHeight="1" s="220">
      <c r="B780" s="216" t="n"/>
      <c r="C780" s="216" t="n"/>
      <c r="D780" s="216" t="n"/>
    </row>
    <row r="781" ht="16.5" customHeight="1" s="220">
      <c r="B781" s="216" t="n"/>
      <c r="C781" s="216" t="n"/>
      <c r="D781" s="216" t="n"/>
    </row>
    <row r="782" ht="16.5" customHeight="1" s="220">
      <c r="B782" s="216" t="n"/>
      <c r="C782" s="216" t="n"/>
      <c r="D782" s="216" t="n"/>
    </row>
    <row r="783" ht="16.5" customHeight="1" s="220">
      <c r="B783" s="216" t="n"/>
      <c r="C783" s="216" t="n"/>
      <c r="D783" s="216" t="n"/>
    </row>
    <row r="784" ht="16.5" customHeight="1" s="220">
      <c r="B784" s="216" t="n"/>
      <c r="C784" s="216" t="n"/>
      <c r="D784" s="216" t="n"/>
    </row>
    <row r="785" ht="16.5" customHeight="1" s="220">
      <c r="B785" s="216" t="n"/>
      <c r="C785" s="216" t="n"/>
      <c r="D785" s="216" t="n"/>
    </row>
    <row r="786" ht="16.5" customHeight="1" s="220">
      <c r="B786" s="216" t="n"/>
      <c r="C786" s="216" t="n"/>
      <c r="D786" s="216" t="n"/>
    </row>
    <row r="787" ht="16.5" customHeight="1" s="220">
      <c r="B787" s="216" t="n"/>
      <c r="C787" s="216" t="n"/>
      <c r="D787" s="216" t="n"/>
    </row>
    <row r="788" ht="16.5" customHeight="1" s="220">
      <c r="B788" s="216" t="n"/>
      <c r="C788" s="216" t="n"/>
      <c r="D788" s="216" t="n"/>
    </row>
    <row r="789" ht="16.5" customHeight="1" s="220">
      <c r="B789" s="216" t="n"/>
      <c r="C789" s="216" t="n"/>
      <c r="D789" s="216" t="n"/>
    </row>
    <row r="790" ht="16.5" customHeight="1" s="220">
      <c r="B790" s="216" t="n"/>
      <c r="C790" s="216" t="n"/>
      <c r="D790" s="216" t="n"/>
    </row>
    <row r="791" ht="16.5" customHeight="1" s="220">
      <c r="B791" s="216" t="n"/>
      <c r="C791" s="216" t="n"/>
      <c r="D791" s="216" t="n"/>
    </row>
    <row r="792" ht="16.5" customHeight="1" s="220">
      <c r="B792" s="216" t="n"/>
      <c r="C792" s="216" t="n"/>
      <c r="D792" s="216" t="n"/>
    </row>
    <row r="793" ht="16.5" customHeight="1" s="220">
      <c r="B793" s="216" t="n"/>
      <c r="C793" s="216" t="n"/>
      <c r="D793" s="216" t="n"/>
    </row>
    <row r="794" ht="16.5" customHeight="1" s="220">
      <c r="B794" s="216" t="n"/>
      <c r="C794" s="216" t="n"/>
      <c r="D794" s="216" t="n"/>
    </row>
    <row r="795" ht="16.5" customHeight="1" s="220">
      <c r="B795" s="216" t="n"/>
      <c r="C795" s="216" t="n"/>
      <c r="D795" s="216" t="n"/>
    </row>
    <row r="796" ht="16.5" customHeight="1" s="220">
      <c r="B796" s="216" t="n"/>
      <c r="C796" s="216" t="n"/>
      <c r="D796" s="216" t="n"/>
    </row>
    <row r="797" ht="16.5" customHeight="1" s="220">
      <c r="B797" s="216" t="n"/>
      <c r="C797" s="216" t="n"/>
      <c r="D797" s="216" t="n"/>
    </row>
    <row r="798" ht="16.5" customHeight="1" s="220">
      <c r="B798" s="216" t="n"/>
      <c r="C798" s="216" t="n"/>
      <c r="D798" s="216" t="n"/>
    </row>
    <row r="799" ht="16.5" customHeight="1" s="220">
      <c r="B799" s="216" t="n"/>
      <c r="C799" s="216" t="n"/>
      <c r="D799" s="216" t="n"/>
    </row>
    <row r="800" ht="16.5" customHeight="1" s="220">
      <c r="B800" s="216" t="n"/>
      <c r="C800" s="216" t="n"/>
      <c r="D800" s="216" t="n"/>
    </row>
    <row r="801" ht="16.5" customHeight="1" s="220">
      <c r="B801" s="216" t="n"/>
      <c r="C801" s="216" t="n"/>
      <c r="D801" s="216" t="n"/>
    </row>
    <row r="802" ht="16.5" customHeight="1" s="220">
      <c r="B802" s="216" t="n"/>
      <c r="C802" s="216" t="n"/>
      <c r="D802" s="216" t="n"/>
    </row>
    <row r="803" ht="16.5" customHeight="1" s="220">
      <c r="B803" s="216" t="n"/>
      <c r="C803" s="216" t="n"/>
      <c r="D803" s="216" t="n"/>
    </row>
    <row r="804" ht="16.5" customHeight="1" s="220">
      <c r="B804" s="216" t="n"/>
      <c r="C804" s="216" t="n"/>
      <c r="D804" s="216" t="n"/>
    </row>
    <row r="805" ht="16.5" customHeight="1" s="220">
      <c r="B805" s="216" t="n"/>
      <c r="C805" s="216" t="n"/>
      <c r="D805" s="216" t="n"/>
    </row>
    <row r="806" ht="16.5" customHeight="1" s="220">
      <c r="B806" s="216" t="n"/>
      <c r="C806" s="216" t="n"/>
      <c r="D806" s="216" t="n"/>
    </row>
    <row r="807" ht="16.5" customHeight="1" s="220">
      <c r="B807" s="216" t="n"/>
      <c r="C807" s="216" t="n"/>
      <c r="D807" s="216" t="n"/>
    </row>
    <row r="808" ht="16.5" customHeight="1" s="220">
      <c r="B808" s="216" t="n"/>
      <c r="C808" s="216" t="n"/>
      <c r="D808" s="216" t="n"/>
    </row>
    <row r="809" ht="16.5" customHeight="1" s="220">
      <c r="B809" s="216" t="n"/>
      <c r="C809" s="216" t="n"/>
      <c r="D809" s="216" t="n"/>
    </row>
    <row r="810" ht="16.5" customHeight="1" s="220">
      <c r="B810" s="216" t="n"/>
      <c r="C810" s="216" t="n"/>
      <c r="D810" s="216" t="n"/>
    </row>
    <row r="811" ht="16.5" customHeight="1" s="220">
      <c r="B811" s="216" t="n"/>
      <c r="C811" s="216" t="n"/>
      <c r="D811" s="216" t="n"/>
    </row>
    <row r="812" ht="16.5" customHeight="1" s="220">
      <c r="B812" s="216" t="n"/>
      <c r="C812" s="216" t="n"/>
      <c r="D812" s="216" t="n"/>
    </row>
    <row r="813" ht="16.5" customHeight="1" s="220">
      <c r="B813" s="216" t="n"/>
      <c r="C813" s="216" t="n"/>
      <c r="D813" s="216" t="n"/>
    </row>
    <row r="814" ht="16.5" customHeight="1" s="220">
      <c r="B814" s="216" t="n"/>
      <c r="C814" s="216" t="n"/>
      <c r="D814" s="216" t="n"/>
    </row>
    <row r="815" ht="16.5" customHeight="1" s="220">
      <c r="B815" s="216" t="n"/>
      <c r="C815" s="216" t="n"/>
      <c r="D815" s="216" t="n"/>
    </row>
    <row r="816" ht="16.5" customHeight="1" s="220">
      <c r="B816" s="216" t="n"/>
      <c r="C816" s="216" t="n"/>
      <c r="D816" s="216" t="n"/>
    </row>
    <row r="817" ht="16.5" customHeight="1" s="220">
      <c r="B817" s="216" t="n"/>
      <c r="C817" s="216" t="n"/>
      <c r="D817" s="216" t="n"/>
    </row>
    <row r="818" ht="16.5" customHeight="1" s="220">
      <c r="B818" s="216" t="n"/>
      <c r="C818" s="216" t="n"/>
      <c r="D818" s="216" t="n"/>
    </row>
    <row r="819" ht="16.5" customHeight="1" s="220">
      <c r="B819" s="216" t="n"/>
      <c r="C819" s="216" t="n"/>
      <c r="D819" s="216" t="n"/>
    </row>
    <row r="820" ht="16.5" customHeight="1" s="220">
      <c r="B820" s="216" t="n"/>
      <c r="C820" s="216" t="n"/>
      <c r="D820" s="216" t="n"/>
    </row>
    <row r="821" ht="16.5" customHeight="1" s="220">
      <c r="B821" s="216" t="n"/>
      <c r="C821" s="216" t="n"/>
      <c r="D821" s="216" t="n"/>
    </row>
    <row r="822" ht="16.5" customHeight="1" s="220">
      <c r="B822" s="216" t="n"/>
      <c r="C822" s="216" t="n"/>
      <c r="D822" s="216" t="n"/>
    </row>
    <row r="823" ht="16.5" customHeight="1" s="220">
      <c r="B823" s="216" t="n"/>
      <c r="C823" s="216" t="n"/>
      <c r="D823" s="216" t="n"/>
    </row>
    <row r="824" ht="16.5" customHeight="1" s="220">
      <c r="B824" s="216" t="n"/>
      <c r="C824" s="216" t="n"/>
      <c r="D824" s="216" t="n"/>
    </row>
    <row r="825" ht="16.5" customHeight="1" s="220">
      <c r="B825" s="216" t="n"/>
      <c r="C825" s="216" t="n"/>
      <c r="D825" s="216" t="n"/>
    </row>
    <row r="826" ht="16.5" customHeight="1" s="220">
      <c r="B826" s="216" t="n"/>
      <c r="C826" s="216" t="n"/>
      <c r="D826" s="216" t="n"/>
    </row>
    <row r="827" ht="16.5" customHeight="1" s="220">
      <c r="B827" s="216" t="n"/>
      <c r="C827" s="216" t="n"/>
      <c r="D827" s="216" t="n"/>
    </row>
    <row r="828" ht="16.5" customHeight="1" s="220">
      <c r="B828" s="216" t="n"/>
      <c r="C828" s="216" t="n"/>
      <c r="D828" s="216" t="n"/>
    </row>
    <row r="829" ht="16.5" customHeight="1" s="220">
      <c r="B829" s="216" t="n"/>
      <c r="C829" s="216" t="n"/>
      <c r="D829" s="216" t="n"/>
    </row>
    <row r="830" ht="16.5" customHeight="1" s="220">
      <c r="B830" s="216" t="n"/>
      <c r="C830" s="216" t="n"/>
      <c r="D830" s="216" t="n"/>
    </row>
    <row r="831" ht="16.5" customHeight="1" s="220">
      <c r="B831" s="216" t="n"/>
      <c r="C831" s="216" t="n"/>
      <c r="D831" s="216" t="n"/>
    </row>
    <row r="832" ht="16.5" customHeight="1" s="220">
      <c r="B832" s="216" t="n"/>
      <c r="C832" s="216" t="n"/>
      <c r="D832" s="216" t="n"/>
    </row>
    <row r="833" ht="16.5" customHeight="1" s="220">
      <c r="B833" s="216" t="n"/>
      <c r="C833" s="216" t="n"/>
      <c r="D833" s="216" t="n"/>
    </row>
    <row r="834" ht="16.5" customHeight="1" s="220">
      <c r="B834" s="216" t="n"/>
      <c r="C834" s="216" t="n"/>
      <c r="D834" s="216" t="n"/>
    </row>
    <row r="835" ht="16.5" customHeight="1" s="220">
      <c r="B835" s="216" t="n"/>
      <c r="C835" s="216" t="n"/>
      <c r="D835" s="216" t="n"/>
    </row>
    <row r="836" ht="16.5" customHeight="1" s="220">
      <c r="B836" s="216" t="n"/>
      <c r="C836" s="216" t="n"/>
      <c r="D836" s="216" t="n"/>
    </row>
    <row r="837" ht="16.5" customHeight="1" s="220">
      <c r="B837" s="216" t="n"/>
      <c r="C837" s="216" t="n"/>
      <c r="D837" s="216" t="n"/>
    </row>
    <row r="838" ht="16.5" customHeight="1" s="220">
      <c r="B838" s="216" t="n"/>
      <c r="C838" s="216" t="n"/>
      <c r="D838" s="216" t="n"/>
    </row>
    <row r="839" ht="16.5" customHeight="1" s="220">
      <c r="B839" s="216" t="n"/>
      <c r="C839" s="216" t="n"/>
      <c r="D839" s="216" t="n"/>
    </row>
    <row r="840" ht="16.5" customHeight="1" s="220">
      <c r="B840" s="216" t="n"/>
      <c r="C840" s="216" t="n"/>
      <c r="D840" s="216" t="n"/>
    </row>
    <row r="841" ht="16.5" customHeight="1" s="220">
      <c r="B841" s="216" t="n"/>
      <c r="C841" s="216" t="n"/>
      <c r="D841" s="216" t="n"/>
    </row>
    <row r="842" ht="16.5" customHeight="1" s="220">
      <c r="B842" s="216" t="n"/>
      <c r="C842" s="216" t="n"/>
      <c r="D842" s="216" t="n"/>
    </row>
    <row r="843" ht="16.5" customHeight="1" s="220">
      <c r="B843" s="216" t="n"/>
      <c r="C843" s="216" t="n"/>
      <c r="D843" s="216" t="n"/>
    </row>
    <row r="844" ht="16.5" customHeight="1" s="220">
      <c r="B844" s="216" t="n"/>
      <c r="C844" s="216" t="n"/>
      <c r="D844" s="216" t="n"/>
    </row>
    <row r="845" ht="16.5" customHeight="1" s="220">
      <c r="B845" s="216" t="n"/>
      <c r="C845" s="216" t="n"/>
      <c r="D845" s="216" t="n"/>
    </row>
    <row r="846" ht="16.5" customHeight="1" s="220">
      <c r="B846" s="216" t="n"/>
      <c r="C846" s="216" t="n"/>
      <c r="D846" s="216" t="n"/>
    </row>
    <row r="847" ht="16.5" customHeight="1" s="220">
      <c r="B847" s="216" t="n"/>
      <c r="C847" s="216" t="n"/>
      <c r="D847" s="216" t="n"/>
    </row>
    <row r="848" ht="16.5" customHeight="1" s="220">
      <c r="B848" s="216" t="n"/>
      <c r="C848" s="216" t="n"/>
      <c r="D848" s="216" t="n"/>
    </row>
    <row r="849" ht="16.5" customHeight="1" s="220">
      <c r="B849" s="216" t="n"/>
      <c r="C849" s="216" t="n"/>
      <c r="D849" s="216" t="n"/>
    </row>
    <row r="850" ht="16.5" customHeight="1" s="220">
      <c r="B850" s="216" t="n"/>
      <c r="C850" s="216" t="n"/>
      <c r="D850" s="216" t="n"/>
    </row>
    <row r="851" ht="16.5" customHeight="1" s="220">
      <c r="B851" s="216" t="n"/>
      <c r="C851" s="216" t="n"/>
      <c r="D851" s="216" t="n"/>
    </row>
    <row r="852" ht="16.5" customHeight="1" s="220">
      <c r="B852" s="216" t="n"/>
      <c r="C852" s="216" t="n"/>
      <c r="D852" s="216" t="n"/>
    </row>
    <row r="853" ht="16.5" customHeight="1" s="220">
      <c r="B853" s="216" t="n"/>
      <c r="C853" s="216" t="n"/>
      <c r="D853" s="216" t="n"/>
    </row>
    <row r="854" ht="16.5" customHeight="1" s="220">
      <c r="B854" s="216" t="n"/>
      <c r="C854" s="216" t="n"/>
      <c r="D854" s="216" t="n"/>
    </row>
    <row r="855" ht="16.5" customHeight="1" s="220">
      <c r="B855" s="216" t="n"/>
      <c r="C855" s="216" t="n"/>
      <c r="D855" s="216" t="n"/>
    </row>
    <row r="856" ht="16.5" customHeight="1" s="220">
      <c r="B856" s="216" t="n"/>
      <c r="C856" s="216" t="n"/>
      <c r="D856" s="216" t="n"/>
    </row>
    <row r="857" ht="16.5" customHeight="1" s="220">
      <c r="B857" s="216" t="n"/>
      <c r="C857" s="216" t="n"/>
      <c r="D857" s="216" t="n"/>
    </row>
    <row r="858" ht="16.5" customHeight="1" s="220">
      <c r="B858" s="216" t="n"/>
      <c r="C858" s="216" t="n"/>
      <c r="D858" s="216" t="n"/>
    </row>
    <row r="859" ht="16.5" customHeight="1" s="220">
      <c r="B859" s="216" t="n"/>
      <c r="C859" s="216" t="n"/>
      <c r="D859" s="216" t="n"/>
    </row>
    <row r="860" ht="16.5" customHeight="1" s="220">
      <c r="B860" s="216" t="n"/>
      <c r="C860" s="216" t="n"/>
      <c r="D860" s="216" t="n"/>
    </row>
    <row r="861" ht="16.5" customHeight="1" s="220">
      <c r="B861" s="216" t="n"/>
      <c r="C861" s="216" t="n"/>
      <c r="D861" s="216" t="n"/>
    </row>
    <row r="862" ht="16.5" customHeight="1" s="220">
      <c r="B862" s="216" t="n"/>
      <c r="C862" s="216" t="n"/>
      <c r="D862" s="216" t="n"/>
    </row>
    <row r="863" ht="16.5" customHeight="1" s="220">
      <c r="B863" s="216" t="n"/>
      <c r="C863" s="216" t="n"/>
      <c r="D863" s="216" t="n"/>
    </row>
    <row r="864" ht="16.5" customHeight="1" s="220">
      <c r="B864" s="216" t="n"/>
      <c r="C864" s="216" t="n"/>
      <c r="D864" s="216" t="n"/>
    </row>
    <row r="865" ht="16.5" customHeight="1" s="220">
      <c r="B865" s="216" t="n"/>
      <c r="C865" s="216" t="n"/>
      <c r="D865" s="216" t="n"/>
    </row>
    <row r="866" ht="16.5" customHeight="1" s="220">
      <c r="B866" s="216" t="n"/>
      <c r="C866" s="216" t="n"/>
      <c r="D866" s="216" t="n"/>
    </row>
    <row r="867" ht="16.5" customHeight="1" s="220">
      <c r="B867" s="216" t="n"/>
      <c r="C867" s="216" t="n"/>
      <c r="D867" s="216" t="n"/>
    </row>
    <row r="868" ht="16.5" customHeight="1" s="220">
      <c r="B868" s="216" t="n"/>
      <c r="C868" s="216" t="n"/>
      <c r="D868" s="216" t="n"/>
    </row>
    <row r="869" ht="16.5" customHeight="1" s="220">
      <c r="B869" s="216" t="n"/>
      <c r="C869" s="216" t="n"/>
      <c r="D869" s="216" t="n"/>
    </row>
    <row r="870" ht="16.5" customHeight="1" s="220">
      <c r="B870" s="216" t="n"/>
      <c r="C870" s="216" t="n"/>
      <c r="D870" s="216" t="n"/>
    </row>
    <row r="871" ht="16.5" customHeight="1" s="220">
      <c r="B871" s="216" t="n"/>
      <c r="C871" s="216" t="n"/>
      <c r="D871" s="216" t="n"/>
    </row>
    <row r="872" ht="16.5" customHeight="1" s="220">
      <c r="B872" s="216" t="n"/>
      <c r="C872" s="216" t="n"/>
      <c r="D872" s="216" t="n"/>
    </row>
    <row r="873" ht="16.5" customHeight="1" s="220">
      <c r="B873" s="216" t="n"/>
      <c r="C873" s="216" t="n"/>
      <c r="D873" s="216" t="n"/>
    </row>
    <row r="874" ht="16.5" customHeight="1" s="220">
      <c r="B874" s="216" t="n"/>
      <c r="C874" s="216" t="n"/>
      <c r="D874" s="216" t="n"/>
    </row>
    <row r="875" ht="16.5" customHeight="1" s="220">
      <c r="B875" s="216" t="n"/>
      <c r="C875" s="216" t="n"/>
      <c r="D875" s="216" t="n"/>
    </row>
    <row r="876" ht="16.5" customHeight="1" s="220">
      <c r="B876" s="216" t="n"/>
      <c r="C876" s="216" t="n"/>
      <c r="D876" s="216" t="n"/>
    </row>
    <row r="877" ht="16.5" customHeight="1" s="220">
      <c r="B877" s="216" t="n"/>
      <c r="C877" s="216" t="n"/>
      <c r="D877" s="216" t="n"/>
    </row>
    <row r="878" ht="16.5" customHeight="1" s="220">
      <c r="B878" s="216" t="n"/>
      <c r="C878" s="216" t="n"/>
      <c r="D878" s="216" t="n"/>
    </row>
    <row r="879" ht="16.5" customHeight="1" s="220">
      <c r="B879" s="216" t="n"/>
      <c r="C879" s="216" t="n"/>
      <c r="D879" s="216" t="n"/>
    </row>
    <row r="880" ht="16.5" customHeight="1" s="220">
      <c r="B880" s="216" t="n"/>
      <c r="C880" s="216" t="n"/>
      <c r="D880" s="216" t="n"/>
    </row>
    <row r="881" ht="16.5" customHeight="1" s="220">
      <c r="B881" s="216" t="n"/>
      <c r="C881" s="216" t="n"/>
      <c r="D881" s="216" t="n"/>
    </row>
    <row r="882" ht="16.5" customHeight="1" s="220">
      <c r="B882" s="216" t="n"/>
      <c r="C882" s="216" t="n"/>
      <c r="D882" s="216" t="n"/>
    </row>
    <row r="883" ht="16.5" customHeight="1" s="220">
      <c r="B883" s="216" t="n"/>
      <c r="C883" s="216" t="n"/>
      <c r="D883" s="216" t="n"/>
    </row>
    <row r="884" ht="16.5" customHeight="1" s="220">
      <c r="B884" s="216" t="n"/>
      <c r="C884" s="216" t="n"/>
      <c r="D884" s="216" t="n"/>
    </row>
    <row r="885" ht="16.5" customHeight="1" s="220">
      <c r="B885" s="216" t="n"/>
      <c r="C885" s="216" t="n"/>
      <c r="D885" s="216" t="n"/>
    </row>
    <row r="886" ht="16.5" customHeight="1" s="220">
      <c r="B886" s="216" t="n"/>
      <c r="C886" s="216" t="n"/>
      <c r="D886" s="216" t="n"/>
    </row>
    <row r="887" ht="16.5" customHeight="1" s="220">
      <c r="B887" s="216" t="n"/>
      <c r="C887" s="216" t="n"/>
      <c r="D887" s="216" t="n"/>
    </row>
    <row r="888" ht="16.5" customHeight="1" s="220">
      <c r="B888" s="216" t="n"/>
      <c r="C888" s="216" t="n"/>
      <c r="D888" s="216" t="n"/>
    </row>
    <row r="889" ht="16.5" customHeight="1" s="220">
      <c r="B889" s="216" t="n"/>
      <c r="C889" s="216" t="n"/>
      <c r="D889" s="216" t="n"/>
    </row>
    <row r="890" ht="16.5" customHeight="1" s="220">
      <c r="B890" s="216" t="n"/>
      <c r="C890" s="216" t="n"/>
      <c r="D890" s="216" t="n"/>
    </row>
    <row r="891" ht="16.5" customHeight="1" s="220">
      <c r="B891" s="216" t="n"/>
      <c r="C891" s="216" t="n"/>
      <c r="D891" s="216" t="n"/>
    </row>
    <row r="892" ht="16.5" customHeight="1" s="220">
      <c r="B892" s="216" t="n"/>
      <c r="C892" s="216" t="n"/>
      <c r="D892" s="216" t="n"/>
    </row>
    <row r="893" ht="16.5" customHeight="1" s="220">
      <c r="B893" s="216" t="n"/>
      <c r="C893" s="216" t="n"/>
      <c r="D893" s="216" t="n"/>
    </row>
    <row r="894" ht="16.5" customHeight="1" s="220">
      <c r="B894" s="216" t="n"/>
      <c r="C894" s="216" t="n"/>
      <c r="D894" s="216" t="n"/>
    </row>
    <row r="895" ht="16.5" customHeight="1" s="220">
      <c r="B895" s="216" t="n"/>
      <c r="C895" s="216" t="n"/>
      <c r="D895" s="216" t="n"/>
    </row>
    <row r="896" ht="16.5" customHeight="1" s="220">
      <c r="B896" s="216" t="n"/>
      <c r="C896" s="216" t="n"/>
      <c r="D896" s="216" t="n"/>
    </row>
    <row r="897" ht="16.5" customHeight="1" s="220">
      <c r="B897" s="216" t="n"/>
      <c r="C897" s="216" t="n"/>
      <c r="D897" s="216" t="n"/>
    </row>
    <row r="898" ht="16.5" customHeight="1" s="220">
      <c r="B898" s="216" t="n"/>
      <c r="C898" s="216" t="n"/>
      <c r="D898" s="216" t="n"/>
    </row>
    <row r="899" ht="16.5" customHeight="1" s="220">
      <c r="B899" s="216" t="n"/>
      <c r="C899" s="216" t="n"/>
      <c r="D899" s="216" t="n"/>
    </row>
    <row r="900" ht="16.5" customHeight="1" s="220">
      <c r="B900" s="216" t="n"/>
      <c r="C900" s="216" t="n"/>
      <c r="D900" s="216" t="n"/>
    </row>
    <row r="901" ht="16.5" customHeight="1" s="220">
      <c r="B901" s="216" t="n"/>
      <c r="C901" s="216" t="n"/>
      <c r="D901" s="216" t="n"/>
    </row>
    <row r="902" ht="16.5" customHeight="1" s="220">
      <c r="B902" s="216" t="n"/>
      <c r="C902" s="216" t="n"/>
      <c r="D902" s="216" t="n"/>
    </row>
    <row r="903" ht="16.5" customHeight="1" s="220">
      <c r="B903" s="216" t="n"/>
      <c r="C903" s="216" t="n"/>
      <c r="D903" s="216" t="n"/>
    </row>
    <row r="904" ht="16.5" customHeight="1" s="220">
      <c r="B904" s="216" t="n"/>
      <c r="C904" s="216" t="n"/>
      <c r="D904" s="216" t="n"/>
    </row>
    <row r="905" ht="16.5" customHeight="1" s="220">
      <c r="B905" s="216" t="n"/>
      <c r="C905" s="216" t="n"/>
      <c r="D905" s="216" t="n"/>
    </row>
    <row r="906" ht="16.5" customHeight="1" s="220">
      <c r="B906" s="216" t="n"/>
      <c r="C906" s="216" t="n"/>
      <c r="D906" s="216" t="n"/>
    </row>
    <row r="907" ht="16.5" customHeight="1" s="220">
      <c r="B907" s="216" t="n"/>
      <c r="C907" s="216" t="n"/>
      <c r="D907" s="216" t="n"/>
    </row>
    <row r="908" ht="16.5" customHeight="1" s="220">
      <c r="B908" s="216" t="n"/>
      <c r="C908" s="216" t="n"/>
      <c r="D908" s="216" t="n"/>
    </row>
    <row r="909" ht="16.5" customHeight="1" s="220">
      <c r="B909" s="216" t="n"/>
      <c r="C909" s="216" t="n"/>
      <c r="D909" s="216" t="n"/>
    </row>
    <row r="910" ht="16.5" customHeight="1" s="220">
      <c r="B910" s="216" t="n"/>
      <c r="C910" s="216" t="n"/>
      <c r="D910" s="216" t="n"/>
    </row>
    <row r="911" ht="16.5" customHeight="1" s="220">
      <c r="B911" s="216" t="n"/>
      <c r="C911" s="216" t="n"/>
      <c r="D911" s="216" t="n"/>
    </row>
    <row r="912" ht="16.5" customHeight="1" s="220">
      <c r="B912" s="216" t="n"/>
      <c r="C912" s="216" t="n"/>
      <c r="D912" s="216" t="n"/>
    </row>
    <row r="913" ht="16.5" customHeight="1" s="220">
      <c r="B913" s="216" t="n"/>
      <c r="C913" s="216" t="n"/>
      <c r="D913" s="216" t="n"/>
    </row>
    <row r="914" ht="16.5" customHeight="1" s="220">
      <c r="B914" s="216" t="n"/>
      <c r="C914" s="216" t="n"/>
      <c r="D914" s="216" t="n"/>
    </row>
    <row r="915" ht="16.5" customHeight="1" s="220">
      <c r="B915" s="216" t="n"/>
      <c r="C915" s="216" t="n"/>
      <c r="D915" s="216" t="n"/>
    </row>
    <row r="916" ht="16.5" customHeight="1" s="220">
      <c r="B916" s="216" t="n"/>
      <c r="C916" s="216" t="n"/>
      <c r="D916" s="216" t="n"/>
    </row>
    <row r="917" ht="16.5" customHeight="1" s="220">
      <c r="B917" s="216" t="n"/>
      <c r="C917" s="216" t="n"/>
      <c r="D917" s="216" t="n"/>
    </row>
    <row r="918" ht="16.5" customHeight="1" s="220">
      <c r="B918" s="216" t="n"/>
      <c r="C918" s="216" t="n"/>
      <c r="D918" s="216" t="n"/>
    </row>
    <row r="919" ht="16.5" customHeight="1" s="220">
      <c r="B919" s="216" t="n"/>
      <c r="C919" s="216" t="n"/>
      <c r="D919" s="216" t="n"/>
    </row>
    <row r="920" ht="16.5" customHeight="1" s="220">
      <c r="B920" s="216" t="n"/>
      <c r="C920" s="216" t="n"/>
      <c r="D920" s="216" t="n"/>
    </row>
    <row r="921" ht="16.5" customHeight="1" s="220">
      <c r="B921" s="216" t="n"/>
      <c r="C921" s="216" t="n"/>
      <c r="D921" s="216" t="n"/>
    </row>
    <row r="922" ht="16.5" customHeight="1" s="220">
      <c r="B922" s="216" t="n"/>
      <c r="C922" s="216" t="n"/>
      <c r="D922" s="216" t="n"/>
    </row>
    <row r="923" ht="16.5" customHeight="1" s="220">
      <c r="B923" s="216" t="n"/>
      <c r="C923" s="216" t="n"/>
      <c r="D923" s="216" t="n"/>
    </row>
    <row r="924" ht="16.5" customHeight="1" s="220">
      <c r="B924" s="216" t="n"/>
      <c r="C924" s="216" t="n"/>
      <c r="D924" s="216" t="n"/>
    </row>
    <row r="925" ht="16.5" customHeight="1" s="220">
      <c r="B925" s="216" t="n"/>
      <c r="C925" s="216" t="n"/>
      <c r="D925" s="216" t="n"/>
    </row>
    <row r="926" ht="16.5" customHeight="1" s="220">
      <c r="B926" s="216" t="n"/>
      <c r="C926" s="216" t="n"/>
      <c r="D926" s="216" t="n"/>
    </row>
    <row r="927" ht="16.5" customHeight="1" s="220">
      <c r="B927" s="216" t="n"/>
      <c r="C927" s="216" t="n"/>
      <c r="D927" s="216" t="n"/>
    </row>
    <row r="928" ht="16.5" customHeight="1" s="220">
      <c r="B928" s="216" t="n"/>
      <c r="C928" s="216" t="n"/>
      <c r="D928" s="216" t="n"/>
    </row>
    <row r="929" ht="16.5" customHeight="1" s="220">
      <c r="B929" s="216" t="n"/>
      <c r="C929" s="216" t="n"/>
      <c r="D929" s="216" t="n"/>
    </row>
    <row r="930" ht="16.5" customHeight="1" s="220">
      <c r="B930" s="216" t="n"/>
      <c r="C930" s="216" t="n"/>
      <c r="D930" s="216" t="n"/>
    </row>
    <row r="931" ht="16.5" customHeight="1" s="220">
      <c r="B931" s="216" t="n"/>
      <c r="C931" s="216" t="n"/>
      <c r="D931" s="216" t="n"/>
    </row>
    <row r="932" ht="16.5" customHeight="1" s="220">
      <c r="B932" s="216" t="n"/>
      <c r="C932" s="216" t="n"/>
      <c r="D932" s="216" t="n"/>
    </row>
    <row r="933" ht="16.5" customHeight="1" s="220">
      <c r="B933" s="216" t="n"/>
      <c r="C933" s="216" t="n"/>
      <c r="D933" s="216" t="n"/>
    </row>
    <row r="934" ht="16.5" customHeight="1" s="220">
      <c r="B934" s="216" t="n"/>
      <c r="C934" s="216" t="n"/>
      <c r="D934" s="216" t="n"/>
    </row>
    <row r="935" ht="16.5" customHeight="1" s="220">
      <c r="B935" s="216" t="n"/>
      <c r="C935" s="216" t="n"/>
      <c r="D935" s="216" t="n"/>
    </row>
    <row r="936" ht="16.5" customHeight="1" s="220">
      <c r="B936" s="216" t="n"/>
      <c r="C936" s="216" t="n"/>
      <c r="D936" s="216" t="n"/>
    </row>
    <row r="937" ht="16.5" customHeight="1" s="220">
      <c r="B937" s="216" t="n"/>
      <c r="C937" s="216" t="n"/>
      <c r="D937" s="216" t="n"/>
    </row>
    <row r="938" ht="16.5" customHeight="1" s="220">
      <c r="B938" s="216" t="n"/>
      <c r="C938" s="216" t="n"/>
      <c r="D938" s="216" t="n"/>
    </row>
    <row r="939" ht="16.5" customHeight="1" s="220">
      <c r="B939" s="216" t="n"/>
      <c r="C939" s="216" t="n"/>
      <c r="D939" s="216" t="n"/>
    </row>
    <row r="940" ht="16.5" customHeight="1" s="220">
      <c r="B940" s="216" t="n"/>
      <c r="C940" s="216" t="n"/>
      <c r="D940" s="216" t="n"/>
    </row>
    <row r="941" ht="16.5" customHeight="1" s="220">
      <c r="B941" s="216" t="n"/>
      <c r="C941" s="216" t="n"/>
      <c r="D941" s="216" t="n"/>
    </row>
    <row r="942" ht="16.5" customHeight="1" s="220">
      <c r="B942" s="216" t="n"/>
      <c r="C942" s="216" t="n"/>
      <c r="D942" s="216" t="n"/>
    </row>
    <row r="943" ht="16.5" customHeight="1" s="220">
      <c r="B943" s="216" t="n"/>
      <c r="C943" s="216" t="n"/>
      <c r="D943" s="216" t="n"/>
    </row>
    <row r="944" ht="16.5" customHeight="1" s="220">
      <c r="B944" s="216" t="n"/>
      <c r="C944" s="216" t="n"/>
      <c r="D944" s="216" t="n"/>
    </row>
    <row r="945" ht="16.5" customHeight="1" s="220">
      <c r="B945" s="216" t="n"/>
      <c r="C945" s="216" t="n"/>
      <c r="D945" s="216" t="n"/>
    </row>
    <row r="946" ht="16.5" customHeight="1" s="220">
      <c r="B946" s="216" t="n"/>
      <c r="C946" s="216" t="n"/>
      <c r="D946" s="216" t="n"/>
    </row>
    <row r="947" ht="16.5" customHeight="1" s="220">
      <c r="B947" s="216" t="n"/>
      <c r="C947" s="216" t="n"/>
      <c r="D947" s="216" t="n"/>
    </row>
    <row r="948" ht="16.5" customHeight="1" s="220">
      <c r="B948" s="216" t="n"/>
      <c r="C948" s="216" t="n"/>
      <c r="D948" s="216" t="n"/>
    </row>
    <row r="949" ht="16.5" customHeight="1" s="220">
      <c r="B949" s="216" t="n"/>
      <c r="C949" s="216" t="n"/>
      <c r="D949" s="216" t="n"/>
    </row>
    <row r="950" ht="16.5" customHeight="1" s="220">
      <c r="B950" s="216" t="n"/>
      <c r="C950" s="216" t="n"/>
      <c r="D950" s="216" t="n"/>
    </row>
    <row r="951" ht="16.5" customHeight="1" s="220">
      <c r="B951" s="216" t="n"/>
      <c r="C951" s="216" t="n"/>
      <c r="D951" s="216" t="n"/>
    </row>
    <row r="952" ht="16.5" customHeight="1" s="220">
      <c r="B952" s="216" t="n"/>
      <c r="C952" s="216" t="n"/>
      <c r="D952" s="216" t="n"/>
    </row>
    <row r="953" ht="16.5" customHeight="1" s="220">
      <c r="B953" s="216" t="n"/>
      <c r="C953" s="216" t="n"/>
      <c r="D953" s="216" t="n"/>
    </row>
    <row r="954" ht="16.5" customHeight="1" s="220">
      <c r="B954" s="216" t="n"/>
      <c r="C954" s="216" t="n"/>
      <c r="D954" s="216" t="n"/>
    </row>
    <row r="955" ht="16.5" customHeight="1" s="220">
      <c r="B955" s="216" t="n"/>
      <c r="C955" s="216" t="n"/>
      <c r="D955" s="216" t="n"/>
    </row>
    <row r="956" ht="16.5" customHeight="1" s="220">
      <c r="B956" s="216" t="n"/>
      <c r="C956" s="216" t="n"/>
      <c r="D956" s="216" t="n"/>
    </row>
    <row r="957" ht="16.5" customHeight="1" s="220">
      <c r="B957" s="216" t="n"/>
      <c r="C957" s="216" t="n"/>
      <c r="D957" s="216" t="n"/>
    </row>
    <row r="958" ht="16.5" customHeight="1" s="220">
      <c r="B958" s="216" t="n"/>
      <c r="C958" s="216" t="n"/>
      <c r="D958" s="216" t="n"/>
    </row>
    <row r="959" ht="16.5" customHeight="1" s="220">
      <c r="B959" s="216" t="n"/>
      <c r="C959" s="216" t="n"/>
      <c r="D959" s="216" t="n"/>
    </row>
    <row r="960" ht="16.5" customHeight="1" s="220">
      <c r="B960" s="216" t="n"/>
      <c r="C960" s="216" t="n"/>
      <c r="D960" s="216" t="n"/>
    </row>
    <row r="961" ht="16.5" customHeight="1" s="220">
      <c r="B961" s="216" t="n"/>
      <c r="C961" s="216" t="n"/>
      <c r="D961" s="216" t="n"/>
    </row>
    <row r="962" ht="16.5" customHeight="1" s="220">
      <c r="B962" s="216" t="n"/>
      <c r="C962" s="216" t="n"/>
      <c r="D962" s="216" t="n"/>
    </row>
    <row r="963" ht="16.5" customHeight="1" s="220">
      <c r="B963" s="216" t="n"/>
      <c r="C963" s="216" t="n"/>
      <c r="D963" s="216" t="n"/>
    </row>
    <row r="964" ht="16.5" customHeight="1" s="220">
      <c r="B964" s="216" t="n"/>
      <c r="C964" s="216" t="n"/>
      <c r="D964" s="216" t="n"/>
    </row>
    <row r="965" ht="16.5" customHeight="1" s="220">
      <c r="B965" s="216" t="n"/>
      <c r="C965" s="216" t="n"/>
      <c r="D965" s="216" t="n"/>
    </row>
    <row r="966" ht="16.5" customHeight="1" s="220">
      <c r="B966" s="216" t="n"/>
      <c r="C966" s="216" t="n"/>
      <c r="D966" s="216" t="n"/>
    </row>
    <row r="967" ht="16.5" customHeight="1" s="220">
      <c r="B967" s="216" t="n"/>
      <c r="C967" s="216" t="n"/>
      <c r="D967" s="216" t="n"/>
    </row>
    <row r="968" ht="16.5" customHeight="1" s="220">
      <c r="B968" s="216" t="n"/>
      <c r="C968" s="216" t="n"/>
      <c r="D968" s="216" t="n"/>
    </row>
    <row r="969" ht="16.5" customHeight="1" s="220">
      <c r="B969" s="216" t="n"/>
      <c r="C969" s="216" t="n"/>
      <c r="D969" s="216" t="n"/>
    </row>
    <row r="970" ht="16.5" customHeight="1" s="220">
      <c r="B970" s="216" t="n"/>
      <c r="C970" s="216" t="n"/>
      <c r="D970" s="216" t="n"/>
    </row>
    <row r="971" ht="16.5" customHeight="1" s="220">
      <c r="B971" s="216" t="n"/>
      <c r="C971" s="216" t="n"/>
      <c r="D971" s="216" t="n"/>
    </row>
    <row r="972" ht="16.5" customHeight="1" s="220">
      <c r="B972" s="216" t="n"/>
      <c r="C972" s="216" t="n"/>
      <c r="D972" s="216" t="n"/>
    </row>
    <row r="973" ht="16.5" customHeight="1" s="220">
      <c r="B973" s="216" t="n"/>
      <c r="C973" s="216" t="n"/>
      <c r="D973" s="216" t="n"/>
    </row>
    <row r="974" ht="16.5" customHeight="1" s="220">
      <c r="B974" s="216" t="n"/>
      <c r="C974" s="216" t="n"/>
      <c r="D974" s="216" t="n"/>
    </row>
    <row r="975" ht="16.5" customHeight="1" s="220">
      <c r="B975" s="216" t="n"/>
      <c r="C975" s="216" t="n"/>
      <c r="D975" s="216" t="n"/>
    </row>
    <row r="976" ht="16.5" customHeight="1" s="220">
      <c r="B976" s="216" t="n"/>
      <c r="C976" s="216" t="n"/>
      <c r="D976" s="216" t="n"/>
    </row>
    <row r="977" ht="16.5" customHeight="1" s="220">
      <c r="B977" s="216" t="n"/>
      <c r="C977" s="216" t="n"/>
      <c r="D977" s="216" t="n"/>
    </row>
    <row r="978" ht="16.5" customHeight="1" s="220">
      <c r="B978" s="216" t="n"/>
      <c r="C978" s="216" t="n"/>
      <c r="D978" s="216" t="n"/>
    </row>
    <row r="979" ht="16.5" customHeight="1" s="220">
      <c r="B979" s="216" t="n"/>
      <c r="C979" s="216" t="n"/>
      <c r="D979" s="216" t="n"/>
    </row>
    <row r="980" ht="16.5" customHeight="1" s="220">
      <c r="B980" s="216" t="n"/>
      <c r="C980" s="216" t="n"/>
      <c r="D980" s="216" t="n"/>
    </row>
    <row r="981" ht="16.5" customHeight="1" s="220">
      <c r="B981" s="216" t="n"/>
      <c r="C981" s="216" t="n"/>
      <c r="D981" s="216" t="n"/>
    </row>
    <row r="982" ht="16.5" customHeight="1" s="220">
      <c r="B982" s="216" t="n"/>
      <c r="C982" s="216" t="n"/>
      <c r="D982" s="216" t="n"/>
    </row>
    <row r="983" ht="16.5" customHeight="1" s="220">
      <c r="B983" s="216" t="n"/>
      <c r="C983" s="216" t="n"/>
      <c r="D983" s="216" t="n"/>
    </row>
    <row r="984" ht="16.5" customHeight="1" s="220">
      <c r="B984" s="216" t="n"/>
      <c r="C984" s="216" t="n"/>
      <c r="D984" s="216" t="n"/>
    </row>
    <row r="985" ht="16.5" customHeight="1" s="220">
      <c r="B985" s="216" t="n"/>
      <c r="C985" s="216" t="n"/>
      <c r="D985" s="216" t="n"/>
    </row>
    <row r="986" ht="16.5" customHeight="1" s="220">
      <c r="B986" s="216" t="n"/>
      <c r="C986" s="216" t="n"/>
      <c r="D986" s="216" t="n"/>
    </row>
    <row r="987" ht="16.5" customHeight="1" s="220">
      <c r="B987" s="216" t="n"/>
      <c r="C987" s="216" t="n"/>
      <c r="D987" s="216" t="n"/>
    </row>
    <row r="988" ht="16.5" customHeight="1" s="220">
      <c r="B988" s="216" t="n"/>
      <c r="C988" s="216" t="n"/>
      <c r="D988" s="216" t="n"/>
    </row>
    <row r="989" ht="16.5" customHeight="1" s="220">
      <c r="B989" s="216" t="n"/>
      <c r="C989" s="216" t="n"/>
      <c r="D989" s="216" t="n"/>
    </row>
    <row r="990" ht="16.5" customHeight="1" s="220">
      <c r="B990" s="216" t="n"/>
      <c r="C990" s="216" t="n"/>
      <c r="D990" s="216" t="n"/>
    </row>
    <row r="991" ht="16.5" customHeight="1" s="220">
      <c r="B991" s="216" t="n"/>
      <c r="C991" s="216" t="n"/>
      <c r="D991" s="216" t="n"/>
    </row>
    <row r="992" ht="16.5" customHeight="1" s="220">
      <c r="B992" s="216" t="n"/>
      <c r="C992" s="216" t="n"/>
      <c r="D992" s="216" t="n"/>
    </row>
    <row r="993" ht="16.5" customHeight="1" s="220">
      <c r="B993" s="216" t="n"/>
      <c r="C993" s="216" t="n"/>
      <c r="D993" s="216" t="n"/>
    </row>
    <row r="994" ht="16.5" customHeight="1" s="220">
      <c r="B994" s="216" t="n"/>
      <c r="C994" s="216" t="n"/>
      <c r="D994" s="216" t="n"/>
    </row>
    <row r="995" ht="16.5" customHeight="1" s="220">
      <c r="B995" s="216" t="n"/>
      <c r="C995" s="216" t="n"/>
      <c r="D995" s="216" t="n"/>
    </row>
    <row r="996" ht="16.5" customHeight="1" s="220">
      <c r="B996" s="216" t="n"/>
      <c r="C996" s="216" t="n"/>
      <c r="D996" s="216" t="n"/>
    </row>
    <row r="997" ht="16.5" customHeight="1" s="220">
      <c r="B997" s="216" t="n"/>
      <c r="C997" s="216" t="n"/>
      <c r="D997" s="216" t="n"/>
    </row>
    <row r="998" ht="16.5" customHeight="1" s="220">
      <c r="B998" s="216" t="n"/>
      <c r="C998" s="216" t="n"/>
      <c r="D998" s="216" t="n"/>
    </row>
    <row r="999" ht="16.5" customHeight="1" s="220">
      <c r="B999" s="216" t="n"/>
      <c r="C999" s="216" t="n"/>
      <c r="D999" s="216" t="n"/>
    </row>
    <row r="1000" ht="16.5" customHeight="1" s="220">
      <c r="B1000" s="216" t="n"/>
      <c r="C1000" s="216" t="n"/>
      <c r="D1000" s="216" t="n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tabColor rgb="FFFFCC00"/>
    <outlinePr summaryBelow="1" summaryRight="1"/>
    <pageSetUpPr/>
  </sheetPr>
  <dimension ref="B1:D1000"/>
  <sheetViews>
    <sheetView workbookViewId="0">
      <selection activeCell="A1" sqref="A1"/>
    </sheetView>
  </sheetViews>
  <sheetFormatPr baseColWidth="8" defaultColWidth="12.63" defaultRowHeight="15" customHeight="1"/>
  <cols>
    <col width="9" customWidth="1" style="220" min="1" max="1"/>
    <col width="19.5" customWidth="1" style="220" min="2" max="2"/>
    <col width="10.13" customWidth="1" style="220" min="3" max="3"/>
    <col width="6.63" customWidth="1" style="220" min="4" max="4"/>
    <col width="8" customWidth="1" style="220" min="5" max="26"/>
  </cols>
  <sheetData>
    <row r="1" ht="16.5" customHeight="1" s="220">
      <c r="B1" s="211" t="inlineStr">
        <is>
          <t>Range</t>
        </is>
      </c>
      <c r="C1" s="211" t="inlineStr">
        <is>
          <t>Tier</t>
        </is>
      </c>
      <c r="D1" s="211" t="inlineStr">
        <is>
          <t>Comm</t>
        </is>
      </c>
    </row>
    <row r="2" ht="16.5" customHeight="1" s="220">
      <c r="B2" s="212" t="inlineStr">
        <is>
          <t>$130,000 - $139,999</t>
        </is>
      </c>
      <c r="C2" s="213" t="n">
        <v>130000</v>
      </c>
      <c r="D2" s="214" t="n">
        <v>0.05</v>
      </c>
    </row>
    <row r="3" ht="16.5" customHeight="1" s="220">
      <c r="B3" s="212" t="inlineStr">
        <is>
          <t>$140,000 - $149,999</t>
        </is>
      </c>
      <c r="C3" s="213" t="n">
        <v>140000</v>
      </c>
      <c r="D3" s="214" t="n">
        <v>0.1</v>
      </c>
    </row>
    <row r="4" ht="16.5" customHeight="1" s="220">
      <c r="B4" s="212" t="inlineStr">
        <is>
          <t>$150,000 - $159,999</t>
        </is>
      </c>
      <c r="C4" s="213" t="n">
        <v>150000</v>
      </c>
      <c r="D4" s="214" t="n">
        <v>0.15</v>
      </c>
    </row>
    <row r="5" ht="16.5" customHeight="1" s="220">
      <c r="B5" s="212" t="inlineStr">
        <is>
          <t>$160,000 - $169,999</t>
        </is>
      </c>
      <c r="C5" s="213" t="n">
        <v>160000</v>
      </c>
      <c r="D5" s="214" t="n">
        <v>0.2</v>
      </c>
    </row>
    <row r="6" ht="16.5" customHeight="1" s="220">
      <c r="B6" s="212" t="inlineStr">
        <is>
          <t>$170,000 - $179,999</t>
        </is>
      </c>
      <c r="C6" s="213" t="n">
        <v>170000</v>
      </c>
      <c r="D6" s="214" t="n">
        <v>0.25</v>
      </c>
    </row>
    <row r="7" ht="16.5" customHeight="1" s="220">
      <c r="B7" s="212" t="inlineStr">
        <is>
          <t>$180,000 - $189,999</t>
        </is>
      </c>
      <c r="C7" s="213" t="n">
        <v>180000</v>
      </c>
      <c r="D7" s="214" t="n">
        <v>0.3</v>
      </c>
    </row>
    <row r="8" ht="16.5" customHeight="1" s="220">
      <c r="B8" s="212" t="inlineStr">
        <is>
          <t>$190,000 - $199,999</t>
        </is>
      </c>
      <c r="C8" s="213" t="n">
        <v>190000</v>
      </c>
      <c r="D8" s="214" t="n">
        <v>0.35</v>
      </c>
    </row>
    <row r="9" ht="16.5" customHeight="1" s="220">
      <c r="B9" s="212" t="inlineStr">
        <is>
          <t>$200,000 - $209,999</t>
        </is>
      </c>
      <c r="C9" s="213" t="n">
        <v>200000</v>
      </c>
      <c r="D9" s="214" t="n">
        <v>0.4</v>
      </c>
    </row>
    <row r="10" ht="16.5" customHeight="1" s="220">
      <c r="B10" s="212" t="inlineStr">
        <is>
          <t>$210,000 - $219,999</t>
        </is>
      </c>
      <c r="C10" s="213" t="n">
        <v>210000</v>
      </c>
      <c r="D10" s="214" t="n">
        <v>0.45</v>
      </c>
    </row>
    <row r="11" ht="16.5" customHeight="1" s="220">
      <c r="B11" s="212" t="inlineStr">
        <is>
          <t>$220,000 - $229,999</t>
        </is>
      </c>
      <c r="C11" s="213" t="n">
        <v>220000</v>
      </c>
      <c r="D11" s="214" t="n">
        <v>0.5</v>
      </c>
    </row>
    <row r="12" ht="16.5" customHeight="1" s="220">
      <c r="B12" s="212" t="inlineStr">
        <is>
          <t>$230,000 - $239,999</t>
        </is>
      </c>
      <c r="C12" s="213" t="n">
        <v>230000</v>
      </c>
      <c r="D12" s="214" t="n">
        <v>0.55</v>
      </c>
    </row>
    <row r="13" ht="16.5" customHeight="1" s="220">
      <c r="B13" s="212" t="inlineStr">
        <is>
          <t>$240,000 - $249,999</t>
        </is>
      </c>
      <c r="C13" s="213" t="n">
        <v>240000</v>
      </c>
      <c r="D13" s="214" t="n">
        <v>0.6</v>
      </c>
    </row>
    <row r="14" ht="16.5" customHeight="1" s="220">
      <c r="B14" s="212" t="inlineStr">
        <is>
          <t>$250,000 - $259,999</t>
        </is>
      </c>
      <c r="C14" s="215" t="n">
        <v>250000</v>
      </c>
      <c r="D14" s="214" t="n">
        <v>0.65</v>
      </c>
    </row>
    <row r="15" ht="16.5" customHeight="1" s="220">
      <c r="B15" s="212" t="inlineStr">
        <is>
          <t>$260,000 - $269,999</t>
        </is>
      </c>
      <c r="C15" s="215" t="n">
        <v>260000</v>
      </c>
      <c r="D15" s="214" t="n">
        <v>0.7</v>
      </c>
    </row>
    <row r="16" ht="16.5" customHeight="1" s="220">
      <c r="B16" s="212" t="inlineStr">
        <is>
          <t>$270,000 - $279,999</t>
        </is>
      </c>
      <c r="C16" s="215" t="n">
        <v>270000</v>
      </c>
      <c r="D16" s="214" t="n">
        <v>0.75</v>
      </c>
    </row>
    <row r="17" ht="16.5" customHeight="1" s="220">
      <c r="B17" s="212" t="inlineStr">
        <is>
          <t>$280,000 - $289,999</t>
        </is>
      </c>
      <c r="C17" s="215" t="n">
        <v>280000</v>
      </c>
      <c r="D17" s="214" t="n">
        <v>0.8</v>
      </c>
    </row>
    <row r="18" ht="16.5" customHeight="1" s="220">
      <c r="B18" s="212" t="inlineStr">
        <is>
          <t>$290,000 - $299,999</t>
        </is>
      </c>
      <c r="C18" s="215" t="n">
        <v>290000</v>
      </c>
      <c r="D18" s="214" t="n">
        <v>0.85</v>
      </c>
    </row>
    <row r="19" ht="16.5" customHeight="1" s="220">
      <c r="B19" s="212" t="inlineStr">
        <is>
          <t>$300,000 - $309,999</t>
        </is>
      </c>
      <c r="C19" s="215" t="n">
        <v>300000</v>
      </c>
      <c r="D19" s="214" t="n">
        <v>0.9</v>
      </c>
    </row>
    <row r="20" ht="16.5" customHeight="1" s="220">
      <c r="B20" s="212" t="inlineStr">
        <is>
          <t>$310,000 - $319,999</t>
        </is>
      </c>
      <c r="C20" s="215" t="n">
        <v>310000</v>
      </c>
      <c r="D20" s="214" t="n">
        <v>0.95</v>
      </c>
    </row>
    <row r="21" ht="16.5" customHeight="1" s="220">
      <c r="B21" s="212" t="inlineStr">
        <is>
          <t>$320,000 - $329,999</t>
        </is>
      </c>
      <c r="C21" s="215" t="n">
        <v>320000</v>
      </c>
      <c r="D21" s="214" t="n">
        <v>1</v>
      </c>
    </row>
    <row r="22" ht="16.5" customHeight="1" s="220">
      <c r="B22" s="212" t="inlineStr">
        <is>
          <t>$330,000 - $339,999</t>
        </is>
      </c>
      <c r="C22" s="215" t="n">
        <v>330000</v>
      </c>
      <c r="D22" s="214" t="n">
        <v>1.05</v>
      </c>
    </row>
    <row r="23" ht="16.5" customHeight="1" s="220">
      <c r="B23" s="212" t="inlineStr">
        <is>
          <t>$340,000 - $349,999</t>
        </is>
      </c>
      <c r="C23" s="215" t="n">
        <v>340000</v>
      </c>
      <c r="D23" s="214" t="n">
        <v>1.1</v>
      </c>
    </row>
    <row r="24" ht="16.5" customHeight="1" s="220">
      <c r="B24" s="212" t="inlineStr">
        <is>
          <t>$350,000 - $359,999</t>
        </is>
      </c>
      <c r="C24" s="215" t="n">
        <v>350000</v>
      </c>
      <c r="D24" s="214" t="n">
        <v>1.15</v>
      </c>
    </row>
    <row r="25" ht="16.5" customHeight="1" s="220">
      <c r="B25" s="216" t="inlineStr">
        <is>
          <t>$360,000 - $369,999</t>
        </is>
      </c>
      <c r="C25" s="217" t="n">
        <v>360000</v>
      </c>
      <c r="D25" s="214" t="n">
        <v>1.2</v>
      </c>
    </row>
    <row r="26" ht="16.5" customHeight="1" s="220">
      <c r="B26" s="212" t="inlineStr">
        <is>
          <t>$370,000 - $379,999</t>
        </is>
      </c>
      <c r="C26" s="215" t="n">
        <v>370000</v>
      </c>
      <c r="D26" s="214" t="n">
        <v>1.25</v>
      </c>
    </row>
    <row r="27" ht="16.5" customHeight="1" s="220">
      <c r="B27" s="212" t="inlineStr">
        <is>
          <t>$380,000 - $389,999</t>
        </is>
      </c>
      <c r="C27" s="215" t="n">
        <v>380000</v>
      </c>
      <c r="D27" s="214" t="n">
        <v>1.3</v>
      </c>
    </row>
    <row r="28" ht="16.5" customHeight="1" s="220">
      <c r="B28" s="212" t="inlineStr">
        <is>
          <t>$390,000 - $399,999</t>
        </is>
      </c>
      <c r="C28" s="215" t="n">
        <v>390000</v>
      </c>
      <c r="D28" s="214" t="n">
        <v>1.35</v>
      </c>
    </row>
    <row r="29" ht="16.5" customHeight="1" s="220">
      <c r="B29" s="216" t="inlineStr">
        <is>
          <t>$400,000 - $409,999</t>
        </is>
      </c>
      <c r="C29" s="215" t="n">
        <v>400000</v>
      </c>
      <c r="D29" s="214" t="n">
        <v>1.4</v>
      </c>
    </row>
    <row r="30" ht="16.5" customHeight="1" s="220">
      <c r="B30" s="216" t="inlineStr">
        <is>
          <t>$410,000 - $419,999</t>
        </is>
      </c>
      <c r="C30" s="215" t="n">
        <v>410000</v>
      </c>
      <c r="D30" s="214" t="n">
        <v>1.45</v>
      </c>
    </row>
    <row r="31" ht="16.5" customHeight="1" s="220">
      <c r="B31" s="216" t="inlineStr">
        <is>
          <t>$420,000 - $429,999</t>
        </is>
      </c>
      <c r="C31" s="215" t="n">
        <v>420000</v>
      </c>
      <c r="D31" s="214" t="n">
        <v>1.5</v>
      </c>
    </row>
    <row r="32" ht="16.5" customHeight="1" s="220">
      <c r="B32" s="216" t="inlineStr">
        <is>
          <t>$430,000 - $439,999</t>
        </is>
      </c>
      <c r="C32" s="215" t="n">
        <v>430000</v>
      </c>
      <c r="D32" s="214" t="n">
        <v>1.55</v>
      </c>
    </row>
    <row r="33" ht="16.5" customHeight="1" s="220">
      <c r="B33" s="216" t="inlineStr">
        <is>
          <t>$440,000 - $449,999</t>
        </is>
      </c>
      <c r="C33" s="215" t="n">
        <v>440000</v>
      </c>
      <c r="D33" s="214" t="n">
        <v>1.6</v>
      </c>
    </row>
    <row r="34" ht="16.5" customHeight="1" s="220">
      <c r="B34" s="216" t="inlineStr">
        <is>
          <t>$450,000 - $459,999</t>
        </is>
      </c>
      <c r="C34" s="215" t="n">
        <v>450000</v>
      </c>
      <c r="D34" s="214" t="n">
        <v>1.65</v>
      </c>
    </row>
    <row r="35" ht="16.5" customHeight="1" s="220">
      <c r="B35" s="216" t="n"/>
      <c r="C35" s="215" t="n">
        <v>460000</v>
      </c>
      <c r="D35" s="214" t="n">
        <v>1.7</v>
      </c>
    </row>
    <row r="36" ht="16.5" customHeight="1" s="220">
      <c r="B36" s="216" t="n"/>
      <c r="C36" s="215" t="n">
        <v>470000</v>
      </c>
      <c r="D36" s="214" t="n">
        <v>1.75</v>
      </c>
    </row>
    <row r="37" ht="16.5" customHeight="1" s="220">
      <c r="B37" s="216" t="n"/>
      <c r="C37" s="215" t="n">
        <v>480000</v>
      </c>
      <c r="D37" s="214" t="n">
        <v>1.8</v>
      </c>
    </row>
    <row r="38" ht="16.5" customHeight="1" s="220">
      <c r="B38" s="216" t="n"/>
      <c r="C38" s="215" t="n">
        <v>490000</v>
      </c>
      <c r="D38" s="214" t="n">
        <v>1.85</v>
      </c>
    </row>
    <row r="39" ht="16.5" customHeight="1" s="220">
      <c r="B39" s="216" t="n"/>
      <c r="C39" s="215" t="n">
        <v>500000</v>
      </c>
      <c r="D39" s="214" t="n">
        <v>1.9</v>
      </c>
    </row>
    <row r="40" ht="16.5" customHeight="1" s="220">
      <c r="B40" s="216" t="n"/>
      <c r="C40" s="215" t="n">
        <v>510000</v>
      </c>
      <c r="D40" s="214" t="n">
        <v>1.95</v>
      </c>
    </row>
    <row r="41" ht="16.5" customHeight="1" s="220">
      <c r="B41" s="216" t="n"/>
      <c r="C41" s="215" t="n">
        <v>520000</v>
      </c>
      <c r="D41" s="214" t="n">
        <v>2</v>
      </c>
    </row>
    <row r="42" ht="16.5" customHeight="1" s="220">
      <c r="B42" s="216" t="n"/>
      <c r="C42" s="215" t="n">
        <v>530000</v>
      </c>
      <c r="D42" s="214" t="n">
        <v>2.05</v>
      </c>
    </row>
    <row r="43" ht="16.5" customHeight="1" s="220">
      <c r="B43" s="216" t="n"/>
      <c r="C43" s="215" t="n">
        <v>540000</v>
      </c>
      <c r="D43" s="214" t="n">
        <v>2.1</v>
      </c>
    </row>
    <row r="44" ht="16.5" customHeight="1" s="220">
      <c r="B44" s="216" t="n"/>
      <c r="C44" s="215" t="n">
        <v>550000</v>
      </c>
      <c r="D44" s="214" t="n">
        <v>2.15</v>
      </c>
    </row>
    <row r="45" ht="16.5" customHeight="1" s="220">
      <c r="B45" s="216" t="n"/>
      <c r="C45" s="215" t="n">
        <v>560000</v>
      </c>
      <c r="D45" s="214" t="n">
        <v>2.2</v>
      </c>
    </row>
    <row r="46" ht="16.5" customHeight="1" s="220">
      <c r="B46" s="216" t="n"/>
      <c r="C46" s="215" t="n">
        <v>570000</v>
      </c>
      <c r="D46" s="214" t="n">
        <v>2.25</v>
      </c>
    </row>
    <row r="47" ht="16.5" customHeight="1" s="220">
      <c r="B47" s="216" t="n"/>
      <c r="C47" s="216" t="n"/>
      <c r="D47" s="214" t="n">
        <v>2.3</v>
      </c>
    </row>
    <row r="48" ht="16.5" customHeight="1" s="220">
      <c r="B48" s="216" t="n"/>
      <c r="C48" s="216" t="n"/>
      <c r="D48" s="214" t="n">
        <v>2.35</v>
      </c>
    </row>
    <row r="49" ht="16.5" customHeight="1" s="220">
      <c r="B49" s="216" t="n"/>
      <c r="C49" s="216" t="n"/>
      <c r="D49" s="216" t="n"/>
    </row>
    <row r="50" ht="16.5" customHeight="1" s="220">
      <c r="B50" s="216" t="n"/>
      <c r="C50" s="216" t="n"/>
      <c r="D50" s="216" t="n"/>
    </row>
    <row r="51" ht="16.5" customHeight="1" s="220">
      <c r="B51" s="216" t="n"/>
      <c r="C51" s="216" t="n"/>
      <c r="D51" s="216" t="n"/>
    </row>
    <row r="52" ht="16.5" customHeight="1" s="220">
      <c r="B52" s="216" t="n"/>
      <c r="C52" s="216" t="n"/>
      <c r="D52" s="216" t="n"/>
    </row>
    <row r="53" ht="16.5" customHeight="1" s="220">
      <c r="B53" s="216" t="n"/>
      <c r="C53" s="216" t="n"/>
      <c r="D53" s="216" t="n"/>
    </row>
    <row r="54" ht="16.5" customHeight="1" s="220">
      <c r="B54" s="216" t="n"/>
      <c r="C54" s="216" t="n"/>
      <c r="D54" s="216" t="n"/>
    </row>
    <row r="55" ht="16.5" customHeight="1" s="220">
      <c r="B55" s="216" t="n"/>
      <c r="C55" s="216" t="n"/>
      <c r="D55" s="216" t="n"/>
    </row>
    <row r="56" ht="16.5" customHeight="1" s="220">
      <c r="B56" s="216" t="n"/>
      <c r="C56" s="216" t="n"/>
      <c r="D56" s="216" t="n"/>
    </row>
    <row r="57" ht="16.5" customHeight="1" s="220">
      <c r="B57" s="216" t="n"/>
      <c r="C57" s="216" t="n"/>
      <c r="D57" s="216" t="n"/>
    </row>
    <row r="58" ht="16.5" customHeight="1" s="220">
      <c r="B58" s="216" t="n"/>
      <c r="C58" s="216" t="n"/>
      <c r="D58" s="216" t="n"/>
    </row>
    <row r="59" ht="16.5" customHeight="1" s="220">
      <c r="B59" s="216" t="n"/>
      <c r="C59" s="216" t="n"/>
      <c r="D59" s="216" t="n"/>
    </row>
    <row r="60" ht="16.5" customHeight="1" s="220">
      <c r="B60" s="216" t="n"/>
      <c r="C60" s="216" t="n"/>
      <c r="D60" s="216" t="n"/>
    </row>
    <row r="61" ht="16.5" customHeight="1" s="220">
      <c r="B61" s="216" t="n"/>
      <c r="C61" s="216" t="n"/>
      <c r="D61" s="216" t="n"/>
    </row>
    <row r="62" ht="16.5" customHeight="1" s="220">
      <c r="B62" s="216" t="n"/>
      <c r="C62" s="216" t="n"/>
      <c r="D62" s="216" t="n"/>
    </row>
    <row r="63" ht="16.5" customHeight="1" s="220">
      <c r="B63" s="216" t="n"/>
      <c r="C63" s="216" t="n"/>
      <c r="D63" s="216" t="n"/>
    </row>
    <row r="64" ht="16.5" customHeight="1" s="220">
      <c r="B64" s="216" t="n"/>
      <c r="C64" s="216" t="n"/>
      <c r="D64" s="216" t="n"/>
    </row>
    <row r="65" ht="16.5" customHeight="1" s="220">
      <c r="B65" s="216" t="n"/>
      <c r="C65" s="216" t="n"/>
      <c r="D65" s="216" t="n"/>
    </row>
    <row r="66" ht="16.5" customHeight="1" s="220">
      <c r="B66" s="216" t="n"/>
      <c r="C66" s="216" t="n"/>
      <c r="D66" s="216" t="n"/>
    </row>
    <row r="67" ht="16.5" customHeight="1" s="220">
      <c r="B67" s="216" t="n"/>
      <c r="C67" s="216" t="n"/>
      <c r="D67" s="216" t="n"/>
    </row>
    <row r="68" ht="16.5" customHeight="1" s="220">
      <c r="B68" s="216" t="n"/>
      <c r="C68" s="216" t="n"/>
      <c r="D68" s="216" t="n"/>
    </row>
    <row r="69" ht="16.5" customHeight="1" s="220">
      <c r="B69" s="216" t="n"/>
      <c r="C69" s="216" t="n"/>
      <c r="D69" s="216" t="n"/>
    </row>
    <row r="70" ht="16.5" customHeight="1" s="220">
      <c r="B70" s="216" t="n"/>
      <c r="C70" s="216" t="n"/>
      <c r="D70" s="216" t="n"/>
    </row>
    <row r="71" ht="16.5" customHeight="1" s="220">
      <c r="B71" s="216" t="n"/>
      <c r="C71" s="216" t="n"/>
      <c r="D71" s="216" t="n"/>
    </row>
    <row r="72" ht="16.5" customHeight="1" s="220">
      <c r="B72" s="216" t="n"/>
      <c r="C72" s="216" t="n"/>
      <c r="D72" s="216" t="n"/>
    </row>
    <row r="73" ht="16.5" customHeight="1" s="220">
      <c r="B73" s="216" t="n"/>
      <c r="C73" s="216" t="n"/>
      <c r="D73" s="216" t="n"/>
    </row>
    <row r="74" ht="16.5" customHeight="1" s="220">
      <c r="B74" s="216" t="n"/>
      <c r="C74" s="216" t="n"/>
      <c r="D74" s="216" t="n"/>
    </row>
    <row r="75" ht="16.5" customHeight="1" s="220">
      <c r="B75" s="216" t="n"/>
      <c r="C75" s="216" t="n"/>
      <c r="D75" s="216" t="n"/>
    </row>
    <row r="76" ht="16.5" customHeight="1" s="220">
      <c r="B76" s="216" t="n"/>
      <c r="C76" s="216" t="n"/>
      <c r="D76" s="216" t="n"/>
    </row>
    <row r="77" ht="16.5" customHeight="1" s="220">
      <c r="B77" s="216" t="n"/>
      <c r="C77" s="216" t="n"/>
      <c r="D77" s="216" t="n"/>
    </row>
    <row r="78" ht="16.5" customHeight="1" s="220">
      <c r="B78" s="216" t="n"/>
      <c r="C78" s="216" t="n"/>
      <c r="D78" s="216" t="n"/>
    </row>
    <row r="79" ht="16.5" customHeight="1" s="220">
      <c r="B79" s="216" t="n"/>
      <c r="C79" s="216" t="n"/>
      <c r="D79" s="216" t="n"/>
    </row>
    <row r="80" ht="16.5" customHeight="1" s="220">
      <c r="B80" s="216" t="n"/>
      <c r="C80" s="216" t="n"/>
      <c r="D80" s="216" t="n"/>
    </row>
    <row r="81" ht="16.5" customHeight="1" s="220">
      <c r="B81" s="216" t="n"/>
      <c r="C81" s="216" t="n"/>
      <c r="D81" s="216" t="n"/>
    </row>
    <row r="82" ht="16.5" customHeight="1" s="220">
      <c r="B82" s="216" t="n"/>
      <c r="C82" s="216" t="n"/>
      <c r="D82" s="216" t="n"/>
    </row>
    <row r="83" ht="16.5" customHeight="1" s="220">
      <c r="B83" s="216" t="n"/>
      <c r="C83" s="216" t="n"/>
      <c r="D83" s="216" t="n"/>
    </row>
    <row r="84" ht="16.5" customHeight="1" s="220">
      <c r="B84" s="216" t="n"/>
      <c r="C84" s="216" t="n"/>
      <c r="D84" s="216" t="n"/>
    </row>
    <row r="85" ht="16.5" customHeight="1" s="220">
      <c r="B85" s="216" t="n"/>
      <c r="C85" s="216" t="n"/>
      <c r="D85" s="216" t="n"/>
    </row>
    <row r="86" ht="16.5" customHeight="1" s="220">
      <c r="B86" s="216" t="n"/>
      <c r="C86" s="216" t="n"/>
      <c r="D86" s="216" t="n"/>
    </row>
    <row r="87" ht="16.5" customHeight="1" s="220">
      <c r="B87" s="216" t="n"/>
      <c r="C87" s="216" t="n"/>
      <c r="D87" s="216" t="n"/>
    </row>
    <row r="88" ht="16.5" customHeight="1" s="220">
      <c r="B88" s="216" t="n"/>
      <c r="C88" s="216" t="n"/>
      <c r="D88" s="216" t="n"/>
    </row>
    <row r="89" ht="16.5" customHeight="1" s="220">
      <c r="B89" s="216" t="n"/>
      <c r="C89" s="216" t="n"/>
      <c r="D89" s="216" t="n"/>
    </row>
    <row r="90" ht="16.5" customHeight="1" s="220">
      <c r="B90" s="216" t="n"/>
      <c r="C90" s="216" t="n"/>
      <c r="D90" s="216" t="n"/>
    </row>
    <row r="91" ht="16.5" customHeight="1" s="220">
      <c r="B91" s="216" t="n"/>
      <c r="C91" s="216" t="n"/>
      <c r="D91" s="216" t="n"/>
    </row>
    <row r="92" ht="16.5" customHeight="1" s="220">
      <c r="B92" s="216" t="n"/>
      <c r="C92" s="216" t="n"/>
      <c r="D92" s="216" t="n"/>
    </row>
    <row r="93" ht="16.5" customHeight="1" s="220">
      <c r="B93" s="216" t="n"/>
      <c r="C93" s="216" t="n"/>
      <c r="D93" s="216" t="n"/>
    </row>
    <row r="94" ht="16.5" customHeight="1" s="220">
      <c r="B94" s="216" t="n"/>
      <c r="C94" s="216" t="n"/>
      <c r="D94" s="216" t="n"/>
    </row>
    <row r="95" ht="16.5" customHeight="1" s="220">
      <c r="B95" s="216" t="n"/>
      <c r="C95" s="216" t="n"/>
      <c r="D95" s="216" t="n"/>
    </row>
    <row r="96" ht="16.5" customHeight="1" s="220">
      <c r="B96" s="216" t="n"/>
      <c r="C96" s="216" t="n"/>
      <c r="D96" s="216" t="n"/>
    </row>
    <row r="97" ht="16.5" customHeight="1" s="220">
      <c r="B97" s="216" t="n"/>
      <c r="C97" s="216" t="n"/>
      <c r="D97" s="216" t="n"/>
    </row>
    <row r="98" ht="16.5" customHeight="1" s="220">
      <c r="B98" s="216" t="n"/>
      <c r="C98" s="216" t="n"/>
      <c r="D98" s="216" t="n"/>
    </row>
    <row r="99" ht="16.5" customHeight="1" s="220">
      <c r="B99" s="216" t="n"/>
      <c r="C99" s="216" t="n"/>
      <c r="D99" s="216" t="n"/>
    </row>
    <row r="100" ht="16.5" customHeight="1" s="220">
      <c r="B100" s="216" t="n"/>
      <c r="C100" s="216" t="n"/>
      <c r="D100" s="216" t="n"/>
    </row>
    <row r="101" ht="16.5" customHeight="1" s="220">
      <c r="B101" s="216" t="n"/>
      <c r="C101" s="216" t="n"/>
      <c r="D101" s="216" t="n"/>
    </row>
    <row r="102" ht="16.5" customHeight="1" s="220">
      <c r="B102" s="216" t="n"/>
      <c r="C102" s="216" t="n"/>
      <c r="D102" s="216" t="n"/>
    </row>
    <row r="103" ht="16.5" customHeight="1" s="220">
      <c r="B103" s="216" t="n"/>
      <c r="C103" s="216" t="n"/>
      <c r="D103" s="216" t="n"/>
    </row>
    <row r="104" ht="16.5" customHeight="1" s="220">
      <c r="B104" s="216" t="n"/>
      <c r="C104" s="216" t="n"/>
      <c r="D104" s="216" t="n"/>
    </row>
    <row r="105" ht="16.5" customHeight="1" s="220">
      <c r="B105" s="216" t="n"/>
      <c r="C105" s="216" t="n"/>
      <c r="D105" s="216" t="n"/>
    </row>
    <row r="106" ht="16.5" customHeight="1" s="220">
      <c r="B106" s="216" t="n"/>
      <c r="C106" s="216" t="n"/>
      <c r="D106" s="216" t="n"/>
    </row>
    <row r="107" ht="16.5" customHeight="1" s="220">
      <c r="B107" s="216" t="n"/>
      <c r="C107" s="216" t="n"/>
      <c r="D107" s="216" t="n"/>
    </row>
    <row r="108" ht="16.5" customHeight="1" s="220">
      <c r="B108" s="216" t="n"/>
      <c r="C108" s="216" t="n"/>
      <c r="D108" s="216" t="n"/>
    </row>
    <row r="109" ht="16.5" customHeight="1" s="220">
      <c r="B109" s="216" t="n"/>
      <c r="C109" s="216" t="n"/>
      <c r="D109" s="216" t="n"/>
    </row>
    <row r="110" ht="16.5" customHeight="1" s="220">
      <c r="B110" s="216" t="n"/>
      <c r="C110" s="216" t="n"/>
      <c r="D110" s="216" t="n"/>
    </row>
    <row r="111" ht="16.5" customHeight="1" s="220">
      <c r="B111" s="216" t="n"/>
      <c r="C111" s="216" t="n"/>
      <c r="D111" s="216" t="n"/>
    </row>
    <row r="112" ht="16.5" customHeight="1" s="220">
      <c r="B112" s="216" t="n"/>
      <c r="C112" s="216" t="n"/>
      <c r="D112" s="216" t="n"/>
    </row>
    <row r="113" ht="16.5" customHeight="1" s="220">
      <c r="B113" s="216" t="n"/>
      <c r="C113" s="216" t="n"/>
      <c r="D113" s="216" t="n"/>
    </row>
    <row r="114" ht="16.5" customHeight="1" s="220">
      <c r="B114" s="216" t="n"/>
      <c r="C114" s="216" t="n"/>
      <c r="D114" s="216" t="n"/>
    </row>
    <row r="115" ht="16.5" customHeight="1" s="220">
      <c r="B115" s="216" t="n"/>
      <c r="C115" s="216" t="n"/>
      <c r="D115" s="216" t="n"/>
    </row>
    <row r="116" ht="16.5" customHeight="1" s="220">
      <c r="B116" s="216" t="n"/>
      <c r="C116" s="216" t="n"/>
      <c r="D116" s="216" t="n"/>
    </row>
    <row r="117" ht="16.5" customHeight="1" s="220">
      <c r="B117" s="216" t="n"/>
      <c r="C117" s="216" t="n"/>
      <c r="D117" s="216" t="n"/>
    </row>
    <row r="118" ht="16.5" customHeight="1" s="220">
      <c r="B118" s="216" t="n"/>
      <c r="C118" s="216" t="n"/>
      <c r="D118" s="216" t="n"/>
    </row>
    <row r="119" ht="16.5" customHeight="1" s="220">
      <c r="B119" s="216" t="n"/>
      <c r="C119" s="216" t="n"/>
      <c r="D119" s="216" t="n"/>
    </row>
    <row r="120" ht="16.5" customHeight="1" s="220">
      <c r="B120" s="216" t="n"/>
      <c r="C120" s="216" t="n"/>
      <c r="D120" s="216" t="n"/>
    </row>
    <row r="121" ht="16.5" customHeight="1" s="220">
      <c r="B121" s="216" t="n"/>
      <c r="C121" s="216" t="n"/>
      <c r="D121" s="216" t="n"/>
    </row>
    <row r="122" ht="16.5" customHeight="1" s="220">
      <c r="B122" s="216" t="n"/>
      <c r="C122" s="216" t="n"/>
      <c r="D122" s="216" t="n"/>
    </row>
    <row r="123" ht="16.5" customHeight="1" s="220">
      <c r="B123" s="216" t="n"/>
      <c r="C123" s="216" t="n"/>
      <c r="D123" s="216" t="n"/>
    </row>
    <row r="124" ht="16.5" customHeight="1" s="220">
      <c r="B124" s="216" t="n"/>
      <c r="C124" s="216" t="n"/>
      <c r="D124" s="216" t="n"/>
    </row>
    <row r="125" ht="16.5" customHeight="1" s="220">
      <c r="B125" s="216" t="n"/>
      <c r="C125" s="216" t="n"/>
      <c r="D125" s="216" t="n"/>
    </row>
    <row r="126" ht="16.5" customHeight="1" s="220">
      <c r="B126" s="216" t="n"/>
      <c r="C126" s="216" t="n"/>
      <c r="D126" s="216" t="n"/>
    </row>
    <row r="127" ht="16.5" customHeight="1" s="220">
      <c r="B127" s="216" t="n"/>
      <c r="C127" s="216" t="n"/>
      <c r="D127" s="216" t="n"/>
    </row>
    <row r="128" ht="16.5" customHeight="1" s="220">
      <c r="B128" s="216" t="n"/>
      <c r="C128" s="216" t="n"/>
      <c r="D128" s="216" t="n"/>
    </row>
    <row r="129" ht="16.5" customHeight="1" s="220">
      <c r="B129" s="216" t="n"/>
      <c r="C129" s="216" t="n"/>
      <c r="D129" s="216" t="n"/>
    </row>
    <row r="130" ht="16.5" customHeight="1" s="220">
      <c r="B130" s="216" t="n"/>
      <c r="C130" s="216" t="n"/>
      <c r="D130" s="216" t="n"/>
    </row>
    <row r="131" ht="16.5" customHeight="1" s="220">
      <c r="B131" s="216" t="n"/>
      <c r="C131" s="216" t="n"/>
      <c r="D131" s="216" t="n"/>
    </row>
    <row r="132" ht="16.5" customHeight="1" s="220">
      <c r="B132" s="216" t="n"/>
      <c r="C132" s="216" t="n"/>
      <c r="D132" s="216" t="n"/>
    </row>
    <row r="133" ht="16.5" customHeight="1" s="220">
      <c r="B133" s="216" t="n"/>
      <c r="C133" s="216" t="n"/>
      <c r="D133" s="216" t="n"/>
    </row>
    <row r="134" ht="16.5" customHeight="1" s="220">
      <c r="B134" s="216" t="n"/>
      <c r="C134" s="216" t="n"/>
      <c r="D134" s="216" t="n"/>
    </row>
    <row r="135" ht="16.5" customHeight="1" s="220">
      <c r="B135" s="216" t="n"/>
      <c r="C135" s="216" t="n"/>
      <c r="D135" s="216" t="n"/>
    </row>
    <row r="136" ht="16.5" customHeight="1" s="220">
      <c r="B136" s="216" t="n"/>
      <c r="C136" s="216" t="n"/>
      <c r="D136" s="216" t="n"/>
    </row>
    <row r="137" ht="16.5" customHeight="1" s="220">
      <c r="B137" s="216" t="n"/>
      <c r="C137" s="216" t="n"/>
      <c r="D137" s="216" t="n"/>
    </row>
    <row r="138" ht="16.5" customHeight="1" s="220">
      <c r="B138" s="216" t="n"/>
      <c r="C138" s="216" t="n"/>
      <c r="D138" s="216" t="n"/>
    </row>
    <row r="139" ht="16.5" customHeight="1" s="220">
      <c r="B139" s="216" t="n"/>
      <c r="C139" s="216" t="n"/>
      <c r="D139" s="216" t="n"/>
    </row>
    <row r="140" ht="16.5" customHeight="1" s="220">
      <c r="B140" s="216" t="n"/>
      <c r="C140" s="216" t="n"/>
      <c r="D140" s="216" t="n"/>
    </row>
    <row r="141" ht="16.5" customHeight="1" s="220">
      <c r="B141" s="216" t="n"/>
      <c r="C141" s="216" t="n"/>
      <c r="D141" s="216" t="n"/>
    </row>
    <row r="142" ht="16.5" customHeight="1" s="220">
      <c r="B142" s="216" t="n"/>
      <c r="C142" s="216" t="n"/>
      <c r="D142" s="216" t="n"/>
    </row>
    <row r="143" ht="16.5" customHeight="1" s="220">
      <c r="B143" s="216" t="n"/>
      <c r="C143" s="216" t="n"/>
      <c r="D143" s="216" t="n"/>
    </row>
    <row r="144" ht="16.5" customHeight="1" s="220">
      <c r="B144" s="216" t="n"/>
      <c r="C144" s="216" t="n"/>
      <c r="D144" s="216" t="n"/>
    </row>
    <row r="145" ht="16.5" customHeight="1" s="220">
      <c r="B145" s="216" t="n"/>
      <c r="C145" s="216" t="n"/>
      <c r="D145" s="216" t="n"/>
    </row>
    <row r="146" ht="16.5" customHeight="1" s="220">
      <c r="B146" s="216" t="n"/>
      <c r="C146" s="216" t="n"/>
      <c r="D146" s="216" t="n"/>
    </row>
    <row r="147" ht="16.5" customHeight="1" s="220">
      <c r="B147" s="216" t="n"/>
      <c r="C147" s="216" t="n"/>
      <c r="D147" s="216" t="n"/>
    </row>
    <row r="148" ht="16.5" customHeight="1" s="220">
      <c r="B148" s="216" t="n"/>
      <c r="C148" s="216" t="n"/>
      <c r="D148" s="216" t="n"/>
    </row>
    <row r="149" ht="16.5" customHeight="1" s="220">
      <c r="B149" s="216" t="n"/>
      <c r="C149" s="216" t="n"/>
      <c r="D149" s="216" t="n"/>
    </row>
    <row r="150" ht="16.5" customHeight="1" s="220">
      <c r="B150" s="216" t="n"/>
      <c r="C150" s="216" t="n"/>
      <c r="D150" s="216" t="n"/>
    </row>
    <row r="151" ht="16.5" customHeight="1" s="220">
      <c r="B151" s="216" t="n"/>
      <c r="C151" s="216" t="n"/>
      <c r="D151" s="216" t="n"/>
    </row>
    <row r="152" ht="16.5" customHeight="1" s="220">
      <c r="B152" s="216" t="n"/>
      <c r="C152" s="216" t="n"/>
      <c r="D152" s="216" t="n"/>
    </row>
    <row r="153" ht="16.5" customHeight="1" s="220">
      <c r="B153" s="216" t="n"/>
      <c r="C153" s="216" t="n"/>
      <c r="D153" s="216" t="n"/>
    </row>
    <row r="154" ht="16.5" customHeight="1" s="220">
      <c r="B154" s="216" t="n"/>
      <c r="C154" s="216" t="n"/>
      <c r="D154" s="216" t="n"/>
    </row>
    <row r="155" ht="16.5" customHeight="1" s="220">
      <c r="B155" s="216" t="n"/>
      <c r="C155" s="216" t="n"/>
      <c r="D155" s="216" t="n"/>
    </row>
    <row r="156" ht="16.5" customHeight="1" s="220">
      <c r="B156" s="216" t="n"/>
      <c r="C156" s="216" t="n"/>
      <c r="D156" s="216" t="n"/>
    </row>
    <row r="157" ht="16.5" customHeight="1" s="220">
      <c r="B157" s="216" t="n"/>
      <c r="C157" s="216" t="n"/>
      <c r="D157" s="216" t="n"/>
    </row>
    <row r="158" ht="16.5" customHeight="1" s="220">
      <c r="B158" s="216" t="n"/>
      <c r="C158" s="216" t="n"/>
      <c r="D158" s="216" t="n"/>
    </row>
    <row r="159" ht="16.5" customHeight="1" s="220">
      <c r="B159" s="216" t="n"/>
      <c r="C159" s="216" t="n"/>
      <c r="D159" s="216" t="n"/>
    </row>
    <row r="160" ht="16.5" customHeight="1" s="220">
      <c r="B160" s="216" t="n"/>
      <c r="C160" s="216" t="n"/>
      <c r="D160" s="216" t="n"/>
    </row>
    <row r="161" ht="16.5" customHeight="1" s="220">
      <c r="B161" s="216" t="n"/>
      <c r="C161" s="216" t="n"/>
      <c r="D161" s="216" t="n"/>
    </row>
    <row r="162" ht="16.5" customHeight="1" s="220">
      <c r="B162" s="216" t="n"/>
      <c r="C162" s="216" t="n"/>
      <c r="D162" s="216" t="n"/>
    </row>
    <row r="163" ht="16.5" customHeight="1" s="220">
      <c r="B163" s="216" t="n"/>
      <c r="C163" s="216" t="n"/>
      <c r="D163" s="216" t="n"/>
    </row>
    <row r="164" ht="16.5" customHeight="1" s="220">
      <c r="B164" s="216" t="n"/>
      <c r="C164" s="216" t="n"/>
      <c r="D164" s="216" t="n"/>
    </row>
    <row r="165" ht="16.5" customHeight="1" s="220">
      <c r="B165" s="216" t="n"/>
      <c r="C165" s="216" t="n"/>
      <c r="D165" s="216" t="n"/>
    </row>
    <row r="166" ht="16.5" customHeight="1" s="220">
      <c r="B166" s="216" t="n"/>
      <c r="C166" s="216" t="n"/>
      <c r="D166" s="216" t="n"/>
    </row>
    <row r="167" ht="16.5" customHeight="1" s="220">
      <c r="B167" s="216" t="n"/>
      <c r="C167" s="216" t="n"/>
      <c r="D167" s="216" t="n"/>
    </row>
    <row r="168" ht="16.5" customHeight="1" s="220">
      <c r="B168" s="216" t="n"/>
      <c r="C168" s="216" t="n"/>
      <c r="D168" s="216" t="n"/>
    </row>
    <row r="169" ht="16.5" customHeight="1" s="220">
      <c r="B169" s="216" t="n"/>
      <c r="C169" s="216" t="n"/>
      <c r="D169" s="216" t="n"/>
    </row>
    <row r="170" ht="16.5" customHeight="1" s="220">
      <c r="B170" s="216" t="n"/>
      <c r="C170" s="216" t="n"/>
      <c r="D170" s="216" t="n"/>
    </row>
    <row r="171" ht="16.5" customHeight="1" s="220">
      <c r="B171" s="216" t="n"/>
      <c r="C171" s="216" t="n"/>
      <c r="D171" s="216" t="n"/>
    </row>
    <row r="172" ht="16.5" customHeight="1" s="220">
      <c r="B172" s="216" t="n"/>
      <c r="C172" s="216" t="n"/>
      <c r="D172" s="216" t="n"/>
    </row>
    <row r="173" ht="16.5" customHeight="1" s="220">
      <c r="B173" s="216" t="n"/>
      <c r="C173" s="216" t="n"/>
      <c r="D173" s="216" t="n"/>
    </row>
    <row r="174" ht="16.5" customHeight="1" s="220">
      <c r="B174" s="216" t="n"/>
      <c r="C174" s="216" t="n"/>
      <c r="D174" s="216" t="n"/>
    </row>
    <row r="175" ht="16.5" customHeight="1" s="220">
      <c r="B175" s="216" t="n"/>
      <c r="C175" s="216" t="n"/>
      <c r="D175" s="216" t="n"/>
    </row>
    <row r="176" ht="16.5" customHeight="1" s="220">
      <c r="B176" s="216" t="n"/>
      <c r="C176" s="216" t="n"/>
      <c r="D176" s="216" t="n"/>
    </row>
    <row r="177" ht="16.5" customHeight="1" s="220">
      <c r="B177" s="216" t="n"/>
      <c r="C177" s="216" t="n"/>
      <c r="D177" s="216" t="n"/>
    </row>
    <row r="178" ht="16.5" customHeight="1" s="220">
      <c r="B178" s="216" t="n"/>
      <c r="C178" s="216" t="n"/>
      <c r="D178" s="216" t="n"/>
    </row>
    <row r="179" ht="16.5" customHeight="1" s="220">
      <c r="B179" s="216" t="n"/>
      <c r="C179" s="216" t="n"/>
      <c r="D179" s="216" t="n"/>
    </row>
    <row r="180" ht="16.5" customHeight="1" s="220">
      <c r="B180" s="216" t="n"/>
      <c r="C180" s="216" t="n"/>
      <c r="D180" s="216" t="n"/>
    </row>
    <row r="181" ht="16.5" customHeight="1" s="220">
      <c r="B181" s="216" t="n"/>
      <c r="C181" s="216" t="n"/>
      <c r="D181" s="216" t="n"/>
    </row>
    <row r="182" ht="16.5" customHeight="1" s="220">
      <c r="B182" s="216" t="n"/>
      <c r="C182" s="216" t="n"/>
      <c r="D182" s="216" t="n"/>
    </row>
    <row r="183" ht="16.5" customHeight="1" s="220">
      <c r="B183" s="216" t="n"/>
      <c r="C183" s="216" t="n"/>
      <c r="D183" s="216" t="n"/>
    </row>
    <row r="184" ht="16.5" customHeight="1" s="220">
      <c r="B184" s="216" t="n"/>
      <c r="C184" s="216" t="n"/>
      <c r="D184" s="216" t="n"/>
    </row>
    <row r="185" ht="16.5" customHeight="1" s="220">
      <c r="B185" s="216" t="n"/>
      <c r="C185" s="216" t="n"/>
      <c r="D185" s="216" t="n"/>
    </row>
    <row r="186" ht="16.5" customHeight="1" s="220">
      <c r="B186" s="216" t="n"/>
      <c r="C186" s="216" t="n"/>
      <c r="D186" s="216" t="n"/>
    </row>
    <row r="187" ht="16.5" customHeight="1" s="220">
      <c r="B187" s="216" t="n"/>
      <c r="C187" s="216" t="n"/>
      <c r="D187" s="216" t="n"/>
    </row>
    <row r="188" ht="16.5" customHeight="1" s="220">
      <c r="B188" s="216" t="n"/>
      <c r="C188" s="216" t="n"/>
      <c r="D188" s="216" t="n"/>
    </row>
    <row r="189" ht="16.5" customHeight="1" s="220">
      <c r="B189" s="216" t="n"/>
      <c r="C189" s="216" t="n"/>
      <c r="D189" s="216" t="n"/>
    </row>
    <row r="190" ht="16.5" customHeight="1" s="220">
      <c r="B190" s="216" t="n"/>
      <c r="C190" s="216" t="n"/>
      <c r="D190" s="216" t="n"/>
    </row>
    <row r="191" ht="16.5" customHeight="1" s="220">
      <c r="B191" s="216" t="n"/>
      <c r="C191" s="216" t="n"/>
      <c r="D191" s="216" t="n"/>
    </row>
    <row r="192" ht="16.5" customHeight="1" s="220">
      <c r="B192" s="216" t="n"/>
      <c r="C192" s="216" t="n"/>
      <c r="D192" s="216" t="n"/>
    </row>
    <row r="193" ht="16.5" customHeight="1" s="220">
      <c r="B193" s="216" t="n"/>
      <c r="C193" s="216" t="n"/>
      <c r="D193" s="216" t="n"/>
    </row>
    <row r="194" ht="16.5" customHeight="1" s="220">
      <c r="B194" s="216" t="n"/>
      <c r="C194" s="216" t="n"/>
      <c r="D194" s="216" t="n"/>
    </row>
    <row r="195" ht="16.5" customHeight="1" s="220">
      <c r="B195" s="216" t="n"/>
      <c r="C195" s="216" t="n"/>
      <c r="D195" s="216" t="n"/>
    </row>
    <row r="196" ht="16.5" customHeight="1" s="220">
      <c r="B196" s="216" t="n"/>
      <c r="C196" s="216" t="n"/>
      <c r="D196" s="216" t="n"/>
    </row>
    <row r="197" ht="16.5" customHeight="1" s="220">
      <c r="B197" s="216" t="n"/>
      <c r="C197" s="216" t="n"/>
      <c r="D197" s="216" t="n"/>
    </row>
    <row r="198" ht="16.5" customHeight="1" s="220">
      <c r="B198" s="216" t="n"/>
      <c r="C198" s="216" t="n"/>
      <c r="D198" s="216" t="n"/>
    </row>
    <row r="199" ht="16.5" customHeight="1" s="220">
      <c r="B199" s="216" t="n"/>
      <c r="C199" s="216" t="n"/>
      <c r="D199" s="216" t="n"/>
    </row>
    <row r="200" ht="16.5" customHeight="1" s="220">
      <c r="B200" s="216" t="n"/>
      <c r="C200" s="216" t="n"/>
      <c r="D200" s="216" t="n"/>
    </row>
    <row r="201" ht="16.5" customHeight="1" s="220">
      <c r="B201" s="216" t="n"/>
      <c r="C201" s="216" t="n"/>
      <c r="D201" s="216" t="n"/>
    </row>
    <row r="202" ht="16.5" customHeight="1" s="220">
      <c r="B202" s="216" t="n"/>
      <c r="C202" s="216" t="n"/>
      <c r="D202" s="216" t="n"/>
    </row>
    <row r="203" ht="16.5" customHeight="1" s="220">
      <c r="B203" s="216" t="n"/>
      <c r="C203" s="216" t="n"/>
      <c r="D203" s="216" t="n"/>
    </row>
    <row r="204" ht="16.5" customHeight="1" s="220">
      <c r="B204" s="216" t="n"/>
      <c r="C204" s="216" t="n"/>
      <c r="D204" s="216" t="n"/>
    </row>
    <row r="205" ht="16.5" customHeight="1" s="220">
      <c r="B205" s="216" t="n"/>
      <c r="C205" s="216" t="n"/>
      <c r="D205" s="216" t="n"/>
    </row>
    <row r="206" ht="16.5" customHeight="1" s="220">
      <c r="B206" s="216" t="n"/>
      <c r="C206" s="216" t="n"/>
      <c r="D206" s="216" t="n"/>
    </row>
    <row r="207" ht="16.5" customHeight="1" s="220">
      <c r="B207" s="216" t="n"/>
      <c r="C207" s="216" t="n"/>
      <c r="D207" s="216" t="n"/>
    </row>
    <row r="208" ht="16.5" customHeight="1" s="220">
      <c r="B208" s="216" t="n"/>
      <c r="C208" s="216" t="n"/>
      <c r="D208" s="216" t="n"/>
    </row>
    <row r="209" ht="16.5" customHeight="1" s="220">
      <c r="B209" s="216" t="n"/>
      <c r="C209" s="216" t="n"/>
      <c r="D209" s="216" t="n"/>
    </row>
    <row r="210" ht="16.5" customHeight="1" s="220">
      <c r="B210" s="216" t="n"/>
      <c r="C210" s="216" t="n"/>
      <c r="D210" s="216" t="n"/>
    </row>
    <row r="211" ht="16.5" customHeight="1" s="220">
      <c r="B211" s="216" t="n"/>
      <c r="C211" s="216" t="n"/>
      <c r="D211" s="216" t="n"/>
    </row>
    <row r="212" ht="16.5" customHeight="1" s="220">
      <c r="B212" s="216" t="n"/>
      <c r="C212" s="216" t="n"/>
      <c r="D212" s="216" t="n"/>
    </row>
    <row r="213" ht="16.5" customHeight="1" s="220">
      <c r="B213" s="216" t="n"/>
      <c r="C213" s="216" t="n"/>
      <c r="D213" s="216" t="n"/>
    </row>
    <row r="214" ht="16.5" customHeight="1" s="220">
      <c r="B214" s="216" t="n"/>
      <c r="C214" s="216" t="n"/>
      <c r="D214" s="216" t="n"/>
    </row>
    <row r="215" ht="16.5" customHeight="1" s="220">
      <c r="B215" s="216" t="n"/>
      <c r="C215" s="216" t="n"/>
      <c r="D215" s="216" t="n"/>
    </row>
    <row r="216" ht="16.5" customHeight="1" s="220">
      <c r="B216" s="216" t="n"/>
      <c r="C216" s="216" t="n"/>
      <c r="D216" s="216" t="n"/>
    </row>
    <row r="217" ht="16.5" customHeight="1" s="220">
      <c r="B217" s="216" t="n"/>
      <c r="C217" s="216" t="n"/>
      <c r="D217" s="216" t="n"/>
    </row>
    <row r="218" ht="16.5" customHeight="1" s="220">
      <c r="B218" s="216" t="n"/>
      <c r="C218" s="216" t="n"/>
      <c r="D218" s="216" t="n"/>
    </row>
    <row r="219" ht="16.5" customHeight="1" s="220">
      <c r="B219" s="216" t="n"/>
      <c r="C219" s="216" t="n"/>
      <c r="D219" s="216" t="n"/>
    </row>
    <row r="220" ht="16.5" customHeight="1" s="220">
      <c r="B220" s="216" t="n"/>
      <c r="C220" s="216" t="n"/>
      <c r="D220" s="216" t="n"/>
    </row>
    <row r="221" ht="16.5" customHeight="1" s="220">
      <c r="B221" s="216" t="n"/>
      <c r="C221" s="216" t="n"/>
      <c r="D221" s="216" t="n"/>
    </row>
    <row r="222" ht="16.5" customHeight="1" s="220">
      <c r="B222" s="216" t="n"/>
      <c r="C222" s="216" t="n"/>
      <c r="D222" s="216" t="n"/>
    </row>
    <row r="223" ht="16.5" customHeight="1" s="220">
      <c r="B223" s="216" t="n"/>
      <c r="C223" s="216" t="n"/>
      <c r="D223" s="216" t="n"/>
    </row>
    <row r="224" ht="16.5" customHeight="1" s="220">
      <c r="B224" s="216" t="n"/>
      <c r="C224" s="216" t="n"/>
      <c r="D224" s="216" t="n"/>
    </row>
    <row r="225" ht="16.5" customHeight="1" s="220">
      <c r="B225" s="216" t="n"/>
      <c r="C225" s="216" t="n"/>
      <c r="D225" s="216" t="n"/>
    </row>
    <row r="226" ht="16.5" customHeight="1" s="220">
      <c r="B226" s="216" t="n"/>
      <c r="C226" s="216" t="n"/>
      <c r="D226" s="216" t="n"/>
    </row>
    <row r="227" ht="16.5" customHeight="1" s="220">
      <c r="B227" s="216" t="n"/>
      <c r="C227" s="216" t="n"/>
      <c r="D227" s="216" t="n"/>
    </row>
    <row r="228" ht="16.5" customHeight="1" s="220">
      <c r="B228" s="216" t="n"/>
      <c r="C228" s="216" t="n"/>
      <c r="D228" s="216" t="n"/>
    </row>
    <row r="229" ht="16.5" customHeight="1" s="220">
      <c r="B229" s="216" t="n"/>
      <c r="C229" s="216" t="n"/>
      <c r="D229" s="216" t="n"/>
    </row>
    <row r="230" ht="16.5" customHeight="1" s="220">
      <c r="B230" s="216" t="n"/>
      <c r="C230" s="216" t="n"/>
      <c r="D230" s="216" t="n"/>
    </row>
    <row r="231" ht="16.5" customHeight="1" s="220">
      <c r="B231" s="216" t="n"/>
      <c r="C231" s="216" t="n"/>
      <c r="D231" s="216" t="n"/>
    </row>
    <row r="232" ht="16.5" customHeight="1" s="220">
      <c r="B232" s="216" t="n"/>
      <c r="C232" s="216" t="n"/>
      <c r="D232" s="216" t="n"/>
    </row>
    <row r="233" ht="16.5" customHeight="1" s="220">
      <c r="B233" s="216" t="n"/>
      <c r="C233" s="216" t="n"/>
      <c r="D233" s="216" t="n"/>
    </row>
    <row r="234" ht="16.5" customHeight="1" s="220">
      <c r="B234" s="216" t="n"/>
      <c r="C234" s="216" t="n"/>
      <c r="D234" s="216" t="n"/>
    </row>
    <row r="235" ht="16.5" customHeight="1" s="220">
      <c r="B235" s="216" t="n"/>
      <c r="C235" s="216" t="n"/>
      <c r="D235" s="216" t="n"/>
    </row>
    <row r="236" ht="16.5" customHeight="1" s="220">
      <c r="B236" s="216" t="n"/>
      <c r="C236" s="216" t="n"/>
      <c r="D236" s="216" t="n"/>
    </row>
    <row r="237" ht="16.5" customHeight="1" s="220">
      <c r="B237" s="216" t="n"/>
      <c r="C237" s="216" t="n"/>
      <c r="D237" s="216" t="n"/>
    </row>
    <row r="238" ht="16.5" customHeight="1" s="220">
      <c r="B238" s="216" t="n"/>
      <c r="C238" s="216" t="n"/>
      <c r="D238" s="216" t="n"/>
    </row>
    <row r="239" ht="16.5" customHeight="1" s="220">
      <c r="B239" s="216" t="n"/>
      <c r="C239" s="216" t="n"/>
      <c r="D239" s="216" t="n"/>
    </row>
    <row r="240" ht="16.5" customHeight="1" s="220">
      <c r="B240" s="216" t="n"/>
      <c r="C240" s="216" t="n"/>
      <c r="D240" s="216" t="n"/>
    </row>
    <row r="241" ht="16.5" customHeight="1" s="220">
      <c r="B241" s="216" t="n"/>
      <c r="C241" s="216" t="n"/>
      <c r="D241" s="216" t="n"/>
    </row>
    <row r="242" ht="16.5" customHeight="1" s="220">
      <c r="B242" s="216" t="n"/>
      <c r="C242" s="216" t="n"/>
      <c r="D242" s="216" t="n"/>
    </row>
    <row r="243" ht="16.5" customHeight="1" s="220">
      <c r="B243" s="216" t="n"/>
      <c r="C243" s="216" t="n"/>
      <c r="D243" s="216" t="n"/>
    </row>
    <row r="244" ht="16.5" customHeight="1" s="220">
      <c r="B244" s="216" t="n"/>
      <c r="C244" s="216" t="n"/>
      <c r="D244" s="216" t="n"/>
    </row>
    <row r="245" ht="16.5" customHeight="1" s="220">
      <c r="B245" s="216" t="n"/>
      <c r="C245" s="216" t="n"/>
      <c r="D245" s="216" t="n"/>
    </row>
    <row r="246" ht="16.5" customHeight="1" s="220">
      <c r="B246" s="216" t="n"/>
      <c r="C246" s="216" t="n"/>
      <c r="D246" s="216" t="n"/>
    </row>
    <row r="247" ht="16.5" customHeight="1" s="220">
      <c r="B247" s="216" t="n"/>
      <c r="C247" s="216" t="n"/>
      <c r="D247" s="216" t="n"/>
    </row>
    <row r="248" ht="16.5" customHeight="1" s="220">
      <c r="B248" s="216" t="n"/>
      <c r="C248" s="216" t="n"/>
      <c r="D248" s="216" t="n"/>
    </row>
    <row r="249" ht="16.5" customHeight="1" s="220">
      <c r="B249" s="216" t="n"/>
      <c r="C249" s="216" t="n"/>
      <c r="D249" s="216" t="n"/>
    </row>
    <row r="250" ht="16.5" customHeight="1" s="220">
      <c r="B250" s="216" t="n"/>
      <c r="C250" s="216" t="n"/>
      <c r="D250" s="216" t="n"/>
    </row>
    <row r="251" ht="16.5" customHeight="1" s="220">
      <c r="B251" s="216" t="n"/>
      <c r="C251" s="216" t="n"/>
      <c r="D251" s="216" t="n"/>
    </row>
    <row r="252" ht="16.5" customHeight="1" s="220">
      <c r="B252" s="216" t="n"/>
      <c r="C252" s="216" t="n"/>
      <c r="D252" s="216" t="n"/>
    </row>
    <row r="253" ht="16.5" customHeight="1" s="220">
      <c r="B253" s="216" t="n"/>
      <c r="C253" s="216" t="n"/>
      <c r="D253" s="216" t="n"/>
    </row>
    <row r="254" ht="16.5" customHeight="1" s="220">
      <c r="B254" s="216" t="n"/>
      <c r="C254" s="216" t="n"/>
      <c r="D254" s="216" t="n"/>
    </row>
    <row r="255" ht="16.5" customHeight="1" s="220">
      <c r="B255" s="216" t="n"/>
      <c r="C255" s="216" t="n"/>
      <c r="D255" s="216" t="n"/>
    </row>
    <row r="256" ht="16.5" customHeight="1" s="220">
      <c r="B256" s="216" t="n"/>
      <c r="C256" s="216" t="n"/>
      <c r="D256" s="216" t="n"/>
    </row>
    <row r="257" ht="16.5" customHeight="1" s="220">
      <c r="B257" s="216" t="n"/>
      <c r="C257" s="216" t="n"/>
      <c r="D257" s="216" t="n"/>
    </row>
    <row r="258" ht="16.5" customHeight="1" s="220">
      <c r="B258" s="216" t="n"/>
      <c r="C258" s="216" t="n"/>
      <c r="D258" s="216" t="n"/>
    </row>
    <row r="259" ht="16.5" customHeight="1" s="220">
      <c r="B259" s="216" t="n"/>
      <c r="C259" s="216" t="n"/>
      <c r="D259" s="216" t="n"/>
    </row>
    <row r="260" ht="16.5" customHeight="1" s="220">
      <c r="B260" s="216" t="n"/>
      <c r="C260" s="216" t="n"/>
      <c r="D260" s="216" t="n"/>
    </row>
    <row r="261" ht="16.5" customHeight="1" s="220">
      <c r="B261" s="216" t="n"/>
      <c r="C261" s="216" t="n"/>
      <c r="D261" s="216" t="n"/>
    </row>
    <row r="262" ht="16.5" customHeight="1" s="220">
      <c r="B262" s="216" t="n"/>
      <c r="C262" s="216" t="n"/>
      <c r="D262" s="216" t="n"/>
    </row>
    <row r="263" ht="16.5" customHeight="1" s="220">
      <c r="B263" s="216" t="n"/>
      <c r="C263" s="216" t="n"/>
      <c r="D263" s="216" t="n"/>
    </row>
    <row r="264" ht="16.5" customHeight="1" s="220">
      <c r="B264" s="216" t="n"/>
      <c r="C264" s="216" t="n"/>
      <c r="D264" s="216" t="n"/>
    </row>
    <row r="265" ht="16.5" customHeight="1" s="220">
      <c r="B265" s="216" t="n"/>
      <c r="C265" s="216" t="n"/>
      <c r="D265" s="216" t="n"/>
    </row>
    <row r="266" ht="16.5" customHeight="1" s="220">
      <c r="B266" s="216" t="n"/>
      <c r="C266" s="216" t="n"/>
      <c r="D266" s="216" t="n"/>
    </row>
    <row r="267" ht="16.5" customHeight="1" s="220">
      <c r="B267" s="216" t="n"/>
      <c r="C267" s="216" t="n"/>
      <c r="D267" s="216" t="n"/>
    </row>
    <row r="268" ht="16.5" customHeight="1" s="220">
      <c r="B268" s="216" t="n"/>
      <c r="C268" s="216" t="n"/>
      <c r="D268" s="216" t="n"/>
    </row>
    <row r="269" ht="16.5" customHeight="1" s="220">
      <c r="B269" s="216" t="n"/>
      <c r="C269" s="216" t="n"/>
      <c r="D269" s="216" t="n"/>
    </row>
    <row r="270" ht="16.5" customHeight="1" s="220">
      <c r="B270" s="216" t="n"/>
      <c r="C270" s="216" t="n"/>
      <c r="D270" s="216" t="n"/>
    </row>
    <row r="271" ht="16.5" customHeight="1" s="220">
      <c r="B271" s="216" t="n"/>
      <c r="C271" s="216" t="n"/>
      <c r="D271" s="216" t="n"/>
    </row>
    <row r="272" ht="16.5" customHeight="1" s="220">
      <c r="B272" s="216" t="n"/>
      <c r="C272" s="216" t="n"/>
      <c r="D272" s="216" t="n"/>
    </row>
    <row r="273" ht="16.5" customHeight="1" s="220">
      <c r="B273" s="216" t="n"/>
      <c r="C273" s="216" t="n"/>
      <c r="D273" s="216" t="n"/>
    </row>
    <row r="274" ht="16.5" customHeight="1" s="220">
      <c r="B274" s="216" t="n"/>
      <c r="C274" s="216" t="n"/>
      <c r="D274" s="216" t="n"/>
    </row>
    <row r="275" ht="16.5" customHeight="1" s="220">
      <c r="B275" s="216" t="n"/>
      <c r="C275" s="216" t="n"/>
      <c r="D275" s="216" t="n"/>
    </row>
    <row r="276" ht="16.5" customHeight="1" s="220">
      <c r="B276" s="216" t="n"/>
      <c r="C276" s="216" t="n"/>
      <c r="D276" s="216" t="n"/>
    </row>
    <row r="277" ht="16.5" customHeight="1" s="220">
      <c r="B277" s="216" t="n"/>
      <c r="C277" s="216" t="n"/>
      <c r="D277" s="216" t="n"/>
    </row>
    <row r="278" ht="16.5" customHeight="1" s="220">
      <c r="B278" s="216" t="n"/>
      <c r="C278" s="216" t="n"/>
      <c r="D278" s="216" t="n"/>
    </row>
    <row r="279" ht="16.5" customHeight="1" s="220">
      <c r="B279" s="216" t="n"/>
      <c r="C279" s="216" t="n"/>
      <c r="D279" s="216" t="n"/>
    </row>
    <row r="280" ht="16.5" customHeight="1" s="220">
      <c r="B280" s="216" t="n"/>
      <c r="C280" s="216" t="n"/>
      <c r="D280" s="216" t="n"/>
    </row>
    <row r="281" ht="16.5" customHeight="1" s="220">
      <c r="B281" s="216" t="n"/>
      <c r="C281" s="216" t="n"/>
      <c r="D281" s="216" t="n"/>
    </row>
    <row r="282" ht="16.5" customHeight="1" s="220">
      <c r="B282" s="216" t="n"/>
      <c r="C282" s="216" t="n"/>
      <c r="D282" s="216" t="n"/>
    </row>
    <row r="283" ht="16.5" customHeight="1" s="220">
      <c r="B283" s="216" t="n"/>
      <c r="C283" s="216" t="n"/>
      <c r="D283" s="216" t="n"/>
    </row>
    <row r="284" ht="16.5" customHeight="1" s="220">
      <c r="B284" s="216" t="n"/>
      <c r="C284" s="216" t="n"/>
      <c r="D284" s="216" t="n"/>
    </row>
    <row r="285" ht="16.5" customHeight="1" s="220">
      <c r="B285" s="216" t="n"/>
      <c r="C285" s="216" t="n"/>
      <c r="D285" s="216" t="n"/>
    </row>
    <row r="286" ht="16.5" customHeight="1" s="220">
      <c r="B286" s="216" t="n"/>
      <c r="C286" s="216" t="n"/>
      <c r="D286" s="216" t="n"/>
    </row>
    <row r="287" ht="16.5" customHeight="1" s="220">
      <c r="B287" s="216" t="n"/>
      <c r="C287" s="216" t="n"/>
      <c r="D287" s="216" t="n"/>
    </row>
    <row r="288" ht="16.5" customHeight="1" s="220">
      <c r="B288" s="216" t="n"/>
      <c r="C288" s="216" t="n"/>
      <c r="D288" s="216" t="n"/>
    </row>
    <row r="289" ht="16.5" customHeight="1" s="220">
      <c r="B289" s="216" t="n"/>
      <c r="C289" s="216" t="n"/>
      <c r="D289" s="216" t="n"/>
    </row>
    <row r="290" ht="16.5" customHeight="1" s="220">
      <c r="B290" s="216" t="n"/>
      <c r="C290" s="216" t="n"/>
      <c r="D290" s="216" t="n"/>
    </row>
    <row r="291" ht="16.5" customHeight="1" s="220">
      <c r="B291" s="216" t="n"/>
      <c r="C291" s="216" t="n"/>
      <c r="D291" s="216" t="n"/>
    </row>
    <row r="292" ht="16.5" customHeight="1" s="220">
      <c r="B292" s="216" t="n"/>
      <c r="C292" s="216" t="n"/>
      <c r="D292" s="216" t="n"/>
    </row>
    <row r="293" ht="16.5" customHeight="1" s="220">
      <c r="B293" s="216" t="n"/>
      <c r="C293" s="216" t="n"/>
      <c r="D293" s="216" t="n"/>
    </row>
    <row r="294" ht="16.5" customHeight="1" s="220">
      <c r="B294" s="216" t="n"/>
      <c r="C294" s="216" t="n"/>
      <c r="D294" s="216" t="n"/>
    </row>
    <row r="295" ht="16.5" customHeight="1" s="220">
      <c r="B295" s="216" t="n"/>
      <c r="C295" s="216" t="n"/>
      <c r="D295" s="216" t="n"/>
    </row>
    <row r="296" ht="16.5" customHeight="1" s="220">
      <c r="B296" s="216" t="n"/>
      <c r="C296" s="216" t="n"/>
      <c r="D296" s="216" t="n"/>
    </row>
    <row r="297" ht="16.5" customHeight="1" s="220">
      <c r="B297" s="216" t="n"/>
      <c r="C297" s="216" t="n"/>
      <c r="D297" s="216" t="n"/>
    </row>
    <row r="298" ht="16.5" customHeight="1" s="220">
      <c r="B298" s="216" t="n"/>
      <c r="C298" s="216" t="n"/>
      <c r="D298" s="216" t="n"/>
    </row>
    <row r="299" ht="16.5" customHeight="1" s="220">
      <c r="B299" s="216" t="n"/>
      <c r="C299" s="216" t="n"/>
      <c r="D299" s="216" t="n"/>
    </row>
    <row r="300" ht="16.5" customHeight="1" s="220">
      <c r="B300" s="216" t="n"/>
      <c r="C300" s="216" t="n"/>
      <c r="D300" s="216" t="n"/>
    </row>
    <row r="301" ht="16.5" customHeight="1" s="220">
      <c r="B301" s="216" t="n"/>
      <c r="C301" s="216" t="n"/>
      <c r="D301" s="216" t="n"/>
    </row>
    <row r="302" ht="16.5" customHeight="1" s="220">
      <c r="B302" s="216" t="n"/>
      <c r="C302" s="216" t="n"/>
      <c r="D302" s="216" t="n"/>
    </row>
    <row r="303" ht="16.5" customHeight="1" s="220">
      <c r="B303" s="216" t="n"/>
      <c r="C303" s="216" t="n"/>
      <c r="D303" s="216" t="n"/>
    </row>
    <row r="304" ht="16.5" customHeight="1" s="220">
      <c r="B304" s="216" t="n"/>
      <c r="C304" s="216" t="n"/>
      <c r="D304" s="216" t="n"/>
    </row>
    <row r="305" ht="16.5" customHeight="1" s="220">
      <c r="B305" s="216" t="n"/>
      <c r="C305" s="216" t="n"/>
      <c r="D305" s="216" t="n"/>
    </row>
    <row r="306" ht="16.5" customHeight="1" s="220">
      <c r="B306" s="216" t="n"/>
      <c r="C306" s="216" t="n"/>
      <c r="D306" s="216" t="n"/>
    </row>
    <row r="307" ht="16.5" customHeight="1" s="220">
      <c r="B307" s="216" t="n"/>
      <c r="C307" s="216" t="n"/>
      <c r="D307" s="216" t="n"/>
    </row>
    <row r="308" ht="16.5" customHeight="1" s="220">
      <c r="B308" s="216" t="n"/>
      <c r="C308" s="216" t="n"/>
      <c r="D308" s="216" t="n"/>
    </row>
    <row r="309" ht="16.5" customHeight="1" s="220">
      <c r="B309" s="216" t="n"/>
      <c r="C309" s="216" t="n"/>
      <c r="D309" s="216" t="n"/>
    </row>
    <row r="310" ht="16.5" customHeight="1" s="220">
      <c r="B310" s="216" t="n"/>
      <c r="C310" s="216" t="n"/>
      <c r="D310" s="216" t="n"/>
    </row>
    <row r="311" ht="16.5" customHeight="1" s="220">
      <c r="B311" s="216" t="n"/>
      <c r="C311" s="216" t="n"/>
      <c r="D311" s="216" t="n"/>
    </row>
    <row r="312" ht="16.5" customHeight="1" s="220">
      <c r="B312" s="216" t="n"/>
      <c r="C312" s="216" t="n"/>
      <c r="D312" s="216" t="n"/>
    </row>
    <row r="313" ht="16.5" customHeight="1" s="220">
      <c r="B313" s="216" t="n"/>
      <c r="C313" s="216" t="n"/>
      <c r="D313" s="216" t="n"/>
    </row>
    <row r="314" ht="16.5" customHeight="1" s="220">
      <c r="B314" s="216" t="n"/>
      <c r="C314" s="216" t="n"/>
      <c r="D314" s="216" t="n"/>
    </row>
    <row r="315" ht="16.5" customHeight="1" s="220">
      <c r="B315" s="216" t="n"/>
      <c r="C315" s="216" t="n"/>
      <c r="D315" s="216" t="n"/>
    </row>
    <row r="316" ht="16.5" customHeight="1" s="220">
      <c r="B316" s="216" t="n"/>
      <c r="C316" s="216" t="n"/>
      <c r="D316" s="216" t="n"/>
    </row>
    <row r="317" ht="16.5" customHeight="1" s="220">
      <c r="B317" s="216" t="n"/>
      <c r="C317" s="216" t="n"/>
      <c r="D317" s="216" t="n"/>
    </row>
    <row r="318" ht="16.5" customHeight="1" s="220">
      <c r="B318" s="216" t="n"/>
      <c r="C318" s="216" t="n"/>
      <c r="D318" s="216" t="n"/>
    </row>
    <row r="319" ht="16.5" customHeight="1" s="220">
      <c r="B319" s="216" t="n"/>
      <c r="C319" s="216" t="n"/>
      <c r="D319" s="216" t="n"/>
    </row>
    <row r="320" ht="16.5" customHeight="1" s="220">
      <c r="B320" s="216" t="n"/>
      <c r="C320" s="216" t="n"/>
      <c r="D320" s="216" t="n"/>
    </row>
    <row r="321" ht="16.5" customHeight="1" s="220">
      <c r="B321" s="216" t="n"/>
      <c r="C321" s="216" t="n"/>
      <c r="D321" s="216" t="n"/>
    </row>
    <row r="322" ht="16.5" customHeight="1" s="220">
      <c r="B322" s="216" t="n"/>
      <c r="C322" s="216" t="n"/>
      <c r="D322" s="216" t="n"/>
    </row>
    <row r="323" ht="16.5" customHeight="1" s="220">
      <c r="B323" s="216" t="n"/>
      <c r="C323" s="216" t="n"/>
      <c r="D323" s="216" t="n"/>
    </row>
    <row r="324" ht="16.5" customHeight="1" s="220">
      <c r="B324" s="216" t="n"/>
      <c r="C324" s="216" t="n"/>
      <c r="D324" s="216" t="n"/>
    </row>
    <row r="325" ht="16.5" customHeight="1" s="220">
      <c r="B325" s="216" t="n"/>
      <c r="C325" s="216" t="n"/>
      <c r="D325" s="216" t="n"/>
    </row>
    <row r="326" ht="16.5" customHeight="1" s="220">
      <c r="B326" s="216" t="n"/>
      <c r="C326" s="216" t="n"/>
      <c r="D326" s="216" t="n"/>
    </row>
    <row r="327" ht="16.5" customHeight="1" s="220">
      <c r="B327" s="216" t="n"/>
      <c r="C327" s="216" t="n"/>
      <c r="D327" s="216" t="n"/>
    </row>
    <row r="328" ht="16.5" customHeight="1" s="220">
      <c r="B328" s="216" t="n"/>
      <c r="C328" s="216" t="n"/>
      <c r="D328" s="216" t="n"/>
    </row>
    <row r="329" ht="16.5" customHeight="1" s="220">
      <c r="B329" s="216" t="n"/>
      <c r="C329" s="216" t="n"/>
      <c r="D329" s="216" t="n"/>
    </row>
    <row r="330" ht="16.5" customHeight="1" s="220">
      <c r="B330" s="216" t="n"/>
      <c r="C330" s="216" t="n"/>
      <c r="D330" s="216" t="n"/>
    </row>
    <row r="331" ht="16.5" customHeight="1" s="220">
      <c r="B331" s="216" t="n"/>
      <c r="C331" s="216" t="n"/>
      <c r="D331" s="216" t="n"/>
    </row>
    <row r="332" ht="16.5" customHeight="1" s="220">
      <c r="B332" s="216" t="n"/>
      <c r="C332" s="216" t="n"/>
      <c r="D332" s="216" t="n"/>
    </row>
    <row r="333" ht="16.5" customHeight="1" s="220">
      <c r="B333" s="216" t="n"/>
      <c r="C333" s="216" t="n"/>
      <c r="D333" s="216" t="n"/>
    </row>
    <row r="334" ht="16.5" customHeight="1" s="220">
      <c r="B334" s="216" t="n"/>
      <c r="C334" s="216" t="n"/>
      <c r="D334" s="216" t="n"/>
    </row>
    <row r="335" ht="16.5" customHeight="1" s="220">
      <c r="B335" s="216" t="n"/>
      <c r="C335" s="216" t="n"/>
      <c r="D335" s="216" t="n"/>
    </row>
    <row r="336" ht="16.5" customHeight="1" s="220">
      <c r="B336" s="216" t="n"/>
      <c r="C336" s="216" t="n"/>
      <c r="D336" s="216" t="n"/>
    </row>
    <row r="337" ht="16.5" customHeight="1" s="220">
      <c r="B337" s="216" t="n"/>
      <c r="C337" s="216" t="n"/>
      <c r="D337" s="216" t="n"/>
    </row>
    <row r="338" ht="16.5" customHeight="1" s="220">
      <c r="B338" s="216" t="n"/>
      <c r="C338" s="216" t="n"/>
      <c r="D338" s="216" t="n"/>
    </row>
    <row r="339" ht="16.5" customHeight="1" s="220">
      <c r="B339" s="216" t="n"/>
      <c r="C339" s="216" t="n"/>
      <c r="D339" s="216" t="n"/>
    </row>
    <row r="340" ht="16.5" customHeight="1" s="220">
      <c r="B340" s="216" t="n"/>
      <c r="C340" s="216" t="n"/>
      <c r="D340" s="216" t="n"/>
    </row>
    <row r="341" ht="16.5" customHeight="1" s="220">
      <c r="B341" s="216" t="n"/>
      <c r="C341" s="216" t="n"/>
      <c r="D341" s="216" t="n"/>
    </row>
    <row r="342" ht="16.5" customHeight="1" s="220">
      <c r="B342" s="216" t="n"/>
      <c r="C342" s="216" t="n"/>
      <c r="D342" s="216" t="n"/>
    </row>
    <row r="343" ht="16.5" customHeight="1" s="220">
      <c r="B343" s="216" t="n"/>
      <c r="C343" s="216" t="n"/>
      <c r="D343" s="216" t="n"/>
    </row>
    <row r="344" ht="16.5" customHeight="1" s="220">
      <c r="B344" s="216" t="n"/>
      <c r="C344" s="216" t="n"/>
      <c r="D344" s="216" t="n"/>
    </row>
    <row r="345" ht="16.5" customHeight="1" s="220">
      <c r="B345" s="216" t="n"/>
      <c r="C345" s="216" t="n"/>
      <c r="D345" s="216" t="n"/>
    </row>
    <row r="346" ht="16.5" customHeight="1" s="220">
      <c r="B346" s="216" t="n"/>
      <c r="C346" s="216" t="n"/>
      <c r="D346" s="216" t="n"/>
    </row>
    <row r="347" ht="16.5" customHeight="1" s="220">
      <c r="B347" s="216" t="n"/>
      <c r="C347" s="216" t="n"/>
      <c r="D347" s="216" t="n"/>
    </row>
    <row r="348" ht="16.5" customHeight="1" s="220">
      <c r="B348" s="216" t="n"/>
      <c r="C348" s="216" t="n"/>
      <c r="D348" s="216" t="n"/>
    </row>
    <row r="349" ht="16.5" customHeight="1" s="220">
      <c r="B349" s="216" t="n"/>
      <c r="C349" s="216" t="n"/>
      <c r="D349" s="216" t="n"/>
    </row>
    <row r="350" ht="16.5" customHeight="1" s="220">
      <c r="B350" s="216" t="n"/>
      <c r="C350" s="216" t="n"/>
      <c r="D350" s="216" t="n"/>
    </row>
    <row r="351" ht="16.5" customHeight="1" s="220">
      <c r="B351" s="216" t="n"/>
      <c r="C351" s="216" t="n"/>
      <c r="D351" s="216" t="n"/>
    </row>
    <row r="352" ht="16.5" customHeight="1" s="220">
      <c r="B352" s="216" t="n"/>
      <c r="C352" s="216" t="n"/>
      <c r="D352" s="216" t="n"/>
    </row>
    <row r="353" ht="16.5" customHeight="1" s="220">
      <c r="B353" s="216" t="n"/>
      <c r="C353" s="216" t="n"/>
      <c r="D353" s="216" t="n"/>
    </row>
    <row r="354" ht="16.5" customHeight="1" s="220">
      <c r="B354" s="216" t="n"/>
      <c r="C354" s="216" t="n"/>
      <c r="D354" s="216" t="n"/>
    </row>
    <row r="355" ht="16.5" customHeight="1" s="220">
      <c r="B355" s="216" t="n"/>
      <c r="C355" s="216" t="n"/>
      <c r="D355" s="216" t="n"/>
    </row>
    <row r="356" ht="16.5" customHeight="1" s="220">
      <c r="B356" s="216" t="n"/>
      <c r="C356" s="216" t="n"/>
      <c r="D356" s="216" t="n"/>
    </row>
    <row r="357" ht="16.5" customHeight="1" s="220">
      <c r="B357" s="216" t="n"/>
      <c r="C357" s="216" t="n"/>
      <c r="D357" s="216" t="n"/>
    </row>
    <row r="358" ht="16.5" customHeight="1" s="220">
      <c r="B358" s="216" t="n"/>
      <c r="C358" s="216" t="n"/>
      <c r="D358" s="216" t="n"/>
    </row>
    <row r="359" ht="16.5" customHeight="1" s="220">
      <c r="B359" s="216" t="n"/>
      <c r="C359" s="216" t="n"/>
      <c r="D359" s="216" t="n"/>
    </row>
    <row r="360" ht="16.5" customHeight="1" s="220">
      <c r="B360" s="216" t="n"/>
      <c r="C360" s="216" t="n"/>
      <c r="D360" s="216" t="n"/>
    </row>
    <row r="361" ht="16.5" customHeight="1" s="220">
      <c r="B361" s="216" t="n"/>
      <c r="C361" s="216" t="n"/>
      <c r="D361" s="216" t="n"/>
    </row>
    <row r="362" ht="16.5" customHeight="1" s="220">
      <c r="B362" s="216" t="n"/>
      <c r="C362" s="216" t="n"/>
      <c r="D362" s="216" t="n"/>
    </row>
    <row r="363" ht="16.5" customHeight="1" s="220">
      <c r="B363" s="216" t="n"/>
      <c r="C363" s="216" t="n"/>
      <c r="D363" s="216" t="n"/>
    </row>
    <row r="364" ht="16.5" customHeight="1" s="220">
      <c r="B364" s="216" t="n"/>
      <c r="C364" s="216" t="n"/>
      <c r="D364" s="216" t="n"/>
    </row>
    <row r="365" ht="16.5" customHeight="1" s="220">
      <c r="B365" s="216" t="n"/>
      <c r="C365" s="216" t="n"/>
      <c r="D365" s="216" t="n"/>
    </row>
    <row r="366" ht="16.5" customHeight="1" s="220">
      <c r="B366" s="216" t="n"/>
      <c r="C366" s="216" t="n"/>
      <c r="D366" s="216" t="n"/>
    </row>
    <row r="367" ht="16.5" customHeight="1" s="220">
      <c r="B367" s="216" t="n"/>
      <c r="C367" s="216" t="n"/>
      <c r="D367" s="216" t="n"/>
    </row>
    <row r="368" ht="16.5" customHeight="1" s="220">
      <c r="B368" s="216" t="n"/>
      <c r="C368" s="216" t="n"/>
      <c r="D368" s="216" t="n"/>
    </row>
    <row r="369" ht="16.5" customHeight="1" s="220">
      <c r="B369" s="216" t="n"/>
      <c r="C369" s="216" t="n"/>
      <c r="D369" s="216" t="n"/>
    </row>
    <row r="370" ht="16.5" customHeight="1" s="220">
      <c r="B370" s="216" t="n"/>
      <c r="C370" s="216" t="n"/>
      <c r="D370" s="216" t="n"/>
    </row>
    <row r="371" ht="16.5" customHeight="1" s="220">
      <c r="B371" s="216" t="n"/>
      <c r="C371" s="216" t="n"/>
      <c r="D371" s="216" t="n"/>
    </row>
    <row r="372" ht="16.5" customHeight="1" s="220">
      <c r="B372" s="216" t="n"/>
      <c r="C372" s="216" t="n"/>
      <c r="D372" s="216" t="n"/>
    </row>
    <row r="373" ht="16.5" customHeight="1" s="220">
      <c r="B373" s="216" t="n"/>
      <c r="C373" s="216" t="n"/>
      <c r="D373" s="216" t="n"/>
    </row>
    <row r="374" ht="16.5" customHeight="1" s="220">
      <c r="B374" s="216" t="n"/>
      <c r="C374" s="216" t="n"/>
      <c r="D374" s="216" t="n"/>
    </row>
    <row r="375" ht="16.5" customHeight="1" s="220">
      <c r="B375" s="216" t="n"/>
      <c r="C375" s="216" t="n"/>
      <c r="D375" s="216" t="n"/>
    </row>
    <row r="376" ht="16.5" customHeight="1" s="220">
      <c r="B376" s="216" t="n"/>
      <c r="C376" s="216" t="n"/>
      <c r="D376" s="216" t="n"/>
    </row>
    <row r="377" ht="16.5" customHeight="1" s="220">
      <c r="B377" s="216" t="n"/>
      <c r="C377" s="216" t="n"/>
      <c r="D377" s="216" t="n"/>
    </row>
    <row r="378" ht="16.5" customHeight="1" s="220">
      <c r="B378" s="216" t="n"/>
      <c r="C378" s="216" t="n"/>
      <c r="D378" s="216" t="n"/>
    </row>
    <row r="379" ht="16.5" customHeight="1" s="220">
      <c r="B379" s="216" t="n"/>
      <c r="C379" s="216" t="n"/>
      <c r="D379" s="216" t="n"/>
    </row>
    <row r="380" ht="16.5" customHeight="1" s="220">
      <c r="B380" s="216" t="n"/>
      <c r="C380" s="216" t="n"/>
      <c r="D380" s="216" t="n"/>
    </row>
    <row r="381" ht="16.5" customHeight="1" s="220">
      <c r="B381" s="216" t="n"/>
      <c r="C381" s="216" t="n"/>
      <c r="D381" s="216" t="n"/>
    </row>
    <row r="382" ht="16.5" customHeight="1" s="220">
      <c r="B382" s="216" t="n"/>
      <c r="C382" s="216" t="n"/>
      <c r="D382" s="216" t="n"/>
    </row>
    <row r="383" ht="16.5" customHeight="1" s="220">
      <c r="B383" s="216" t="n"/>
      <c r="C383" s="216" t="n"/>
      <c r="D383" s="216" t="n"/>
    </row>
    <row r="384" ht="16.5" customHeight="1" s="220">
      <c r="B384" s="216" t="n"/>
      <c r="C384" s="216" t="n"/>
      <c r="D384" s="216" t="n"/>
    </row>
    <row r="385" ht="16.5" customHeight="1" s="220">
      <c r="B385" s="216" t="n"/>
      <c r="C385" s="216" t="n"/>
      <c r="D385" s="216" t="n"/>
    </row>
    <row r="386" ht="16.5" customHeight="1" s="220">
      <c r="B386" s="216" t="n"/>
      <c r="C386" s="216" t="n"/>
      <c r="D386" s="216" t="n"/>
    </row>
    <row r="387" ht="16.5" customHeight="1" s="220">
      <c r="B387" s="216" t="n"/>
      <c r="C387" s="216" t="n"/>
      <c r="D387" s="216" t="n"/>
    </row>
    <row r="388" ht="16.5" customHeight="1" s="220">
      <c r="B388" s="216" t="n"/>
      <c r="C388" s="216" t="n"/>
      <c r="D388" s="216" t="n"/>
    </row>
    <row r="389" ht="16.5" customHeight="1" s="220">
      <c r="B389" s="216" t="n"/>
      <c r="C389" s="216" t="n"/>
      <c r="D389" s="216" t="n"/>
    </row>
    <row r="390" ht="16.5" customHeight="1" s="220">
      <c r="B390" s="216" t="n"/>
      <c r="C390" s="216" t="n"/>
      <c r="D390" s="216" t="n"/>
    </row>
    <row r="391" ht="16.5" customHeight="1" s="220">
      <c r="B391" s="216" t="n"/>
      <c r="C391" s="216" t="n"/>
      <c r="D391" s="216" t="n"/>
    </row>
    <row r="392" ht="16.5" customHeight="1" s="220">
      <c r="B392" s="216" t="n"/>
      <c r="C392" s="216" t="n"/>
      <c r="D392" s="216" t="n"/>
    </row>
    <row r="393" ht="16.5" customHeight="1" s="220">
      <c r="B393" s="216" t="n"/>
      <c r="C393" s="216" t="n"/>
      <c r="D393" s="216" t="n"/>
    </row>
    <row r="394" ht="16.5" customHeight="1" s="220">
      <c r="B394" s="216" t="n"/>
      <c r="C394" s="216" t="n"/>
      <c r="D394" s="216" t="n"/>
    </row>
    <row r="395" ht="16.5" customHeight="1" s="220">
      <c r="B395" s="216" t="n"/>
      <c r="C395" s="216" t="n"/>
      <c r="D395" s="216" t="n"/>
    </row>
    <row r="396" ht="16.5" customHeight="1" s="220">
      <c r="B396" s="216" t="n"/>
      <c r="C396" s="216" t="n"/>
      <c r="D396" s="216" t="n"/>
    </row>
    <row r="397" ht="16.5" customHeight="1" s="220">
      <c r="B397" s="216" t="n"/>
      <c r="C397" s="216" t="n"/>
      <c r="D397" s="216" t="n"/>
    </row>
    <row r="398" ht="16.5" customHeight="1" s="220">
      <c r="B398" s="216" t="n"/>
      <c r="C398" s="216" t="n"/>
      <c r="D398" s="216" t="n"/>
    </row>
    <row r="399" ht="16.5" customHeight="1" s="220">
      <c r="B399" s="216" t="n"/>
      <c r="C399" s="216" t="n"/>
      <c r="D399" s="216" t="n"/>
    </row>
    <row r="400" ht="16.5" customHeight="1" s="220">
      <c r="B400" s="216" t="n"/>
      <c r="C400" s="216" t="n"/>
      <c r="D400" s="216" t="n"/>
    </row>
    <row r="401" ht="16.5" customHeight="1" s="220">
      <c r="B401" s="216" t="n"/>
      <c r="C401" s="216" t="n"/>
      <c r="D401" s="216" t="n"/>
    </row>
    <row r="402" ht="16.5" customHeight="1" s="220">
      <c r="B402" s="216" t="n"/>
      <c r="C402" s="216" t="n"/>
      <c r="D402" s="216" t="n"/>
    </row>
    <row r="403" ht="16.5" customHeight="1" s="220">
      <c r="B403" s="216" t="n"/>
      <c r="C403" s="216" t="n"/>
      <c r="D403" s="216" t="n"/>
    </row>
    <row r="404" ht="16.5" customHeight="1" s="220">
      <c r="B404" s="216" t="n"/>
      <c r="C404" s="216" t="n"/>
      <c r="D404" s="216" t="n"/>
    </row>
    <row r="405" ht="16.5" customHeight="1" s="220">
      <c r="B405" s="216" t="n"/>
      <c r="C405" s="216" t="n"/>
      <c r="D405" s="216" t="n"/>
    </row>
    <row r="406" ht="16.5" customHeight="1" s="220">
      <c r="B406" s="216" t="n"/>
      <c r="C406" s="216" t="n"/>
      <c r="D406" s="216" t="n"/>
    </row>
    <row r="407" ht="16.5" customHeight="1" s="220">
      <c r="B407" s="216" t="n"/>
      <c r="C407" s="216" t="n"/>
      <c r="D407" s="216" t="n"/>
    </row>
    <row r="408" ht="16.5" customHeight="1" s="220">
      <c r="B408" s="216" t="n"/>
      <c r="C408" s="216" t="n"/>
      <c r="D408" s="216" t="n"/>
    </row>
    <row r="409" ht="16.5" customHeight="1" s="220">
      <c r="B409" s="216" t="n"/>
      <c r="C409" s="216" t="n"/>
      <c r="D409" s="216" t="n"/>
    </row>
    <row r="410" ht="16.5" customHeight="1" s="220">
      <c r="B410" s="216" t="n"/>
      <c r="C410" s="216" t="n"/>
      <c r="D410" s="216" t="n"/>
    </row>
    <row r="411" ht="16.5" customHeight="1" s="220">
      <c r="B411" s="216" t="n"/>
      <c r="C411" s="216" t="n"/>
      <c r="D411" s="216" t="n"/>
    </row>
    <row r="412" ht="16.5" customHeight="1" s="220">
      <c r="B412" s="216" t="n"/>
      <c r="C412" s="216" t="n"/>
      <c r="D412" s="216" t="n"/>
    </row>
    <row r="413" ht="16.5" customHeight="1" s="220">
      <c r="B413" s="216" t="n"/>
      <c r="C413" s="216" t="n"/>
      <c r="D413" s="216" t="n"/>
    </row>
    <row r="414" ht="16.5" customHeight="1" s="220">
      <c r="B414" s="216" t="n"/>
      <c r="C414" s="216" t="n"/>
      <c r="D414" s="216" t="n"/>
    </row>
    <row r="415" ht="16.5" customHeight="1" s="220">
      <c r="B415" s="216" t="n"/>
      <c r="C415" s="216" t="n"/>
      <c r="D415" s="216" t="n"/>
    </row>
    <row r="416" ht="16.5" customHeight="1" s="220">
      <c r="B416" s="216" t="n"/>
      <c r="C416" s="216" t="n"/>
      <c r="D416" s="216" t="n"/>
    </row>
    <row r="417" ht="16.5" customHeight="1" s="220">
      <c r="B417" s="216" t="n"/>
      <c r="C417" s="216" t="n"/>
      <c r="D417" s="216" t="n"/>
    </row>
    <row r="418" ht="16.5" customHeight="1" s="220">
      <c r="B418" s="216" t="n"/>
      <c r="C418" s="216" t="n"/>
      <c r="D418" s="216" t="n"/>
    </row>
    <row r="419" ht="16.5" customHeight="1" s="220">
      <c r="B419" s="216" t="n"/>
      <c r="C419" s="216" t="n"/>
      <c r="D419" s="216" t="n"/>
    </row>
    <row r="420" ht="16.5" customHeight="1" s="220">
      <c r="B420" s="216" t="n"/>
      <c r="C420" s="216" t="n"/>
      <c r="D420" s="216" t="n"/>
    </row>
    <row r="421" ht="16.5" customHeight="1" s="220">
      <c r="B421" s="216" t="n"/>
      <c r="C421" s="216" t="n"/>
      <c r="D421" s="216" t="n"/>
    </row>
    <row r="422" ht="16.5" customHeight="1" s="220">
      <c r="B422" s="216" t="n"/>
      <c r="C422" s="216" t="n"/>
      <c r="D422" s="216" t="n"/>
    </row>
    <row r="423" ht="16.5" customHeight="1" s="220">
      <c r="B423" s="216" t="n"/>
      <c r="C423" s="216" t="n"/>
      <c r="D423" s="216" t="n"/>
    </row>
    <row r="424" ht="16.5" customHeight="1" s="220">
      <c r="B424" s="216" t="n"/>
      <c r="C424" s="216" t="n"/>
      <c r="D424" s="216" t="n"/>
    </row>
    <row r="425" ht="16.5" customHeight="1" s="220">
      <c r="B425" s="216" t="n"/>
      <c r="C425" s="216" t="n"/>
      <c r="D425" s="216" t="n"/>
    </row>
    <row r="426" ht="16.5" customHeight="1" s="220">
      <c r="B426" s="216" t="n"/>
      <c r="C426" s="216" t="n"/>
      <c r="D426" s="216" t="n"/>
    </row>
    <row r="427" ht="16.5" customHeight="1" s="220">
      <c r="B427" s="216" t="n"/>
      <c r="C427" s="216" t="n"/>
      <c r="D427" s="216" t="n"/>
    </row>
    <row r="428" ht="16.5" customHeight="1" s="220">
      <c r="B428" s="216" t="n"/>
      <c r="C428" s="216" t="n"/>
      <c r="D428" s="216" t="n"/>
    </row>
    <row r="429" ht="16.5" customHeight="1" s="220">
      <c r="B429" s="216" t="n"/>
      <c r="C429" s="216" t="n"/>
      <c r="D429" s="216" t="n"/>
    </row>
    <row r="430" ht="16.5" customHeight="1" s="220">
      <c r="B430" s="216" t="n"/>
      <c r="C430" s="216" t="n"/>
      <c r="D430" s="216" t="n"/>
    </row>
    <row r="431" ht="16.5" customHeight="1" s="220">
      <c r="B431" s="216" t="n"/>
      <c r="C431" s="216" t="n"/>
      <c r="D431" s="216" t="n"/>
    </row>
    <row r="432" ht="16.5" customHeight="1" s="220">
      <c r="B432" s="216" t="n"/>
      <c r="C432" s="216" t="n"/>
      <c r="D432" s="216" t="n"/>
    </row>
    <row r="433" ht="16.5" customHeight="1" s="220">
      <c r="B433" s="216" t="n"/>
      <c r="C433" s="216" t="n"/>
      <c r="D433" s="216" t="n"/>
    </row>
    <row r="434" ht="16.5" customHeight="1" s="220">
      <c r="B434" s="216" t="n"/>
      <c r="C434" s="216" t="n"/>
      <c r="D434" s="216" t="n"/>
    </row>
    <row r="435" ht="16.5" customHeight="1" s="220">
      <c r="B435" s="216" t="n"/>
      <c r="C435" s="216" t="n"/>
      <c r="D435" s="216" t="n"/>
    </row>
    <row r="436" ht="16.5" customHeight="1" s="220">
      <c r="B436" s="216" t="n"/>
      <c r="C436" s="216" t="n"/>
      <c r="D436" s="216" t="n"/>
    </row>
    <row r="437" ht="16.5" customHeight="1" s="220">
      <c r="B437" s="216" t="n"/>
      <c r="C437" s="216" t="n"/>
      <c r="D437" s="216" t="n"/>
    </row>
    <row r="438" ht="16.5" customHeight="1" s="220">
      <c r="B438" s="216" t="n"/>
      <c r="C438" s="216" t="n"/>
      <c r="D438" s="216" t="n"/>
    </row>
    <row r="439" ht="16.5" customHeight="1" s="220">
      <c r="B439" s="216" t="n"/>
      <c r="C439" s="216" t="n"/>
      <c r="D439" s="216" t="n"/>
    </row>
    <row r="440" ht="16.5" customHeight="1" s="220">
      <c r="B440" s="216" t="n"/>
      <c r="C440" s="216" t="n"/>
      <c r="D440" s="216" t="n"/>
    </row>
    <row r="441" ht="16.5" customHeight="1" s="220">
      <c r="B441" s="216" t="n"/>
      <c r="C441" s="216" t="n"/>
      <c r="D441" s="216" t="n"/>
    </row>
    <row r="442" ht="16.5" customHeight="1" s="220">
      <c r="B442" s="216" t="n"/>
      <c r="C442" s="216" t="n"/>
      <c r="D442" s="216" t="n"/>
    </row>
    <row r="443" ht="16.5" customHeight="1" s="220">
      <c r="B443" s="216" t="n"/>
      <c r="C443" s="216" t="n"/>
      <c r="D443" s="216" t="n"/>
    </row>
    <row r="444" ht="16.5" customHeight="1" s="220">
      <c r="B444" s="216" t="n"/>
      <c r="C444" s="216" t="n"/>
      <c r="D444" s="216" t="n"/>
    </row>
    <row r="445" ht="16.5" customHeight="1" s="220">
      <c r="B445" s="216" t="n"/>
      <c r="C445" s="216" t="n"/>
      <c r="D445" s="216" t="n"/>
    </row>
    <row r="446" ht="16.5" customHeight="1" s="220">
      <c r="B446" s="216" t="n"/>
      <c r="C446" s="216" t="n"/>
      <c r="D446" s="216" t="n"/>
    </row>
    <row r="447" ht="16.5" customHeight="1" s="220">
      <c r="B447" s="216" t="n"/>
      <c r="C447" s="216" t="n"/>
      <c r="D447" s="216" t="n"/>
    </row>
    <row r="448" ht="16.5" customHeight="1" s="220">
      <c r="B448" s="216" t="n"/>
      <c r="C448" s="216" t="n"/>
      <c r="D448" s="216" t="n"/>
    </row>
    <row r="449" ht="16.5" customHeight="1" s="220">
      <c r="B449" s="216" t="n"/>
      <c r="C449" s="216" t="n"/>
      <c r="D449" s="216" t="n"/>
    </row>
    <row r="450" ht="16.5" customHeight="1" s="220">
      <c r="B450" s="216" t="n"/>
      <c r="C450" s="216" t="n"/>
      <c r="D450" s="216" t="n"/>
    </row>
    <row r="451" ht="16.5" customHeight="1" s="220">
      <c r="B451" s="216" t="n"/>
      <c r="C451" s="216" t="n"/>
      <c r="D451" s="216" t="n"/>
    </row>
    <row r="452" ht="16.5" customHeight="1" s="220">
      <c r="B452" s="216" t="n"/>
      <c r="C452" s="216" t="n"/>
      <c r="D452" s="216" t="n"/>
    </row>
    <row r="453" ht="16.5" customHeight="1" s="220">
      <c r="B453" s="216" t="n"/>
      <c r="C453" s="216" t="n"/>
      <c r="D453" s="216" t="n"/>
    </row>
    <row r="454" ht="16.5" customHeight="1" s="220">
      <c r="B454" s="216" t="n"/>
      <c r="C454" s="216" t="n"/>
      <c r="D454" s="216" t="n"/>
    </row>
    <row r="455" ht="16.5" customHeight="1" s="220">
      <c r="B455" s="216" t="n"/>
      <c r="C455" s="216" t="n"/>
      <c r="D455" s="216" t="n"/>
    </row>
    <row r="456" ht="16.5" customHeight="1" s="220">
      <c r="B456" s="216" t="n"/>
      <c r="C456" s="216" t="n"/>
      <c r="D456" s="216" t="n"/>
    </row>
    <row r="457" ht="16.5" customHeight="1" s="220">
      <c r="B457" s="216" t="n"/>
      <c r="C457" s="216" t="n"/>
      <c r="D457" s="216" t="n"/>
    </row>
    <row r="458" ht="16.5" customHeight="1" s="220">
      <c r="B458" s="216" t="n"/>
      <c r="C458" s="216" t="n"/>
      <c r="D458" s="216" t="n"/>
    </row>
    <row r="459" ht="16.5" customHeight="1" s="220">
      <c r="B459" s="216" t="n"/>
      <c r="C459" s="216" t="n"/>
      <c r="D459" s="216" t="n"/>
    </row>
    <row r="460" ht="16.5" customHeight="1" s="220">
      <c r="B460" s="216" t="n"/>
      <c r="C460" s="216" t="n"/>
      <c r="D460" s="216" t="n"/>
    </row>
    <row r="461" ht="16.5" customHeight="1" s="220">
      <c r="B461" s="216" t="n"/>
      <c r="C461" s="216" t="n"/>
      <c r="D461" s="216" t="n"/>
    </row>
    <row r="462" ht="16.5" customHeight="1" s="220">
      <c r="B462" s="216" t="n"/>
      <c r="C462" s="216" t="n"/>
      <c r="D462" s="216" t="n"/>
    </row>
    <row r="463" ht="16.5" customHeight="1" s="220">
      <c r="B463" s="216" t="n"/>
      <c r="C463" s="216" t="n"/>
      <c r="D463" s="216" t="n"/>
    </row>
    <row r="464" ht="16.5" customHeight="1" s="220">
      <c r="B464" s="216" t="n"/>
      <c r="C464" s="216" t="n"/>
      <c r="D464" s="216" t="n"/>
    </row>
    <row r="465" ht="16.5" customHeight="1" s="220">
      <c r="B465" s="216" t="n"/>
      <c r="C465" s="216" t="n"/>
      <c r="D465" s="216" t="n"/>
    </row>
    <row r="466" ht="16.5" customHeight="1" s="220">
      <c r="B466" s="216" t="n"/>
      <c r="C466" s="216" t="n"/>
      <c r="D466" s="216" t="n"/>
    </row>
    <row r="467" ht="16.5" customHeight="1" s="220">
      <c r="B467" s="216" t="n"/>
      <c r="C467" s="216" t="n"/>
      <c r="D467" s="216" t="n"/>
    </row>
    <row r="468" ht="16.5" customHeight="1" s="220">
      <c r="B468" s="216" t="n"/>
      <c r="C468" s="216" t="n"/>
      <c r="D468" s="216" t="n"/>
    </row>
    <row r="469" ht="16.5" customHeight="1" s="220">
      <c r="B469" s="216" t="n"/>
      <c r="C469" s="216" t="n"/>
      <c r="D469" s="216" t="n"/>
    </row>
    <row r="470" ht="16.5" customHeight="1" s="220">
      <c r="B470" s="216" t="n"/>
      <c r="C470" s="216" t="n"/>
      <c r="D470" s="216" t="n"/>
    </row>
    <row r="471" ht="16.5" customHeight="1" s="220">
      <c r="B471" s="216" t="n"/>
      <c r="C471" s="216" t="n"/>
      <c r="D471" s="216" t="n"/>
    </row>
    <row r="472" ht="16.5" customHeight="1" s="220">
      <c r="B472" s="216" t="n"/>
      <c r="C472" s="216" t="n"/>
      <c r="D472" s="216" t="n"/>
    </row>
    <row r="473" ht="16.5" customHeight="1" s="220">
      <c r="B473" s="216" t="n"/>
      <c r="C473" s="216" t="n"/>
      <c r="D473" s="216" t="n"/>
    </row>
    <row r="474" ht="16.5" customHeight="1" s="220">
      <c r="B474" s="216" t="n"/>
      <c r="C474" s="216" t="n"/>
      <c r="D474" s="216" t="n"/>
    </row>
    <row r="475" ht="16.5" customHeight="1" s="220">
      <c r="B475" s="216" t="n"/>
      <c r="C475" s="216" t="n"/>
      <c r="D475" s="216" t="n"/>
    </row>
    <row r="476" ht="16.5" customHeight="1" s="220">
      <c r="B476" s="216" t="n"/>
      <c r="C476" s="216" t="n"/>
      <c r="D476" s="216" t="n"/>
    </row>
    <row r="477" ht="16.5" customHeight="1" s="220">
      <c r="B477" s="216" t="n"/>
      <c r="C477" s="216" t="n"/>
      <c r="D477" s="216" t="n"/>
    </row>
    <row r="478" ht="16.5" customHeight="1" s="220">
      <c r="B478" s="216" t="n"/>
      <c r="C478" s="216" t="n"/>
      <c r="D478" s="216" t="n"/>
    </row>
    <row r="479" ht="16.5" customHeight="1" s="220">
      <c r="B479" s="216" t="n"/>
      <c r="C479" s="216" t="n"/>
      <c r="D479" s="216" t="n"/>
    </row>
    <row r="480" ht="16.5" customHeight="1" s="220">
      <c r="B480" s="216" t="n"/>
      <c r="C480" s="216" t="n"/>
      <c r="D480" s="216" t="n"/>
    </row>
    <row r="481" ht="16.5" customHeight="1" s="220">
      <c r="B481" s="216" t="n"/>
      <c r="C481" s="216" t="n"/>
      <c r="D481" s="216" t="n"/>
    </row>
    <row r="482" ht="16.5" customHeight="1" s="220">
      <c r="B482" s="216" t="n"/>
      <c r="C482" s="216" t="n"/>
      <c r="D482" s="216" t="n"/>
    </row>
    <row r="483" ht="16.5" customHeight="1" s="220">
      <c r="B483" s="216" t="n"/>
      <c r="C483" s="216" t="n"/>
      <c r="D483" s="216" t="n"/>
    </row>
    <row r="484" ht="16.5" customHeight="1" s="220">
      <c r="B484" s="216" t="n"/>
      <c r="C484" s="216" t="n"/>
      <c r="D484" s="216" t="n"/>
    </row>
    <row r="485" ht="16.5" customHeight="1" s="220">
      <c r="B485" s="216" t="n"/>
      <c r="C485" s="216" t="n"/>
      <c r="D485" s="216" t="n"/>
    </row>
    <row r="486" ht="16.5" customHeight="1" s="220">
      <c r="B486" s="216" t="n"/>
      <c r="C486" s="216" t="n"/>
      <c r="D486" s="216" t="n"/>
    </row>
    <row r="487" ht="16.5" customHeight="1" s="220">
      <c r="B487" s="216" t="n"/>
      <c r="C487" s="216" t="n"/>
      <c r="D487" s="216" t="n"/>
    </row>
    <row r="488" ht="16.5" customHeight="1" s="220">
      <c r="B488" s="216" t="n"/>
      <c r="C488" s="216" t="n"/>
      <c r="D488" s="216" t="n"/>
    </row>
    <row r="489" ht="16.5" customHeight="1" s="220">
      <c r="B489" s="216" t="n"/>
      <c r="C489" s="216" t="n"/>
      <c r="D489" s="216" t="n"/>
    </row>
    <row r="490" ht="16.5" customHeight="1" s="220">
      <c r="B490" s="216" t="n"/>
      <c r="C490" s="216" t="n"/>
      <c r="D490" s="216" t="n"/>
    </row>
    <row r="491" ht="16.5" customHeight="1" s="220">
      <c r="B491" s="216" t="n"/>
      <c r="C491" s="216" t="n"/>
      <c r="D491" s="216" t="n"/>
    </row>
    <row r="492" ht="16.5" customHeight="1" s="220">
      <c r="B492" s="216" t="n"/>
      <c r="C492" s="216" t="n"/>
      <c r="D492" s="216" t="n"/>
    </row>
    <row r="493" ht="16.5" customHeight="1" s="220">
      <c r="B493" s="216" t="n"/>
      <c r="C493" s="216" t="n"/>
      <c r="D493" s="216" t="n"/>
    </row>
    <row r="494" ht="16.5" customHeight="1" s="220">
      <c r="B494" s="216" t="n"/>
      <c r="C494" s="216" t="n"/>
      <c r="D494" s="216" t="n"/>
    </row>
    <row r="495" ht="16.5" customHeight="1" s="220">
      <c r="B495" s="216" t="n"/>
      <c r="C495" s="216" t="n"/>
      <c r="D495" s="216" t="n"/>
    </row>
    <row r="496" ht="16.5" customHeight="1" s="220">
      <c r="B496" s="216" t="n"/>
      <c r="C496" s="216" t="n"/>
      <c r="D496" s="216" t="n"/>
    </row>
    <row r="497" ht="16.5" customHeight="1" s="220">
      <c r="B497" s="216" t="n"/>
      <c r="C497" s="216" t="n"/>
      <c r="D497" s="216" t="n"/>
    </row>
    <row r="498" ht="16.5" customHeight="1" s="220">
      <c r="B498" s="216" t="n"/>
      <c r="C498" s="216" t="n"/>
      <c r="D498" s="216" t="n"/>
    </row>
    <row r="499" ht="16.5" customHeight="1" s="220">
      <c r="B499" s="216" t="n"/>
      <c r="C499" s="216" t="n"/>
      <c r="D499" s="216" t="n"/>
    </row>
    <row r="500" ht="16.5" customHeight="1" s="220">
      <c r="B500" s="216" t="n"/>
      <c r="C500" s="216" t="n"/>
      <c r="D500" s="216" t="n"/>
    </row>
    <row r="501" ht="16.5" customHeight="1" s="220">
      <c r="B501" s="216" t="n"/>
      <c r="C501" s="216" t="n"/>
      <c r="D501" s="216" t="n"/>
    </row>
    <row r="502" ht="16.5" customHeight="1" s="220">
      <c r="B502" s="216" t="n"/>
      <c r="C502" s="216" t="n"/>
      <c r="D502" s="216" t="n"/>
    </row>
    <row r="503" ht="16.5" customHeight="1" s="220">
      <c r="B503" s="216" t="n"/>
      <c r="C503" s="216" t="n"/>
      <c r="D503" s="216" t="n"/>
    </row>
    <row r="504" ht="16.5" customHeight="1" s="220">
      <c r="B504" s="216" t="n"/>
      <c r="C504" s="216" t="n"/>
      <c r="D504" s="216" t="n"/>
    </row>
    <row r="505" ht="16.5" customHeight="1" s="220">
      <c r="B505" s="216" t="n"/>
      <c r="C505" s="216" t="n"/>
      <c r="D505" s="216" t="n"/>
    </row>
    <row r="506" ht="16.5" customHeight="1" s="220">
      <c r="B506" s="216" t="n"/>
      <c r="C506" s="216" t="n"/>
      <c r="D506" s="216" t="n"/>
    </row>
    <row r="507" ht="16.5" customHeight="1" s="220">
      <c r="B507" s="216" t="n"/>
      <c r="C507" s="216" t="n"/>
      <c r="D507" s="216" t="n"/>
    </row>
    <row r="508" ht="16.5" customHeight="1" s="220">
      <c r="B508" s="216" t="n"/>
      <c r="C508" s="216" t="n"/>
      <c r="D508" s="216" t="n"/>
    </row>
    <row r="509" ht="16.5" customHeight="1" s="220">
      <c r="B509" s="216" t="n"/>
      <c r="C509" s="216" t="n"/>
      <c r="D509" s="216" t="n"/>
    </row>
    <row r="510" ht="16.5" customHeight="1" s="220">
      <c r="B510" s="216" t="n"/>
      <c r="C510" s="216" t="n"/>
      <c r="D510" s="216" t="n"/>
    </row>
    <row r="511" ht="16.5" customHeight="1" s="220">
      <c r="B511" s="216" t="n"/>
      <c r="C511" s="216" t="n"/>
      <c r="D511" s="216" t="n"/>
    </row>
    <row r="512" ht="16.5" customHeight="1" s="220">
      <c r="B512" s="216" t="n"/>
      <c r="C512" s="216" t="n"/>
      <c r="D512" s="216" t="n"/>
    </row>
    <row r="513" ht="16.5" customHeight="1" s="220">
      <c r="B513" s="216" t="n"/>
      <c r="C513" s="216" t="n"/>
      <c r="D513" s="216" t="n"/>
    </row>
    <row r="514" ht="16.5" customHeight="1" s="220">
      <c r="B514" s="216" t="n"/>
      <c r="C514" s="216" t="n"/>
      <c r="D514" s="216" t="n"/>
    </row>
    <row r="515" ht="16.5" customHeight="1" s="220">
      <c r="B515" s="216" t="n"/>
      <c r="C515" s="216" t="n"/>
      <c r="D515" s="216" t="n"/>
    </row>
    <row r="516" ht="16.5" customHeight="1" s="220">
      <c r="B516" s="216" t="n"/>
      <c r="C516" s="216" t="n"/>
      <c r="D516" s="216" t="n"/>
    </row>
    <row r="517" ht="16.5" customHeight="1" s="220">
      <c r="B517" s="216" t="n"/>
      <c r="C517" s="216" t="n"/>
      <c r="D517" s="216" t="n"/>
    </row>
    <row r="518" ht="16.5" customHeight="1" s="220">
      <c r="B518" s="216" t="n"/>
      <c r="C518" s="216" t="n"/>
      <c r="D518" s="216" t="n"/>
    </row>
    <row r="519" ht="16.5" customHeight="1" s="220">
      <c r="B519" s="216" t="n"/>
      <c r="C519" s="216" t="n"/>
      <c r="D519" s="216" t="n"/>
    </row>
    <row r="520" ht="16.5" customHeight="1" s="220">
      <c r="B520" s="216" t="n"/>
      <c r="C520" s="216" t="n"/>
      <c r="D520" s="216" t="n"/>
    </row>
    <row r="521" ht="16.5" customHeight="1" s="220">
      <c r="B521" s="216" t="n"/>
      <c r="C521" s="216" t="n"/>
      <c r="D521" s="216" t="n"/>
    </row>
    <row r="522" ht="16.5" customHeight="1" s="220">
      <c r="B522" s="216" t="n"/>
      <c r="C522" s="216" t="n"/>
      <c r="D522" s="216" t="n"/>
    </row>
    <row r="523" ht="16.5" customHeight="1" s="220">
      <c r="B523" s="216" t="n"/>
      <c r="C523" s="216" t="n"/>
      <c r="D523" s="216" t="n"/>
    </row>
    <row r="524" ht="16.5" customHeight="1" s="220">
      <c r="B524" s="216" t="n"/>
      <c r="C524" s="216" t="n"/>
      <c r="D524" s="216" t="n"/>
    </row>
    <row r="525" ht="16.5" customHeight="1" s="220">
      <c r="B525" s="216" t="n"/>
      <c r="C525" s="216" t="n"/>
      <c r="D525" s="216" t="n"/>
    </row>
    <row r="526" ht="16.5" customHeight="1" s="220">
      <c r="B526" s="216" t="n"/>
      <c r="C526" s="216" t="n"/>
      <c r="D526" s="216" t="n"/>
    </row>
    <row r="527" ht="16.5" customHeight="1" s="220">
      <c r="B527" s="216" t="n"/>
      <c r="C527" s="216" t="n"/>
      <c r="D527" s="216" t="n"/>
    </row>
    <row r="528" ht="16.5" customHeight="1" s="220">
      <c r="B528" s="216" t="n"/>
      <c r="C528" s="216" t="n"/>
      <c r="D528" s="216" t="n"/>
    </row>
    <row r="529" ht="16.5" customHeight="1" s="220">
      <c r="B529" s="216" t="n"/>
      <c r="C529" s="216" t="n"/>
      <c r="D529" s="216" t="n"/>
    </row>
    <row r="530" ht="16.5" customHeight="1" s="220">
      <c r="B530" s="216" t="n"/>
      <c r="C530" s="216" t="n"/>
      <c r="D530" s="216" t="n"/>
    </row>
    <row r="531" ht="16.5" customHeight="1" s="220">
      <c r="B531" s="216" t="n"/>
      <c r="C531" s="216" t="n"/>
      <c r="D531" s="216" t="n"/>
    </row>
    <row r="532" ht="16.5" customHeight="1" s="220">
      <c r="B532" s="216" t="n"/>
      <c r="C532" s="216" t="n"/>
      <c r="D532" s="216" t="n"/>
    </row>
    <row r="533" ht="16.5" customHeight="1" s="220">
      <c r="B533" s="216" t="n"/>
      <c r="C533" s="216" t="n"/>
      <c r="D533" s="216" t="n"/>
    </row>
    <row r="534" ht="16.5" customHeight="1" s="220">
      <c r="B534" s="216" t="n"/>
      <c r="C534" s="216" t="n"/>
      <c r="D534" s="216" t="n"/>
    </row>
    <row r="535" ht="16.5" customHeight="1" s="220">
      <c r="B535" s="216" t="n"/>
      <c r="C535" s="216" t="n"/>
      <c r="D535" s="216" t="n"/>
    </row>
    <row r="536" ht="16.5" customHeight="1" s="220">
      <c r="B536" s="216" t="n"/>
      <c r="C536" s="216" t="n"/>
      <c r="D536" s="216" t="n"/>
    </row>
    <row r="537" ht="16.5" customHeight="1" s="220">
      <c r="B537" s="216" t="n"/>
      <c r="C537" s="216" t="n"/>
      <c r="D537" s="216" t="n"/>
    </row>
    <row r="538" ht="16.5" customHeight="1" s="220">
      <c r="B538" s="216" t="n"/>
      <c r="C538" s="216" t="n"/>
      <c r="D538" s="216" t="n"/>
    </row>
    <row r="539" ht="16.5" customHeight="1" s="220">
      <c r="B539" s="216" t="n"/>
      <c r="C539" s="216" t="n"/>
      <c r="D539" s="216" t="n"/>
    </row>
    <row r="540" ht="16.5" customHeight="1" s="220">
      <c r="B540" s="216" t="n"/>
      <c r="C540" s="216" t="n"/>
      <c r="D540" s="216" t="n"/>
    </row>
    <row r="541" ht="16.5" customHeight="1" s="220">
      <c r="B541" s="216" t="n"/>
      <c r="C541" s="216" t="n"/>
      <c r="D541" s="216" t="n"/>
    </row>
    <row r="542" ht="16.5" customHeight="1" s="220">
      <c r="B542" s="216" t="n"/>
      <c r="C542" s="216" t="n"/>
      <c r="D542" s="216" t="n"/>
    </row>
    <row r="543" ht="16.5" customHeight="1" s="220">
      <c r="B543" s="216" t="n"/>
      <c r="C543" s="216" t="n"/>
      <c r="D543" s="216" t="n"/>
    </row>
    <row r="544" ht="16.5" customHeight="1" s="220">
      <c r="B544" s="216" t="n"/>
      <c r="C544" s="216" t="n"/>
      <c r="D544" s="216" t="n"/>
    </row>
    <row r="545" ht="16.5" customHeight="1" s="220">
      <c r="B545" s="216" t="n"/>
      <c r="C545" s="216" t="n"/>
      <c r="D545" s="216" t="n"/>
    </row>
    <row r="546" ht="16.5" customHeight="1" s="220">
      <c r="B546" s="216" t="n"/>
      <c r="C546" s="216" t="n"/>
      <c r="D546" s="216" t="n"/>
    </row>
    <row r="547" ht="16.5" customHeight="1" s="220">
      <c r="B547" s="216" t="n"/>
      <c r="C547" s="216" t="n"/>
      <c r="D547" s="216" t="n"/>
    </row>
    <row r="548" ht="16.5" customHeight="1" s="220">
      <c r="B548" s="216" t="n"/>
      <c r="C548" s="216" t="n"/>
      <c r="D548" s="216" t="n"/>
    </row>
    <row r="549" ht="16.5" customHeight="1" s="220">
      <c r="B549" s="216" t="n"/>
      <c r="C549" s="216" t="n"/>
      <c r="D549" s="216" t="n"/>
    </row>
    <row r="550" ht="16.5" customHeight="1" s="220">
      <c r="B550" s="216" t="n"/>
      <c r="C550" s="216" t="n"/>
      <c r="D550" s="216" t="n"/>
    </row>
    <row r="551" ht="16.5" customHeight="1" s="220">
      <c r="B551" s="216" t="n"/>
      <c r="C551" s="216" t="n"/>
      <c r="D551" s="216" t="n"/>
    </row>
    <row r="552" ht="16.5" customHeight="1" s="220">
      <c r="B552" s="216" t="n"/>
      <c r="C552" s="216" t="n"/>
      <c r="D552" s="216" t="n"/>
    </row>
    <row r="553" ht="16.5" customHeight="1" s="220">
      <c r="B553" s="216" t="n"/>
      <c r="C553" s="216" t="n"/>
      <c r="D553" s="216" t="n"/>
    </row>
    <row r="554" ht="16.5" customHeight="1" s="220">
      <c r="B554" s="216" t="n"/>
      <c r="C554" s="216" t="n"/>
      <c r="D554" s="216" t="n"/>
    </row>
    <row r="555" ht="16.5" customHeight="1" s="220">
      <c r="B555" s="216" t="n"/>
      <c r="C555" s="216" t="n"/>
      <c r="D555" s="216" t="n"/>
    </row>
    <row r="556" ht="16.5" customHeight="1" s="220">
      <c r="B556" s="216" t="n"/>
      <c r="C556" s="216" t="n"/>
      <c r="D556" s="216" t="n"/>
    </row>
    <row r="557" ht="16.5" customHeight="1" s="220">
      <c r="B557" s="216" t="n"/>
      <c r="C557" s="216" t="n"/>
      <c r="D557" s="216" t="n"/>
    </row>
    <row r="558" ht="16.5" customHeight="1" s="220">
      <c r="B558" s="216" t="n"/>
      <c r="C558" s="216" t="n"/>
      <c r="D558" s="216" t="n"/>
    </row>
    <row r="559" ht="16.5" customHeight="1" s="220">
      <c r="B559" s="216" t="n"/>
      <c r="C559" s="216" t="n"/>
      <c r="D559" s="216" t="n"/>
    </row>
    <row r="560" ht="16.5" customHeight="1" s="220">
      <c r="B560" s="216" t="n"/>
      <c r="C560" s="216" t="n"/>
      <c r="D560" s="216" t="n"/>
    </row>
    <row r="561" ht="16.5" customHeight="1" s="220">
      <c r="B561" s="216" t="n"/>
      <c r="C561" s="216" t="n"/>
      <c r="D561" s="216" t="n"/>
    </row>
    <row r="562" ht="16.5" customHeight="1" s="220">
      <c r="B562" s="216" t="n"/>
      <c r="C562" s="216" t="n"/>
      <c r="D562" s="216" t="n"/>
    </row>
    <row r="563" ht="16.5" customHeight="1" s="220">
      <c r="B563" s="216" t="n"/>
      <c r="C563" s="216" t="n"/>
      <c r="D563" s="216" t="n"/>
    </row>
    <row r="564" ht="16.5" customHeight="1" s="220">
      <c r="B564" s="216" t="n"/>
      <c r="C564" s="216" t="n"/>
      <c r="D564" s="216" t="n"/>
    </row>
    <row r="565" ht="16.5" customHeight="1" s="220">
      <c r="B565" s="216" t="n"/>
      <c r="C565" s="216" t="n"/>
      <c r="D565" s="216" t="n"/>
    </row>
    <row r="566" ht="16.5" customHeight="1" s="220">
      <c r="B566" s="216" t="n"/>
      <c r="C566" s="216" t="n"/>
      <c r="D566" s="216" t="n"/>
    </row>
    <row r="567" ht="16.5" customHeight="1" s="220">
      <c r="B567" s="216" t="n"/>
      <c r="C567" s="216" t="n"/>
      <c r="D567" s="216" t="n"/>
    </row>
    <row r="568" ht="16.5" customHeight="1" s="220">
      <c r="B568" s="216" t="n"/>
      <c r="C568" s="216" t="n"/>
      <c r="D568" s="216" t="n"/>
    </row>
    <row r="569" ht="16.5" customHeight="1" s="220">
      <c r="B569" s="216" t="n"/>
      <c r="C569" s="216" t="n"/>
      <c r="D569" s="216" t="n"/>
    </row>
    <row r="570" ht="16.5" customHeight="1" s="220">
      <c r="B570" s="216" t="n"/>
      <c r="C570" s="216" t="n"/>
      <c r="D570" s="216" t="n"/>
    </row>
    <row r="571" ht="16.5" customHeight="1" s="220">
      <c r="B571" s="216" t="n"/>
      <c r="C571" s="216" t="n"/>
      <c r="D571" s="216" t="n"/>
    </row>
    <row r="572" ht="16.5" customHeight="1" s="220">
      <c r="B572" s="216" t="n"/>
      <c r="C572" s="216" t="n"/>
      <c r="D572" s="216" t="n"/>
    </row>
    <row r="573" ht="16.5" customHeight="1" s="220">
      <c r="B573" s="216" t="n"/>
      <c r="C573" s="216" t="n"/>
      <c r="D573" s="216" t="n"/>
    </row>
    <row r="574" ht="16.5" customHeight="1" s="220">
      <c r="B574" s="216" t="n"/>
      <c r="C574" s="216" t="n"/>
      <c r="D574" s="216" t="n"/>
    </row>
    <row r="575" ht="16.5" customHeight="1" s="220">
      <c r="B575" s="216" t="n"/>
      <c r="C575" s="216" t="n"/>
      <c r="D575" s="216" t="n"/>
    </row>
    <row r="576" ht="16.5" customHeight="1" s="220">
      <c r="B576" s="216" t="n"/>
      <c r="C576" s="216" t="n"/>
      <c r="D576" s="216" t="n"/>
    </row>
    <row r="577" ht="16.5" customHeight="1" s="220">
      <c r="B577" s="216" t="n"/>
      <c r="C577" s="216" t="n"/>
      <c r="D577" s="216" t="n"/>
    </row>
    <row r="578" ht="16.5" customHeight="1" s="220">
      <c r="B578" s="216" t="n"/>
      <c r="C578" s="216" t="n"/>
      <c r="D578" s="216" t="n"/>
    </row>
    <row r="579" ht="16.5" customHeight="1" s="220">
      <c r="B579" s="216" t="n"/>
      <c r="C579" s="216" t="n"/>
      <c r="D579" s="216" t="n"/>
    </row>
    <row r="580" ht="16.5" customHeight="1" s="220">
      <c r="B580" s="216" t="n"/>
      <c r="C580" s="216" t="n"/>
      <c r="D580" s="216" t="n"/>
    </row>
    <row r="581" ht="16.5" customHeight="1" s="220">
      <c r="B581" s="216" t="n"/>
      <c r="C581" s="216" t="n"/>
      <c r="D581" s="216" t="n"/>
    </row>
    <row r="582" ht="16.5" customHeight="1" s="220">
      <c r="B582" s="216" t="n"/>
      <c r="C582" s="216" t="n"/>
      <c r="D582" s="216" t="n"/>
    </row>
    <row r="583" ht="16.5" customHeight="1" s="220">
      <c r="B583" s="216" t="n"/>
      <c r="C583" s="216" t="n"/>
      <c r="D583" s="216" t="n"/>
    </row>
    <row r="584" ht="16.5" customHeight="1" s="220">
      <c r="B584" s="216" t="n"/>
      <c r="C584" s="216" t="n"/>
      <c r="D584" s="216" t="n"/>
    </row>
    <row r="585" ht="16.5" customHeight="1" s="220">
      <c r="B585" s="216" t="n"/>
      <c r="C585" s="216" t="n"/>
      <c r="D585" s="216" t="n"/>
    </row>
    <row r="586" ht="16.5" customHeight="1" s="220">
      <c r="B586" s="216" t="n"/>
      <c r="C586" s="216" t="n"/>
      <c r="D586" s="216" t="n"/>
    </row>
    <row r="587" ht="16.5" customHeight="1" s="220">
      <c r="B587" s="216" t="n"/>
      <c r="C587" s="216" t="n"/>
      <c r="D587" s="216" t="n"/>
    </row>
    <row r="588" ht="16.5" customHeight="1" s="220">
      <c r="B588" s="216" t="n"/>
      <c r="C588" s="216" t="n"/>
      <c r="D588" s="216" t="n"/>
    </row>
    <row r="589" ht="16.5" customHeight="1" s="220">
      <c r="B589" s="216" t="n"/>
      <c r="C589" s="216" t="n"/>
      <c r="D589" s="216" t="n"/>
    </row>
    <row r="590" ht="16.5" customHeight="1" s="220">
      <c r="B590" s="216" t="n"/>
      <c r="C590" s="216" t="n"/>
      <c r="D590" s="216" t="n"/>
    </row>
    <row r="591" ht="16.5" customHeight="1" s="220">
      <c r="B591" s="216" t="n"/>
      <c r="C591" s="216" t="n"/>
      <c r="D591" s="216" t="n"/>
    </row>
    <row r="592" ht="16.5" customHeight="1" s="220">
      <c r="B592" s="216" t="n"/>
      <c r="C592" s="216" t="n"/>
      <c r="D592" s="216" t="n"/>
    </row>
    <row r="593" ht="16.5" customHeight="1" s="220">
      <c r="B593" s="216" t="n"/>
      <c r="C593" s="216" t="n"/>
      <c r="D593" s="216" t="n"/>
    </row>
    <row r="594" ht="16.5" customHeight="1" s="220">
      <c r="B594" s="216" t="n"/>
      <c r="C594" s="216" t="n"/>
      <c r="D594" s="216" t="n"/>
    </row>
    <row r="595" ht="16.5" customHeight="1" s="220">
      <c r="B595" s="216" t="n"/>
      <c r="C595" s="216" t="n"/>
      <c r="D595" s="216" t="n"/>
    </row>
    <row r="596" ht="16.5" customHeight="1" s="220">
      <c r="B596" s="216" t="n"/>
      <c r="C596" s="216" t="n"/>
      <c r="D596" s="216" t="n"/>
    </row>
    <row r="597" ht="16.5" customHeight="1" s="220">
      <c r="B597" s="216" t="n"/>
      <c r="C597" s="216" t="n"/>
      <c r="D597" s="216" t="n"/>
    </row>
    <row r="598" ht="16.5" customHeight="1" s="220">
      <c r="B598" s="216" t="n"/>
      <c r="C598" s="216" t="n"/>
      <c r="D598" s="216" t="n"/>
    </row>
    <row r="599" ht="16.5" customHeight="1" s="220">
      <c r="B599" s="216" t="n"/>
      <c r="C599" s="216" t="n"/>
      <c r="D599" s="216" t="n"/>
    </row>
    <row r="600" ht="16.5" customHeight="1" s="220">
      <c r="B600" s="216" t="n"/>
      <c r="C600" s="216" t="n"/>
      <c r="D600" s="216" t="n"/>
    </row>
    <row r="601" ht="16.5" customHeight="1" s="220">
      <c r="B601" s="216" t="n"/>
      <c r="C601" s="216" t="n"/>
      <c r="D601" s="216" t="n"/>
    </row>
    <row r="602" ht="16.5" customHeight="1" s="220">
      <c r="B602" s="216" t="n"/>
      <c r="C602" s="216" t="n"/>
      <c r="D602" s="216" t="n"/>
    </row>
    <row r="603" ht="16.5" customHeight="1" s="220">
      <c r="B603" s="216" t="n"/>
      <c r="C603" s="216" t="n"/>
      <c r="D603" s="216" t="n"/>
    </row>
    <row r="604" ht="16.5" customHeight="1" s="220">
      <c r="B604" s="216" t="n"/>
      <c r="C604" s="216" t="n"/>
      <c r="D604" s="216" t="n"/>
    </row>
    <row r="605" ht="16.5" customHeight="1" s="220">
      <c r="B605" s="216" t="n"/>
      <c r="C605" s="216" t="n"/>
      <c r="D605" s="216" t="n"/>
    </row>
    <row r="606" ht="16.5" customHeight="1" s="220">
      <c r="B606" s="216" t="n"/>
      <c r="C606" s="216" t="n"/>
      <c r="D606" s="216" t="n"/>
    </row>
    <row r="607" ht="16.5" customHeight="1" s="220">
      <c r="B607" s="216" t="n"/>
      <c r="C607" s="216" t="n"/>
      <c r="D607" s="216" t="n"/>
    </row>
    <row r="608" ht="16.5" customHeight="1" s="220">
      <c r="B608" s="216" t="n"/>
      <c r="C608" s="216" t="n"/>
      <c r="D608" s="216" t="n"/>
    </row>
    <row r="609" ht="16.5" customHeight="1" s="220">
      <c r="B609" s="216" t="n"/>
      <c r="C609" s="216" t="n"/>
      <c r="D609" s="216" t="n"/>
    </row>
    <row r="610" ht="16.5" customHeight="1" s="220">
      <c r="B610" s="216" t="n"/>
      <c r="C610" s="216" t="n"/>
      <c r="D610" s="216" t="n"/>
    </row>
    <row r="611" ht="16.5" customHeight="1" s="220">
      <c r="B611" s="216" t="n"/>
      <c r="C611" s="216" t="n"/>
      <c r="D611" s="216" t="n"/>
    </row>
    <row r="612" ht="16.5" customHeight="1" s="220">
      <c r="B612" s="216" t="n"/>
      <c r="C612" s="216" t="n"/>
      <c r="D612" s="216" t="n"/>
    </row>
    <row r="613" ht="16.5" customHeight="1" s="220">
      <c r="B613" s="216" t="n"/>
      <c r="C613" s="216" t="n"/>
      <c r="D613" s="216" t="n"/>
    </row>
    <row r="614" ht="16.5" customHeight="1" s="220">
      <c r="B614" s="216" t="n"/>
      <c r="C614" s="216" t="n"/>
      <c r="D614" s="216" t="n"/>
    </row>
    <row r="615" ht="16.5" customHeight="1" s="220">
      <c r="B615" s="216" t="n"/>
      <c r="C615" s="216" t="n"/>
      <c r="D615" s="216" t="n"/>
    </row>
    <row r="616" ht="16.5" customHeight="1" s="220">
      <c r="B616" s="216" t="n"/>
      <c r="C616" s="216" t="n"/>
      <c r="D616" s="216" t="n"/>
    </row>
    <row r="617" ht="16.5" customHeight="1" s="220">
      <c r="B617" s="216" t="n"/>
      <c r="C617" s="216" t="n"/>
      <c r="D617" s="216" t="n"/>
    </row>
    <row r="618" ht="16.5" customHeight="1" s="220">
      <c r="B618" s="216" t="n"/>
      <c r="C618" s="216" t="n"/>
      <c r="D618" s="216" t="n"/>
    </row>
    <row r="619" ht="16.5" customHeight="1" s="220">
      <c r="B619" s="216" t="n"/>
      <c r="C619" s="216" t="n"/>
      <c r="D619" s="216" t="n"/>
    </row>
    <row r="620" ht="16.5" customHeight="1" s="220">
      <c r="B620" s="216" t="n"/>
      <c r="C620" s="216" t="n"/>
      <c r="D620" s="216" t="n"/>
    </row>
    <row r="621" ht="16.5" customHeight="1" s="220">
      <c r="B621" s="216" t="n"/>
      <c r="C621" s="216" t="n"/>
      <c r="D621" s="216" t="n"/>
    </row>
    <row r="622" ht="16.5" customHeight="1" s="220">
      <c r="B622" s="216" t="n"/>
      <c r="C622" s="216" t="n"/>
      <c r="D622" s="216" t="n"/>
    </row>
    <row r="623" ht="16.5" customHeight="1" s="220">
      <c r="B623" s="216" t="n"/>
      <c r="C623" s="216" t="n"/>
      <c r="D623" s="216" t="n"/>
    </row>
    <row r="624" ht="16.5" customHeight="1" s="220">
      <c r="B624" s="216" t="n"/>
      <c r="C624" s="216" t="n"/>
      <c r="D624" s="216" t="n"/>
    </row>
    <row r="625" ht="16.5" customHeight="1" s="220">
      <c r="B625" s="216" t="n"/>
      <c r="C625" s="216" t="n"/>
      <c r="D625" s="216" t="n"/>
    </row>
    <row r="626" ht="16.5" customHeight="1" s="220">
      <c r="B626" s="216" t="n"/>
      <c r="C626" s="216" t="n"/>
      <c r="D626" s="216" t="n"/>
    </row>
    <row r="627" ht="16.5" customHeight="1" s="220">
      <c r="B627" s="216" t="n"/>
      <c r="C627" s="216" t="n"/>
      <c r="D627" s="216" t="n"/>
    </row>
    <row r="628" ht="16.5" customHeight="1" s="220">
      <c r="B628" s="216" t="n"/>
      <c r="C628" s="216" t="n"/>
      <c r="D628" s="216" t="n"/>
    </row>
    <row r="629" ht="16.5" customHeight="1" s="220">
      <c r="B629" s="216" t="n"/>
      <c r="C629" s="216" t="n"/>
      <c r="D629" s="216" t="n"/>
    </row>
    <row r="630" ht="16.5" customHeight="1" s="220">
      <c r="B630" s="216" t="n"/>
      <c r="C630" s="216" t="n"/>
      <c r="D630" s="216" t="n"/>
    </row>
    <row r="631" ht="16.5" customHeight="1" s="220">
      <c r="B631" s="216" t="n"/>
      <c r="C631" s="216" t="n"/>
      <c r="D631" s="216" t="n"/>
    </row>
    <row r="632" ht="16.5" customHeight="1" s="220">
      <c r="B632" s="216" t="n"/>
      <c r="C632" s="216" t="n"/>
      <c r="D632" s="216" t="n"/>
    </row>
    <row r="633" ht="16.5" customHeight="1" s="220">
      <c r="B633" s="216" t="n"/>
      <c r="C633" s="216" t="n"/>
      <c r="D633" s="216" t="n"/>
    </row>
    <row r="634" ht="16.5" customHeight="1" s="220">
      <c r="B634" s="216" t="n"/>
      <c r="C634" s="216" t="n"/>
      <c r="D634" s="216" t="n"/>
    </row>
    <row r="635" ht="16.5" customHeight="1" s="220">
      <c r="B635" s="216" t="n"/>
      <c r="C635" s="216" t="n"/>
      <c r="D635" s="216" t="n"/>
    </row>
    <row r="636" ht="16.5" customHeight="1" s="220">
      <c r="B636" s="216" t="n"/>
      <c r="C636" s="216" t="n"/>
      <c r="D636" s="216" t="n"/>
    </row>
    <row r="637" ht="16.5" customHeight="1" s="220">
      <c r="B637" s="216" t="n"/>
      <c r="C637" s="216" t="n"/>
      <c r="D637" s="216" t="n"/>
    </row>
    <row r="638" ht="16.5" customHeight="1" s="220">
      <c r="B638" s="216" t="n"/>
      <c r="C638" s="216" t="n"/>
      <c r="D638" s="216" t="n"/>
    </row>
    <row r="639" ht="16.5" customHeight="1" s="220">
      <c r="B639" s="216" t="n"/>
      <c r="C639" s="216" t="n"/>
      <c r="D639" s="216" t="n"/>
    </row>
    <row r="640" ht="16.5" customHeight="1" s="220">
      <c r="B640" s="216" t="n"/>
      <c r="C640" s="216" t="n"/>
      <c r="D640" s="216" t="n"/>
    </row>
    <row r="641" ht="16.5" customHeight="1" s="220">
      <c r="B641" s="216" t="n"/>
      <c r="C641" s="216" t="n"/>
      <c r="D641" s="216" t="n"/>
    </row>
    <row r="642" ht="16.5" customHeight="1" s="220">
      <c r="B642" s="216" t="n"/>
      <c r="C642" s="216" t="n"/>
      <c r="D642" s="216" t="n"/>
    </row>
    <row r="643" ht="16.5" customHeight="1" s="220">
      <c r="B643" s="216" t="n"/>
      <c r="C643" s="216" t="n"/>
      <c r="D643" s="216" t="n"/>
    </row>
    <row r="644" ht="16.5" customHeight="1" s="220">
      <c r="B644" s="216" t="n"/>
      <c r="C644" s="216" t="n"/>
      <c r="D644" s="216" t="n"/>
    </row>
    <row r="645" ht="16.5" customHeight="1" s="220">
      <c r="B645" s="216" t="n"/>
      <c r="C645" s="216" t="n"/>
      <c r="D645" s="216" t="n"/>
    </row>
    <row r="646" ht="16.5" customHeight="1" s="220">
      <c r="B646" s="216" t="n"/>
      <c r="C646" s="216" t="n"/>
      <c r="D646" s="216" t="n"/>
    </row>
    <row r="647" ht="16.5" customHeight="1" s="220">
      <c r="B647" s="216" t="n"/>
      <c r="C647" s="216" t="n"/>
      <c r="D647" s="216" t="n"/>
    </row>
    <row r="648" ht="16.5" customHeight="1" s="220">
      <c r="B648" s="216" t="n"/>
      <c r="C648" s="216" t="n"/>
      <c r="D648" s="216" t="n"/>
    </row>
    <row r="649" ht="16.5" customHeight="1" s="220">
      <c r="B649" s="216" t="n"/>
      <c r="C649" s="216" t="n"/>
      <c r="D649" s="216" t="n"/>
    </row>
    <row r="650" ht="16.5" customHeight="1" s="220">
      <c r="B650" s="216" t="n"/>
      <c r="C650" s="216" t="n"/>
      <c r="D650" s="216" t="n"/>
    </row>
    <row r="651" ht="16.5" customHeight="1" s="220">
      <c r="B651" s="216" t="n"/>
      <c r="C651" s="216" t="n"/>
      <c r="D651" s="216" t="n"/>
    </row>
    <row r="652" ht="16.5" customHeight="1" s="220">
      <c r="B652" s="216" t="n"/>
      <c r="C652" s="216" t="n"/>
      <c r="D652" s="216" t="n"/>
    </row>
    <row r="653" ht="16.5" customHeight="1" s="220">
      <c r="B653" s="216" t="n"/>
      <c r="C653" s="216" t="n"/>
      <c r="D653" s="216" t="n"/>
    </row>
    <row r="654" ht="16.5" customHeight="1" s="220">
      <c r="B654" s="216" t="n"/>
      <c r="C654" s="216" t="n"/>
      <c r="D654" s="216" t="n"/>
    </row>
    <row r="655" ht="16.5" customHeight="1" s="220">
      <c r="B655" s="216" t="n"/>
      <c r="C655" s="216" t="n"/>
      <c r="D655" s="216" t="n"/>
    </row>
    <row r="656" ht="16.5" customHeight="1" s="220">
      <c r="B656" s="216" t="n"/>
      <c r="C656" s="216" t="n"/>
      <c r="D656" s="216" t="n"/>
    </row>
    <row r="657" ht="16.5" customHeight="1" s="220">
      <c r="B657" s="216" t="n"/>
      <c r="C657" s="216" t="n"/>
      <c r="D657" s="216" t="n"/>
    </row>
    <row r="658" ht="16.5" customHeight="1" s="220">
      <c r="B658" s="216" t="n"/>
      <c r="C658" s="216" t="n"/>
      <c r="D658" s="216" t="n"/>
    </row>
    <row r="659" ht="16.5" customHeight="1" s="220">
      <c r="B659" s="216" t="n"/>
      <c r="C659" s="216" t="n"/>
      <c r="D659" s="216" t="n"/>
    </row>
    <row r="660" ht="16.5" customHeight="1" s="220">
      <c r="B660" s="216" t="n"/>
      <c r="C660" s="216" t="n"/>
      <c r="D660" s="216" t="n"/>
    </row>
    <row r="661" ht="16.5" customHeight="1" s="220">
      <c r="B661" s="216" t="n"/>
      <c r="C661" s="216" t="n"/>
      <c r="D661" s="216" t="n"/>
    </row>
    <row r="662" ht="16.5" customHeight="1" s="220">
      <c r="B662" s="216" t="n"/>
      <c r="C662" s="216" t="n"/>
      <c r="D662" s="216" t="n"/>
    </row>
    <row r="663" ht="16.5" customHeight="1" s="220">
      <c r="B663" s="216" t="n"/>
      <c r="C663" s="216" t="n"/>
      <c r="D663" s="216" t="n"/>
    </row>
    <row r="664" ht="16.5" customHeight="1" s="220">
      <c r="B664" s="216" t="n"/>
      <c r="C664" s="216" t="n"/>
      <c r="D664" s="216" t="n"/>
    </row>
    <row r="665" ht="16.5" customHeight="1" s="220">
      <c r="B665" s="216" t="n"/>
      <c r="C665" s="216" t="n"/>
      <c r="D665" s="216" t="n"/>
    </row>
    <row r="666" ht="16.5" customHeight="1" s="220">
      <c r="B666" s="216" t="n"/>
      <c r="C666" s="216" t="n"/>
      <c r="D666" s="216" t="n"/>
    </row>
    <row r="667" ht="16.5" customHeight="1" s="220">
      <c r="B667" s="216" t="n"/>
      <c r="C667" s="216" t="n"/>
      <c r="D667" s="216" t="n"/>
    </row>
    <row r="668" ht="16.5" customHeight="1" s="220">
      <c r="B668" s="216" t="n"/>
      <c r="C668" s="216" t="n"/>
      <c r="D668" s="216" t="n"/>
    </row>
    <row r="669" ht="16.5" customHeight="1" s="220">
      <c r="B669" s="216" t="n"/>
      <c r="C669" s="216" t="n"/>
      <c r="D669" s="216" t="n"/>
    </row>
    <row r="670" ht="16.5" customHeight="1" s="220">
      <c r="B670" s="216" t="n"/>
      <c r="C670" s="216" t="n"/>
      <c r="D670" s="216" t="n"/>
    </row>
    <row r="671" ht="16.5" customHeight="1" s="220">
      <c r="B671" s="216" t="n"/>
      <c r="C671" s="216" t="n"/>
      <c r="D671" s="216" t="n"/>
    </row>
    <row r="672" ht="16.5" customHeight="1" s="220">
      <c r="B672" s="216" t="n"/>
      <c r="C672" s="216" t="n"/>
      <c r="D672" s="216" t="n"/>
    </row>
    <row r="673" ht="16.5" customHeight="1" s="220">
      <c r="B673" s="216" t="n"/>
      <c r="C673" s="216" t="n"/>
      <c r="D673" s="216" t="n"/>
    </row>
    <row r="674" ht="16.5" customHeight="1" s="220">
      <c r="B674" s="216" t="n"/>
      <c r="C674" s="216" t="n"/>
      <c r="D674" s="216" t="n"/>
    </row>
    <row r="675" ht="16.5" customHeight="1" s="220">
      <c r="B675" s="216" t="n"/>
      <c r="C675" s="216" t="n"/>
      <c r="D675" s="216" t="n"/>
    </row>
    <row r="676" ht="16.5" customHeight="1" s="220">
      <c r="B676" s="216" t="n"/>
      <c r="C676" s="216" t="n"/>
      <c r="D676" s="216" t="n"/>
    </row>
    <row r="677" ht="16.5" customHeight="1" s="220">
      <c r="B677" s="216" t="n"/>
      <c r="C677" s="216" t="n"/>
      <c r="D677" s="216" t="n"/>
    </row>
    <row r="678" ht="16.5" customHeight="1" s="220">
      <c r="B678" s="216" t="n"/>
      <c r="C678" s="216" t="n"/>
      <c r="D678" s="216" t="n"/>
    </row>
    <row r="679" ht="16.5" customHeight="1" s="220">
      <c r="B679" s="216" t="n"/>
      <c r="C679" s="216" t="n"/>
      <c r="D679" s="216" t="n"/>
    </row>
    <row r="680" ht="16.5" customHeight="1" s="220">
      <c r="B680" s="216" t="n"/>
      <c r="C680" s="216" t="n"/>
      <c r="D680" s="216" t="n"/>
    </row>
    <row r="681" ht="16.5" customHeight="1" s="220">
      <c r="B681" s="216" t="n"/>
      <c r="C681" s="216" t="n"/>
      <c r="D681" s="216" t="n"/>
    </row>
    <row r="682" ht="16.5" customHeight="1" s="220">
      <c r="B682" s="216" t="n"/>
      <c r="C682" s="216" t="n"/>
      <c r="D682" s="216" t="n"/>
    </row>
    <row r="683" ht="16.5" customHeight="1" s="220">
      <c r="B683" s="216" t="n"/>
      <c r="C683" s="216" t="n"/>
      <c r="D683" s="216" t="n"/>
    </row>
    <row r="684" ht="16.5" customHeight="1" s="220">
      <c r="B684" s="216" t="n"/>
      <c r="C684" s="216" t="n"/>
      <c r="D684" s="216" t="n"/>
    </row>
    <row r="685" ht="16.5" customHeight="1" s="220">
      <c r="B685" s="216" t="n"/>
      <c r="C685" s="216" t="n"/>
      <c r="D685" s="216" t="n"/>
    </row>
    <row r="686" ht="16.5" customHeight="1" s="220">
      <c r="B686" s="216" t="n"/>
      <c r="C686" s="216" t="n"/>
      <c r="D686" s="216" t="n"/>
    </row>
    <row r="687" ht="16.5" customHeight="1" s="220">
      <c r="B687" s="216" t="n"/>
      <c r="C687" s="216" t="n"/>
      <c r="D687" s="216" t="n"/>
    </row>
    <row r="688" ht="16.5" customHeight="1" s="220">
      <c r="B688" s="216" t="n"/>
      <c r="C688" s="216" t="n"/>
      <c r="D688" s="216" t="n"/>
    </row>
    <row r="689" ht="16.5" customHeight="1" s="220">
      <c r="B689" s="216" t="n"/>
      <c r="C689" s="216" t="n"/>
      <c r="D689" s="216" t="n"/>
    </row>
    <row r="690" ht="16.5" customHeight="1" s="220">
      <c r="B690" s="216" t="n"/>
      <c r="C690" s="216" t="n"/>
      <c r="D690" s="216" t="n"/>
    </row>
    <row r="691" ht="16.5" customHeight="1" s="220">
      <c r="B691" s="216" t="n"/>
      <c r="C691" s="216" t="n"/>
      <c r="D691" s="216" t="n"/>
    </row>
    <row r="692" ht="16.5" customHeight="1" s="220">
      <c r="B692" s="216" t="n"/>
      <c r="C692" s="216" t="n"/>
      <c r="D692" s="216" t="n"/>
    </row>
    <row r="693" ht="16.5" customHeight="1" s="220">
      <c r="B693" s="216" t="n"/>
      <c r="C693" s="216" t="n"/>
      <c r="D693" s="216" t="n"/>
    </row>
    <row r="694" ht="16.5" customHeight="1" s="220">
      <c r="B694" s="216" t="n"/>
      <c r="C694" s="216" t="n"/>
      <c r="D694" s="216" t="n"/>
    </row>
    <row r="695" ht="16.5" customHeight="1" s="220">
      <c r="B695" s="216" t="n"/>
      <c r="C695" s="216" t="n"/>
      <c r="D695" s="216" t="n"/>
    </row>
    <row r="696" ht="16.5" customHeight="1" s="220">
      <c r="B696" s="216" t="n"/>
      <c r="C696" s="216" t="n"/>
      <c r="D696" s="216" t="n"/>
    </row>
    <row r="697" ht="16.5" customHeight="1" s="220">
      <c r="B697" s="216" t="n"/>
      <c r="C697" s="216" t="n"/>
      <c r="D697" s="216" t="n"/>
    </row>
    <row r="698" ht="16.5" customHeight="1" s="220">
      <c r="B698" s="216" t="n"/>
      <c r="C698" s="216" t="n"/>
      <c r="D698" s="216" t="n"/>
    </row>
    <row r="699" ht="16.5" customHeight="1" s="220">
      <c r="B699" s="216" t="n"/>
      <c r="C699" s="216" t="n"/>
      <c r="D699" s="216" t="n"/>
    </row>
    <row r="700" ht="16.5" customHeight="1" s="220">
      <c r="B700" s="216" t="n"/>
      <c r="C700" s="216" t="n"/>
      <c r="D700" s="216" t="n"/>
    </row>
    <row r="701" ht="16.5" customHeight="1" s="220">
      <c r="B701" s="216" t="n"/>
      <c r="C701" s="216" t="n"/>
      <c r="D701" s="216" t="n"/>
    </row>
    <row r="702" ht="16.5" customHeight="1" s="220">
      <c r="B702" s="216" t="n"/>
      <c r="C702" s="216" t="n"/>
      <c r="D702" s="216" t="n"/>
    </row>
    <row r="703" ht="16.5" customHeight="1" s="220">
      <c r="B703" s="216" t="n"/>
      <c r="C703" s="216" t="n"/>
      <c r="D703" s="216" t="n"/>
    </row>
    <row r="704" ht="16.5" customHeight="1" s="220">
      <c r="B704" s="216" t="n"/>
      <c r="C704" s="216" t="n"/>
      <c r="D704" s="216" t="n"/>
    </row>
    <row r="705" ht="16.5" customHeight="1" s="220">
      <c r="B705" s="216" t="n"/>
      <c r="C705" s="216" t="n"/>
      <c r="D705" s="216" t="n"/>
    </row>
    <row r="706" ht="16.5" customHeight="1" s="220">
      <c r="B706" s="216" t="n"/>
      <c r="C706" s="216" t="n"/>
      <c r="D706" s="216" t="n"/>
    </row>
    <row r="707" ht="16.5" customHeight="1" s="220">
      <c r="B707" s="216" t="n"/>
      <c r="C707" s="216" t="n"/>
      <c r="D707" s="216" t="n"/>
    </row>
    <row r="708" ht="16.5" customHeight="1" s="220">
      <c r="B708" s="216" t="n"/>
      <c r="C708" s="216" t="n"/>
      <c r="D708" s="216" t="n"/>
    </row>
    <row r="709" ht="16.5" customHeight="1" s="220">
      <c r="B709" s="216" t="n"/>
      <c r="C709" s="216" t="n"/>
      <c r="D709" s="216" t="n"/>
    </row>
    <row r="710" ht="16.5" customHeight="1" s="220">
      <c r="B710" s="216" t="n"/>
      <c r="C710" s="216" t="n"/>
      <c r="D710" s="216" t="n"/>
    </row>
    <row r="711" ht="16.5" customHeight="1" s="220">
      <c r="B711" s="216" t="n"/>
      <c r="C711" s="216" t="n"/>
      <c r="D711" s="216" t="n"/>
    </row>
    <row r="712" ht="16.5" customHeight="1" s="220">
      <c r="B712" s="216" t="n"/>
      <c r="C712" s="216" t="n"/>
      <c r="D712" s="216" t="n"/>
    </row>
    <row r="713" ht="16.5" customHeight="1" s="220">
      <c r="B713" s="216" t="n"/>
      <c r="C713" s="216" t="n"/>
      <c r="D713" s="216" t="n"/>
    </row>
    <row r="714" ht="16.5" customHeight="1" s="220">
      <c r="B714" s="216" t="n"/>
      <c r="C714" s="216" t="n"/>
      <c r="D714" s="216" t="n"/>
    </row>
    <row r="715" ht="16.5" customHeight="1" s="220">
      <c r="B715" s="216" t="n"/>
      <c r="C715" s="216" t="n"/>
      <c r="D715" s="216" t="n"/>
    </row>
    <row r="716" ht="16.5" customHeight="1" s="220">
      <c r="B716" s="216" t="n"/>
      <c r="C716" s="216" t="n"/>
      <c r="D716" s="216" t="n"/>
    </row>
    <row r="717" ht="16.5" customHeight="1" s="220">
      <c r="B717" s="216" t="n"/>
      <c r="C717" s="216" t="n"/>
      <c r="D717" s="216" t="n"/>
    </row>
    <row r="718" ht="16.5" customHeight="1" s="220">
      <c r="B718" s="216" t="n"/>
      <c r="C718" s="216" t="n"/>
      <c r="D718" s="216" t="n"/>
    </row>
    <row r="719" ht="16.5" customHeight="1" s="220">
      <c r="B719" s="216" t="n"/>
      <c r="C719" s="216" t="n"/>
      <c r="D719" s="216" t="n"/>
    </row>
    <row r="720" ht="16.5" customHeight="1" s="220">
      <c r="B720" s="216" t="n"/>
      <c r="C720" s="216" t="n"/>
      <c r="D720" s="216" t="n"/>
    </row>
    <row r="721" ht="16.5" customHeight="1" s="220">
      <c r="B721" s="216" t="n"/>
      <c r="C721" s="216" t="n"/>
      <c r="D721" s="216" t="n"/>
    </row>
    <row r="722" ht="16.5" customHeight="1" s="220">
      <c r="B722" s="216" t="n"/>
      <c r="C722" s="216" t="n"/>
      <c r="D722" s="216" t="n"/>
    </row>
    <row r="723" ht="16.5" customHeight="1" s="220">
      <c r="B723" s="216" t="n"/>
      <c r="C723" s="216" t="n"/>
      <c r="D723" s="216" t="n"/>
    </row>
    <row r="724" ht="16.5" customHeight="1" s="220">
      <c r="B724" s="216" t="n"/>
      <c r="C724" s="216" t="n"/>
      <c r="D724" s="216" t="n"/>
    </row>
    <row r="725" ht="16.5" customHeight="1" s="220">
      <c r="B725" s="216" t="n"/>
      <c r="C725" s="216" t="n"/>
      <c r="D725" s="216" t="n"/>
    </row>
    <row r="726" ht="16.5" customHeight="1" s="220">
      <c r="B726" s="216" t="n"/>
      <c r="C726" s="216" t="n"/>
      <c r="D726" s="216" t="n"/>
    </row>
    <row r="727" ht="16.5" customHeight="1" s="220">
      <c r="B727" s="216" t="n"/>
      <c r="C727" s="216" t="n"/>
      <c r="D727" s="216" t="n"/>
    </row>
    <row r="728" ht="16.5" customHeight="1" s="220">
      <c r="B728" s="216" t="n"/>
      <c r="C728" s="216" t="n"/>
      <c r="D728" s="216" t="n"/>
    </row>
    <row r="729" ht="16.5" customHeight="1" s="220">
      <c r="B729" s="216" t="n"/>
      <c r="C729" s="216" t="n"/>
      <c r="D729" s="216" t="n"/>
    </row>
    <row r="730" ht="16.5" customHeight="1" s="220">
      <c r="B730" s="216" t="n"/>
      <c r="C730" s="216" t="n"/>
      <c r="D730" s="216" t="n"/>
    </row>
    <row r="731" ht="16.5" customHeight="1" s="220">
      <c r="B731" s="216" t="n"/>
      <c r="C731" s="216" t="n"/>
      <c r="D731" s="216" t="n"/>
    </row>
    <row r="732" ht="16.5" customHeight="1" s="220">
      <c r="B732" s="216" t="n"/>
      <c r="C732" s="216" t="n"/>
      <c r="D732" s="216" t="n"/>
    </row>
    <row r="733" ht="16.5" customHeight="1" s="220">
      <c r="B733" s="216" t="n"/>
      <c r="C733" s="216" t="n"/>
      <c r="D733" s="216" t="n"/>
    </row>
    <row r="734" ht="16.5" customHeight="1" s="220">
      <c r="B734" s="216" t="n"/>
      <c r="C734" s="216" t="n"/>
      <c r="D734" s="216" t="n"/>
    </row>
    <row r="735" ht="16.5" customHeight="1" s="220">
      <c r="B735" s="216" t="n"/>
      <c r="C735" s="216" t="n"/>
      <c r="D735" s="216" t="n"/>
    </row>
    <row r="736" ht="16.5" customHeight="1" s="220">
      <c r="B736" s="216" t="n"/>
      <c r="C736" s="216" t="n"/>
      <c r="D736" s="216" t="n"/>
    </row>
    <row r="737" ht="16.5" customHeight="1" s="220">
      <c r="B737" s="216" t="n"/>
      <c r="C737" s="216" t="n"/>
      <c r="D737" s="216" t="n"/>
    </row>
    <row r="738" ht="16.5" customHeight="1" s="220">
      <c r="B738" s="216" t="n"/>
      <c r="C738" s="216" t="n"/>
      <c r="D738" s="216" t="n"/>
    </row>
    <row r="739" ht="16.5" customHeight="1" s="220">
      <c r="B739" s="216" t="n"/>
      <c r="C739" s="216" t="n"/>
      <c r="D739" s="216" t="n"/>
    </row>
    <row r="740" ht="16.5" customHeight="1" s="220">
      <c r="B740" s="216" t="n"/>
      <c r="C740" s="216" t="n"/>
      <c r="D740" s="216" t="n"/>
    </row>
    <row r="741" ht="16.5" customHeight="1" s="220">
      <c r="B741" s="216" t="n"/>
      <c r="C741" s="216" t="n"/>
      <c r="D741" s="216" t="n"/>
    </row>
    <row r="742" ht="16.5" customHeight="1" s="220">
      <c r="B742" s="216" t="n"/>
      <c r="C742" s="216" t="n"/>
      <c r="D742" s="216" t="n"/>
    </row>
    <row r="743" ht="16.5" customHeight="1" s="220">
      <c r="B743" s="216" t="n"/>
      <c r="C743" s="216" t="n"/>
      <c r="D743" s="216" t="n"/>
    </row>
    <row r="744" ht="16.5" customHeight="1" s="220">
      <c r="B744" s="216" t="n"/>
      <c r="C744" s="216" t="n"/>
      <c r="D744" s="216" t="n"/>
    </row>
    <row r="745" ht="16.5" customHeight="1" s="220">
      <c r="B745" s="216" t="n"/>
      <c r="C745" s="216" t="n"/>
      <c r="D745" s="216" t="n"/>
    </row>
    <row r="746" ht="16.5" customHeight="1" s="220">
      <c r="B746" s="216" t="n"/>
      <c r="C746" s="216" t="n"/>
      <c r="D746" s="216" t="n"/>
    </row>
    <row r="747" ht="16.5" customHeight="1" s="220">
      <c r="B747" s="216" t="n"/>
      <c r="C747" s="216" t="n"/>
      <c r="D747" s="216" t="n"/>
    </row>
    <row r="748" ht="16.5" customHeight="1" s="220">
      <c r="B748" s="216" t="n"/>
      <c r="C748" s="216" t="n"/>
      <c r="D748" s="216" t="n"/>
    </row>
    <row r="749" ht="16.5" customHeight="1" s="220">
      <c r="B749" s="216" t="n"/>
      <c r="C749" s="216" t="n"/>
      <c r="D749" s="216" t="n"/>
    </row>
    <row r="750" ht="16.5" customHeight="1" s="220">
      <c r="B750" s="216" t="n"/>
      <c r="C750" s="216" t="n"/>
      <c r="D750" s="216" t="n"/>
    </row>
    <row r="751" ht="16.5" customHeight="1" s="220">
      <c r="B751" s="216" t="n"/>
      <c r="C751" s="216" t="n"/>
      <c r="D751" s="216" t="n"/>
    </row>
    <row r="752" ht="16.5" customHeight="1" s="220">
      <c r="B752" s="216" t="n"/>
      <c r="C752" s="216" t="n"/>
      <c r="D752" s="216" t="n"/>
    </row>
    <row r="753" ht="16.5" customHeight="1" s="220">
      <c r="B753" s="216" t="n"/>
      <c r="C753" s="216" t="n"/>
      <c r="D753" s="216" t="n"/>
    </row>
    <row r="754" ht="16.5" customHeight="1" s="220">
      <c r="B754" s="216" t="n"/>
      <c r="C754" s="216" t="n"/>
      <c r="D754" s="216" t="n"/>
    </row>
    <row r="755" ht="16.5" customHeight="1" s="220">
      <c r="B755" s="216" t="n"/>
      <c r="C755" s="216" t="n"/>
      <c r="D755" s="216" t="n"/>
    </row>
    <row r="756" ht="16.5" customHeight="1" s="220">
      <c r="B756" s="216" t="n"/>
      <c r="C756" s="216" t="n"/>
      <c r="D756" s="216" t="n"/>
    </row>
    <row r="757" ht="16.5" customHeight="1" s="220">
      <c r="B757" s="216" t="n"/>
      <c r="C757" s="216" t="n"/>
      <c r="D757" s="216" t="n"/>
    </row>
    <row r="758" ht="16.5" customHeight="1" s="220">
      <c r="B758" s="216" t="n"/>
      <c r="C758" s="216" t="n"/>
      <c r="D758" s="216" t="n"/>
    </row>
    <row r="759" ht="16.5" customHeight="1" s="220">
      <c r="B759" s="216" t="n"/>
      <c r="C759" s="216" t="n"/>
      <c r="D759" s="216" t="n"/>
    </row>
    <row r="760" ht="16.5" customHeight="1" s="220">
      <c r="B760" s="216" t="n"/>
      <c r="C760" s="216" t="n"/>
      <c r="D760" s="216" t="n"/>
    </row>
    <row r="761" ht="16.5" customHeight="1" s="220">
      <c r="B761" s="216" t="n"/>
      <c r="C761" s="216" t="n"/>
      <c r="D761" s="216" t="n"/>
    </row>
    <row r="762" ht="16.5" customHeight="1" s="220">
      <c r="B762" s="216" t="n"/>
      <c r="C762" s="216" t="n"/>
      <c r="D762" s="216" t="n"/>
    </row>
    <row r="763" ht="16.5" customHeight="1" s="220">
      <c r="B763" s="216" t="n"/>
      <c r="C763" s="216" t="n"/>
      <c r="D763" s="216" t="n"/>
    </row>
    <row r="764" ht="16.5" customHeight="1" s="220">
      <c r="B764" s="216" t="n"/>
      <c r="C764" s="216" t="n"/>
      <c r="D764" s="216" t="n"/>
    </row>
    <row r="765" ht="16.5" customHeight="1" s="220">
      <c r="B765" s="216" t="n"/>
      <c r="C765" s="216" t="n"/>
      <c r="D765" s="216" t="n"/>
    </row>
    <row r="766" ht="16.5" customHeight="1" s="220">
      <c r="B766" s="216" t="n"/>
      <c r="C766" s="216" t="n"/>
      <c r="D766" s="216" t="n"/>
    </row>
    <row r="767" ht="16.5" customHeight="1" s="220">
      <c r="B767" s="216" t="n"/>
      <c r="C767" s="216" t="n"/>
      <c r="D767" s="216" t="n"/>
    </row>
    <row r="768" ht="16.5" customHeight="1" s="220">
      <c r="B768" s="216" t="n"/>
      <c r="C768" s="216" t="n"/>
      <c r="D768" s="216" t="n"/>
    </row>
    <row r="769" ht="16.5" customHeight="1" s="220">
      <c r="B769" s="216" t="n"/>
      <c r="C769" s="216" t="n"/>
      <c r="D769" s="216" t="n"/>
    </row>
    <row r="770" ht="16.5" customHeight="1" s="220">
      <c r="B770" s="216" t="n"/>
      <c r="C770" s="216" t="n"/>
      <c r="D770" s="216" t="n"/>
    </row>
    <row r="771" ht="16.5" customHeight="1" s="220">
      <c r="B771" s="216" t="n"/>
      <c r="C771" s="216" t="n"/>
      <c r="D771" s="216" t="n"/>
    </row>
    <row r="772" ht="16.5" customHeight="1" s="220">
      <c r="B772" s="216" t="n"/>
      <c r="C772" s="216" t="n"/>
      <c r="D772" s="216" t="n"/>
    </row>
    <row r="773" ht="16.5" customHeight="1" s="220">
      <c r="B773" s="216" t="n"/>
      <c r="C773" s="216" t="n"/>
      <c r="D773" s="216" t="n"/>
    </row>
    <row r="774" ht="16.5" customHeight="1" s="220">
      <c r="B774" s="216" t="n"/>
      <c r="C774" s="216" t="n"/>
      <c r="D774" s="216" t="n"/>
    </row>
    <row r="775" ht="16.5" customHeight="1" s="220">
      <c r="B775" s="216" t="n"/>
      <c r="C775" s="216" t="n"/>
      <c r="D775" s="216" t="n"/>
    </row>
    <row r="776" ht="16.5" customHeight="1" s="220">
      <c r="B776" s="216" t="n"/>
      <c r="C776" s="216" t="n"/>
      <c r="D776" s="216" t="n"/>
    </row>
    <row r="777" ht="16.5" customHeight="1" s="220">
      <c r="B777" s="216" t="n"/>
      <c r="C777" s="216" t="n"/>
      <c r="D777" s="216" t="n"/>
    </row>
    <row r="778" ht="16.5" customHeight="1" s="220">
      <c r="B778" s="216" t="n"/>
      <c r="C778" s="216" t="n"/>
      <c r="D778" s="216" t="n"/>
    </row>
    <row r="779" ht="16.5" customHeight="1" s="220">
      <c r="B779" s="216" t="n"/>
      <c r="C779" s="216" t="n"/>
      <c r="D779" s="216" t="n"/>
    </row>
    <row r="780" ht="16.5" customHeight="1" s="220">
      <c r="B780" s="216" t="n"/>
      <c r="C780" s="216" t="n"/>
      <c r="D780" s="216" t="n"/>
    </row>
    <row r="781" ht="16.5" customHeight="1" s="220">
      <c r="B781" s="216" t="n"/>
      <c r="C781" s="216" t="n"/>
      <c r="D781" s="216" t="n"/>
    </row>
    <row r="782" ht="16.5" customHeight="1" s="220">
      <c r="B782" s="216" t="n"/>
      <c r="C782" s="216" t="n"/>
      <c r="D782" s="216" t="n"/>
    </row>
    <row r="783" ht="16.5" customHeight="1" s="220">
      <c r="B783" s="216" t="n"/>
      <c r="C783" s="216" t="n"/>
      <c r="D783" s="216" t="n"/>
    </row>
    <row r="784" ht="16.5" customHeight="1" s="220">
      <c r="B784" s="216" t="n"/>
      <c r="C784" s="216" t="n"/>
      <c r="D784" s="216" t="n"/>
    </row>
    <row r="785" ht="16.5" customHeight="1" s="220">
      <c r="B785" s="216" t="n"/>
      <c r="C785" s="216" t="n"/>
      <c r="D785" s="216" t="n"/>
    </row>
    <row r="786" ht="16.5" customHeight="1" s="220">
      <c r="B786" s="216" t="n"/>
      <c r="C786" s="216" t="n"/>
      <c r="D786" s="216" t="n"/>
    </row>
    <row r="787" ht="16.5" customHeight="1" s="220">
      <c r="B787" s="216" t="n"/>
      <c r="C787" s="216" t="n"/>
      <c r="D787" s="216" t="n"/>
    </row>
    <row r="788" ht="16.5" customHeight="1" s="220">
      <c r="B788" s="216" t="n"/>
      <c r="C788" s="216" t="n"/>
      <c r="D788" s="216" t="n"/>
    </row>
    <row r="789" ht="16.5" customHeight="1" s="220">
      <c r="B789" s="216" t="n"/>
      <c r="C789" s="216" t="n"/>
      <c r="D789" s="216" t="n"/>
    </row>
    <row r="790" ht="16.5" customHeight="1" s="220">
      <c r="B790" s="216" t="n"/>
      <c r="C790" s="216" t="n"/>
      <c r="D790" s="216" t="n"/>
    </row>
    <row r="791" ht="16.5" customHeight="1" s="220">
      <c r="B791" s="216" t="n"/>
      <c r="C791" s="216" t="n"/>
      <c r="D791" s="216" t="n"/>
    </row>
    <row r="792" ht="16.5" customHeight="1" s="220">
      <c r="B792" s="216" t="n"/>
      <c r="C792" s="216" t="n"/>
      <c r="D792" s="216" t="n"/>
    </row>
    <row r="793" ht="16.5" customHeight="1" s="220">
      <c r="B793" s="216" t="n"/>
      <c r="C793" s="216" t="n"/>
      <c r="D793" s="216" t="n"/>
    </row>
    <row r="794" ht="16.5" customHeight="1" s="220">
      <c r="B794" s="216" t="n"/>
      <c r="C794" s="216" t="n"/>
      <c r="D794" s="216" t="n"/>
    </row>
    <row r="795" ht="16.5" customHeight="1" s="220">
      <c r="B795" s="216" t="n"/>
      <c r="C795" s="216" t="n"/>
      <c r="D795" s="216" t="n"/>
    </row>
    <row r="796" ht="16.5" customHeight="1" s="220">
      <c r="B796" s="216" t="n"/>
      <c r="C796" s="216" t="n"/>
      <c r="D796" s="216" t="n"/>
    </row>
    <row r="797" ht="16.5" customHeight="1" s="220">
      <c r="B797" s="216" t="n"/>
      <c r="C797" s="216" t="n"/>
      <c r="D797" s="216" t="n"/>
    </row>
    <row r="798" ht="16.5" customHeight="1" s="220">
      <c r="B798" s="216" t="n"/>
      <c r="C798" s="216" t="n"/>
      <c r="D798" s="216" t="n"/>
    </row>
    <row r="799" ht="16.5" customHeight="1" s="220">
      <c r="B799" s="216" t="n"/>
      <c r="C799" s="216" t="n"/>
      <c r="D799" s="216" t="n"/>
    </row>
    <row r="800" ht="16.5" customHeight="1" s="220">
      <c r="B800" s="216" t="n"/>
      <c r="C800" s="216" t="n"/>
      <c r="D800" s="216" t="n"/>
    </row>
    <row r="801" ht="16.5" customHeight="1" s="220">
      <c r="B801" s="216" t="n"/>
      <c r="C801" s="216" t="n"/>
      <c r="D801" s="216" t="n"/>
    </row>
    <row r="802" ht="16.5" customHeight="1" s="220">
      <c r="B802" s="216" t="n"/>
      <c r="C802" s="216" t="n"/>
      <c r="D802" s="216" t="n"/>
    </row>
    <row r="803" ht="16.5" customHeight="1" s="220">
      <c r="B803" s="216" t="n"/>
      <c r="C803" s="216" t="n"/>
      <c r="D803" s="216" t="n"/>
    </row>
    <row r="804" ht="16.5" customHeight="1" s="220">
      <c r="B804" s="216" t="n"/>
      <c r="C804" s="216" t="n"/>
      <c r="D804" s="216" t="n"/>
    </row>
    <row r="805" ht="16.5" customHeight="1" s="220">
      <c r="B805" s="216" t="n"/>
      <c r="C805" s="216" t="n"/>
      <c r="D805" s="216" t="n"/>
    </row>
    <row r="806" ht="16.5" customHeight="1" s="220">
      <c r="B806" s="216" t="n"/>
      <c r="C806" s="216" t="n"/>
      <c r="D806" s="216" t="n"/>
    </row>
    <row r="807" ht="16.5" customHeight="1" s="220">
      <c r="B807" s="216" t="n"/>
      <c r="C807" s="216" t="n"/>
      <c r="D807" s="216" t="n"/>
    </row>
    <row r="808" ht="16.5" customHeight="1" s="220">
      <c r="B808" s="216" t="n"/>
      <c r="C808" s="216" t="n"/>
      <c r="D808" s="216" t="n"/>
    </row>
    <row r="809" ht="16.5" customHeight="1" s="220">
      <c r="B809" s="216" t="n"/>
      <c r="C809" s="216" t="n"/>
      <c r="D809" s="216" t="n"/>
    </row>
    <row r="810" ht="16.5" customHeight="1" s="220">
      <c r="B810" s="216" t="n"/>
      <c r="C810" s="216" t="n"/>
      <c r="D810" s="216" t="n"/>
    </row>
    <row r="811" ht="16.5" customHeight="1" s="220">
      <c r="B811" s="216" t="n"/>
      <c r="C811" s="216" t="n"/>
      <c r="D811" s="216" t="n"/>
    </row>
    <row r="812" ht="16.5" customHeight="1" s="220">
      <c r="B812" s="216" t="n"/>
      <c r="C812" s="216" t="n"/>
      <c r="D812" s="216" t="n"/>
    </row>
    <row r="813" ht="16.5" customHeight="1" s="220">
      <c r="B813" s="216" t="n"/>
      <c r="C813" s="216" t="n"/>
      <c r="D813" s="216" t="n"/>
    </row>
    <row r="814" ht="16.5" customHeight="1" s="220">
      <c r="B814" s="216" t="n"/>
      <c r="C814" s="216" t="n"/>
      <c r="D814" s="216" t="n"/>
    </row>
    <row r="815" ht="16.5" customHeight="1" s="220">
      <c r="B815" s="216" t="n"/>
      <c r="C815" s="216" t="n"/>
      <c r="D815" s="216" t="n"/>
    </row>
    <row r="816" ht="16.5" customHeight="1" s="220">
      <c r="B816" s="216" t="n"/>
      <c r="C816" s="216" t="n"/>
      <c r="D816" s="216" t="n"/>
    </row>
    <row r="817" ht="16.5" customHeight="1" s="220">
      <c r="B817" s="216" t="n"/>
      <c r="C817" s="216" t="n"/>
      <c r="D817" s="216" t="n"/>
    </row>
    <row r="818" ht="16.5" customHeight="1" s="220">
      <c r="B818" s="216" t="n"/>
      <c r="C818" s="216" t="n"/>
      <c r="D818" s="216" t="n"/>
    </row>
    <row r="819" ht="16.5" customHeight="1" s="220">
      <c r="B819" s="216" t="n"/>
      <c r="C819" s="216" t="n"/>
      <c r="D819" s="216" t="n"/>
    </row>
    <row r="820" ht="16.5" customHeight="1" s="220">
      <c r="B820" s="216" t="n"/>
      <c r="C820" s="216" t="n"/>
      <c r="D820" s="216" t="n"/>
    </row>
    <row r="821" ht="16.5" customHeight="1" s="220">
      <c r="B821" s="216" t="n"/>
      <c r="C821" s="216" t="n"/>
      <c r="D821" s="216" t="n"/>
    </row>
    <row r="822" ht="16.5" customHeight="1" s="220">
      <c r="B822" s="216" t="n"/>
      <c r="C822" s="216" t="n"/>
      <c r="D822" s="216" t="n"/>
    </row>
    <row r="823" ht="16.5" customHeight="1" s="220">
      <c r="B823" s="216" t="n"/>
      <c r="C823" s="216" t="n"/>
      <c r="D823" s="216" t="n"/>
    </row>
    <row r="824" ht="16.5" customHeight="1" s="220">
      <c r="B824" s="216" t="n"/>
      <c r="C824" s="216" t="n"/>
      <c r="D824" s="216" t="n"/>
    </row>
    <row r="825" ht="16.5" customHeight="1" s="220">
      <c r="B825" s="216" t="n"/>
      <c r="C825" s="216" t="n"/>
      <c r="D825" s="216" t="n"/>
    </row>
    <row r="826" ht="16.5" customHeight="1" s="220">
      <c r="B826" s="216" t="n"/>
      <c r="C826" s="216" t="n"/>
      <c r="D826" s="216" t="n"/>
    </row>
    <row r="827" ht="16.5" customHeight="1" s="220">
      <c r="B827" s="216" t="n"/>
      <c r="C827" s="216" t="n"/>
      <c r="D827" s="216" t="n"/>
    </row>
    <row r="828" ht="16.5" customHeight="1" s="220">
      <c r="B828" s="216" t="n"/>
      <c r="C828" s="216" t="n"/>
      <c r="D828" s="216" t="n"/>
    </row>
    <row r="829" ht="16.5" customHeight="1" s="220">
      <c r="B829" s="216" t="n"/>
      <c r="C829" s="216" t="n"/>
      <c r="D829" s="216" t="n"/>
    </row>
    <row r="830" ht="16.5" customHeight="1" s="220">
      <c r="B830" s="216" t="n"/>
      <c r="C830" s="216" t="n"/>
      <c r="D830" s="216" t="n"/>
    </row>
    <row r="831" ht="16.5" customHeight="1" s="220">
      <c r="B831" s="216" t="n"/>
      <c r="C831" s="216" t="n"/>
      <c r="D831" s="216" t="n"/>
    </row>
    <row r="832" ht="16.5" customHeight="1" s="220">
      <c r="B832" s="216" t="n"/>
      <c r="C832" s="216" t="n"/>
      <c r="D832" s="216" t="n"/>
    </row>
    <row r="833" ht="16.5" customHeight="1" s="220">
      <c r="B833" s="216" t="n"/>
      <c r="C833" s="216" t="n"/>
      <c r="D833" s="216" t="n"/>
    </row>
    <row r="834" ht="16.5" customHeight="1" s="220">
      <c r="B834" s="216" t="n"/>
      <c r="C834" s="216" t="n"/>
      <c r="D834" s="216" t="n"/>
    </row>
    <row r="835" ht="16.5" customHeight="1" s="220">
      <c r="B835" s="216" t="n"/>
      <c r="C835" s="216" t="n"/>
      <c r="D835" s="216" t="n"/>
    </row>
    <row r="836" ht="16.5" customHeight="1" s="220">
      <c r="B836" s="216" t="n"/>
      <c r="C836" s="216" t="n"/>
      <c r="D836" s="216" t="n"/>
    </row>
    <row r="837" ht="16.5" customHeight="1" s="220">
      <c r="B837" s="216" t="n"/>
      <c r="C837" s="216" t="n"/>
      <c r="D837" s="216" t="n"/>
    </row>
    <row r="838" ht="16.5" customHeight="1" s="220">
      <c r="B838" s="216" t="n"/>
      <c r="C838" s="216" t="n"/>
      <c r="D838" s="216" t="n"/>
    </row>
    <row r="839" ht="16.5" customHeight="1" s="220">
      <c r="B839" s="216" t="n"/>
      <c r="C839" s="216" t="n"/>
      <c r="D839" s="216" t="n"/>
    </row>
    <row r="840" ht="16.5" customHeight="1" s="220">
      <c r="B840" s="216" t="n"/>
      <c r="C840" s="216" t="n"/>
      <c r="D840" s="216" t="n"/>
    </row>
    <row r="841" ht="16.5" customHeight="1" s="220">
      <c r="B841" s="216" t="n"/>
      <c r="C841" s="216" t="n"/>
      <c r="D841" s="216" t="n"/>
    </row>
    <row r="842" ht="16.5" customHeight="1" s="220">
      <c r="B842" s="216" t="n"/>
      <c r="C842" s="216" t="n"/>
      <c r="D842" s="216" t="n"/>
    </row>
    <row r="843" ht="16.5" customHeight="1" s="220">
      <c r="B843" s="216" t="n"/>
      <c r="C843" s="216" t="n"/>
      <c r="D843" s="216" t="n"/>
    </row>
    <row r="844" ht="16.5" customHeight="1" s="220">
      <c r="B844" s="216" t="n"/>
      <c r="C844" s="216" t="n"/>
      <c r="D844" s="216" t="n"/>
    </row>
    <row r="845" ht="16.5" customHeight="1" s="220">
      <c r="B845" s="216" t="n"/>
      <c r="C845" s="216" t="n"/>
      <c r="D845" s="216" t="n"/>
    </row>
    <row r="846" ht="16.5" customHeight="1" s="220">
      <c r="B846" s="216" t="n"/>
      <c r="C846" s="216" t="n"/>
      <c r="D846" s="216" t="n"/>
    </row>
    <row r="847" ht="16.5" customHeight="1" s="220">
      <c r="B847" s="216" t="n"/>
      <c r="C847" s="216" t="n"/>
      <c r="D847" s="216" t="n"/>
    </row>
    <row r="848" ht="16.5" customHeight="1" s="220">
      <c r="B848" s="216" t="n"/>
      <c r="C848" s="216" t="n"/>
      <c r="D848" s="216" t="n"/>
    </row>
    <row r="849" ht="16.5" customHeight="1" s="220">
      <c r="B849" s="216" t="n"/>
      <c r="C849" s="216" t="n"/>
      <c r="D849" s="216" t="n"/>
    </row>
    <row r="850" ht="16.5" customHeight="1" s="220">
      <c r="B850" s="216" t="n"/>
      <c r="C850" s="216" t="n"/>
      <c r="D850" s="216" t="n"/>
    </row>
    <row r="851" ht="16.5" customHeight="1" s="220">
      <c r="B851" s="216" t="n"/>
      <c r="C851" s="216" t="n"/>
      <c r="D851" s="216" t="n"/>
    </row>
    <row r="852" ht="16.5" customHeight="1" s="220">
      <c r="B852" s="216" t="n"/>
      <c r="C852" s="216" t="n"/>
      <c r="D852" s="216" t="n"/>
    </row>
    <row r="853" ht="16.5" customHeight="1" s="220">
      <c r="B853" s="216" t="n"/>
      <c r="C853" s="216" t="n"/>
      <c r="D853" s="216" t="n"/>
    </row>
    <row r="854" ht="16.5" customHeight="1" s="220">
      <c r="B854" s="216" t="n"/>
      <c r="C854" s="216" t="n"/>
      <c r="D854" s="216" t="n"/>
    </row>
    <row r="855" ht="16.5" customHeight="1" s="220">
      <c r="B855" s="216" t="n"/>
      <c r="C855" s="216" t="n"/>
      <c r="D855" s="216" t="n"/>
    </row>
    <row r="856" ht="16.5" customHeight="1" s="220">
      <c r="B856" s="216" t="n"/>
      <c r="C856" s="216" t="n"/>
      <c r="D856" s="216" t="n"/>
    </row>
    <row r="857" ht="16.5" customHeight="1" s="220">
      <c r="B857" s="216" t="n"/>
      <c r="C857" s="216" t="n"/>
      <c r="D857" s="216" t="n"/>
    </row>
    <row r="858" ht="16.5" customHeight="1" s="220">
      <c r="B858" s="216" t="n"/>
      <c r="C858" s="216" t="n"/>
      <c r="D858" s="216" t="n"/>
    </row>
    <row r="859" ht="16.5" customHeight="1" s="220">
      <c r="B859" s="216" t="n"/>
      <c r="C859" s="216" t="n"/>
      <c r="D859" s="216" t="n"/>
    </row>
    <row r="860" ht="16.5" customHeight="1" s="220">
      <c r="B860" s="216" t="n"/>
      <c r="C860" s="216" t="n"/>
      <c r="D860" s="216" t="n"/>
    </row>
    <row r="861" ht="16.5" customHeight="1" s="220">
      <c r="B861" s="216" t="n"/>
      <c r="C861" s="216" t="n"/>
      <c r="D861" s="216" t="n"/>
    </row>
    <row r="862" ht="16.5" customHeight="1" s="220">
      <c r="B862" s="216" t="n"/>
      <c r="C862" s="216" t="n"/>
      <c r="D862" s="216" t="n"/>
    </row>
    <row r="863" ht="16.5" customHeight="1" s="220">
      <c r="B863" s="216" t="n"/>
      <c r="C863" s="216" t="n"/>
      <c r="D863" s="216" t="n"/>
    </row>
    <row r="864" ht="16.5" customHeight="1" s="220">
      <c r="B864" s="216" t="n"/>
      <c r="C864" s="216" t="n"/>
      <c r="D864" s="216" t="n"/>
    </row>
    <row r="865" ht="16.5" customHeight="1" s="220">
      <c r="B865" s="216" t="n"/>
      <c r="C865" s="216" t="n"/>
      <c r="D865" s="216" t="n"/>
    </row>
    <row r="866" ht="16.5" customHeight="1" s="220">
      <c r="B866" s="216" t="n"/>
      <c r="C866" s="216" t="n"/>
      <c r="D866" s="216" t="n"/>
    </row>
    <row r="867" ht="16.5" customHeight="1" s="220">
      <c r="B867" s="216" t="n"/>
      <c r="C867" s="216" t="n"/>
      <c r="D867" s="216" t="n"/>
    </row>
    <row r="868" ht="16.5" customHeight="1" s="220">
      <c r="B868" s="216" t="n"/>
      <c r="C868" s="216" t="n"/>
      <c r="D868" s="216" t="n"/>
    </row>
    <row r="869" ht="16.5" customHeight="1" s="220">
      <c r="B869" s="216" t="n"/>
      <c r="C869" s="216" t="n"/>
      <c r="D869" s="216" t="n"/>
    </row>
    <row r="870" ht="16.5" customHeight="1" s="220">
      <c r="B870" s="216" t="n"/>
      <c r="C870" s="216" t="n"/>
      <c r="D870" s="216" t="n"/>
    </row>
    <row r="871" ht="16.5" customHeight="1" s="220">
      <c r="B871" s="216" t="n"/>
      <c r="C871" s="216" t="n"/>
      <c r="D871" s="216" t="n"/>
    </row>
    <row r="872" ht="16.5" customHeight="1" s="220">
      <c r="B872" s="216" t="n"/>
      <c r="C872" s="216" t="n"/>
      <c r="D872" s="216" t="n"/>
    </row>
    <row r="873" ht="16.5" customHeight="1" s="220">
      <c r="B873" s="216" t="n"/>
      <c r="C873" s="216" t="n"/>
      <c r="D873" s="216" t="n"/>
    </row>
    <row r="874" ht="16.5" customHeight="1" s="220">
      <c r="B874" s="216" t="n"/>
      <c r="C874" s="216" t="n"/>
      <c r="D874" s="216" t="n"/>
    </row>
    <row r="875" ht="16.5" customHeight="1" s="220">
      <c r="B875" s="216" t="n"/>
      <c r="C875" s="216" t="n"/>
      <c r="D875" s="216" t="n"/>
    </row>
    <row r="876" ht="16.5" customHeight="1" s="220">
      <c r="B876" s="216" t="n"/>
      <c r="C876" s="216" t="n"/>
      <c r="D876" s="216" t="n"/>
    </row>
    <row r="877" ht="16.5" customHeight="1" s="220">
      <c r="B877" s="216" t="n"/>
      <c r="C877" s="216" t="n"/>
      <c r="D877" s="216" t="n"/>
    </row>
    <row r="878" ht="16.5" customHeight="1" s="220">
      <c r="B878" s="216" t="n"/>
      <c r="C878" s="216" t="n"/>
      <c r="D878" s="216" t="n"/>
    </row>
    <row r="879" ht="16.5" customHeight="1" s="220">
      <c r="B879" s="216" t="n"/>
      <c r="C879" s="216" t="n"/>
      <c r="D879" s="216" t="n"/>
    </row>
    <row r="880" ht="16.5" customHeight="1" s="220">
      <c r="B880" s="216" t="n"/>
      <c r="C880" s="216" t="n"/>
      <c r="D880" s="216" t="n"/>
    </row>
    <row r="881" ht="16.5" customHeight="1" s="220">
      <c r="B881" s="216" t="n"/>
      <c r="C881" s="216" t="n"/>
      <c r="D881" s="216" t="n"/>
    </row>
    <row r="882" ht="16.5" customHeight="1" s="220">
      <c r="B882" s="216" t="n"/>
      <c r="C882" s="216" t="n"/>
      <c r="D882" s="216" t="n"/>
    </row>
    <row r="883" ht="16.5" customHeight="1" s="220">
      <c r="B883" s="216" t="n"/>
      <c r="C883" s="216" t="n"/>
      <c r="D883" s="216" t="n"/>
    </row>
    <row r="884" ht="16.5" customHeight="1" s="220">
      <c r="B884" s="216" t="n"/>
      <c r="C884" s="216" t="n"/>
      <c r="D884" s="216" t="n"/>
    </row>
    <row r="885" ht="16.5" customHeight="1" s="220">
      <c r="B885" s="216" t="n"/>
      <c r="C885" s="216" t="n"/>
      <c r="D885" s="216" t="n"/>
    </row>
    <row r="886" ht="16.5" customHeight="1" s="220">
      <c r="B886" s="216" t="n"/>
      <c r="C886" s="216" t="n"/>
      <c r="D886" s="216" t="n"/>
    </row>
    <row r="887" ht="16.5" customHeight="1" s="220">
      <c r="B887" s="216" t="n"/>
      <c r="C887" s="216" t="n"/>
      <c r="D887" s="216" t="n"/>
    </row>
    <row r="888" ht="16.5" customHeight="1" s="220">
      <c r="B888" s="216" t="n"/>
      <c r="C888" s="216" t="n"/>
      <c r="D888" s="216" t="n"/>
    </row>
    <row r="889" ht="16.5" customHeight="1" s="220">
      <c r="B889" s="216" t="n"/>
      <c r="C889" s="216" t="n"/>
      <c r="D889" s="216" t="n"/>
    </row>
    <row r="890" ht="16.5" customHeight="1" s="220">
      <c r="B890" s="216" t="n"/>
      <c r="C890" s="216" t="n"/>
      <c r="D890" s="216" t="n"/>
    </row>
    <row r="891" ht="16.5" customHeight="1" s="220">
      <c r="B891" s="216" t="n"/>
      <c r="C891" s="216" t="n"/>
      <c r="D891" s="216" t="n"/>
    </row>
    <row r="892" ht="16.5" customHeight="1" s="220">
      <c r="B892" s="216" t="n"/>
      <c r="C892" s="216" t="n"/>
      <c r="D892" s="216" t="n"/>
    </row>
    <row r="893" ht="16.5" customHeight="1" s="220">
      <c r="B893" s="216" t="n"/>
      <c r="C893" s="216" t="n"/>
      <c r="D893" s="216" t="n"/>
    </row>
    <row r="894" ht="16.5" customHeight="1" s="220">
      <c r="B894" s="216" t="n"/>
      <c r="C894" s="216" t="n"/>
      <c r="D894" s="216" t="n"/>
    </row>
    <row r="895" ht="16.5" customHeight="1" s="220">
      <c r="B895" s="216" t="n"/>
      <c r="C895" s="216" t="n"/>
      <c r="D895" s="216" t="n"/>
    </row>
    <row r="896" ht="16.5" customHeight="1" s="220">
      <c r="B896" s="216" t="n"/>
      <c r="C896" s="216" t="n"/>
      <c r="D896" s="216" t="n"/>
    </row>
    <row r="897" ht="16.5" customHeight="1" s="220">
      <c r="B897" s="216" t="n"/>
      <c r="C897" s="216" t="n"/>
      <c r="D897" s="216" t="n"/>
    </row>
    <row r="898" ht="16.5" customHeight="1" s="220">
      <c r="B898" s="216" t="n"/>
      <c r="C898" s="216" t="n"/>
      <c r="D898" s="216" t="n"/>
    </row>
    <row r="899" ht="16.5" customHeight="1" s="220">
      <c r="B899" s="216" t="n"/>
      <c r="C899" s="216" t="n"/>
      <c r="D899" s="216" t="n"/>
    </row>
    <row r="900" ht="16.5" customHeight="1" s="220">
      <c r="B900" s="216" t="n"/>
      <c r="C900" s="216" t="n"/>
      <c r="D900" s="216" t="n"/>
    </row>
    <row r="901" ht="16.5" customHeight="1" s="220">
      <c r="B901" s="216" t="n"/>
      <c r="C901" s="216" t="n"/>
      <c r="D901" s="216" t="n"/>
    </row>
    <row r="902" ht="16.5" customHeight="1" s="220">
      <c r="B902" s="216" t="n"/>
      <c r="C902" s="216" t="n"/>
      <c r="D902" s="216" t="n"/>
    </row>
    <row r="903" ht="16.5" customHeight="1" s="220">
      <c r="B903" s="216" t="n"/>
      <c r="C903" s="216" t="n"/>
      <c r="D903" s="216" t="n"/>
    </row>
    <row r="904" ht="16.5" customHeight="1" s="220">
      <c r="B904" s="216" t="n"/>
      <c r="C904" s="216" t="n"/>
      <c r="D904" s="216" t="n"/>
    </row>
    <row r="905" ht="16.5" customHeight="1" s="220">
      <c r="B905" s="216" t="n"/>
      <c r="C905" s="216" t="n"/>
      <c r="D905" s="216" t="n"/>
    </row>
    <row r="906" ht="16.5" customHeight="1" s="220">
      <c r="B906" s="216" t="n"/>
      <c r="C906" s="216" t="n"/>
      <c r="D906" s="216" t="n"/>
    </row>
    <row r="907" ht="16.5" customHeight="1" s="220">
      <c r="B907" s="216" t="n"/>
      <c r="C907" s="216" t="n"/>
      <c r="D907" s="216" t="n"/>
    </row>
    <row r="908" ht="16.5" customHeight="1" s="220">
      <c r="B908" s="216" t="n"/>
      <c r="C908" s="216" t="n"/>
      <c r="D908" s="216" t="n"/>
    </row>
    <row r="909" ht="16.5" customHeight="1" s="220">
      <c r="B909" s="216" t="n"/>
      <c r="C909" s="216" t="n"/>
      <c r="D909" s="216" t="n"/>
    </row>
    <row r="910" ht="16.5" customHeight="1" s="220">
      <c r="B910" s="216" t="n"/>
      <c r="C910" s="216" t="n"/>
      <c r="D910" s="216" t="n"/>
    </row>
    <row r="911" ht="16.5" customHeight="1" s="220">
      <c r="B911" s="216" t="n"/>
      <c r="C911" s="216" t="n"/>
      <c r="D911" s="216" t="n"/>
    </row>
    <row r="912" ht="16.5" customHeight="1" s="220">
      <c r="B912" s="216" t="n"/>
      <c r="C912" s="216" t="n"/>
      <c r="D912" s="216" t="n"/>
    </row>
    <row r="913" ht="16.5" customHeight="1" s="220">
      <c r="B913" s="216" t="n"/>
      <c r="C913" s="216" t="n"/>
      <c r="D913" s="216" t="n"/>
    </row>
    <row r="914" ht="16.5" customHeight="1" s="220">
      <c r="B914" s="216" t="n"/>
      <c r="C914" s="216" t="n"/>
      <c r="D914" s="216" t="n"/>
    </row>
    <row r="915" ht="16.5" customHeight="1" s="220">
      <c r="B915" s="216" t="n"/>
      <c r="C915" s="216" t="n"/>
      <c r="D915" s="216" t="n"/>
    </row>
    <row r="916" ht="16.5" customHeight="1" s="220">
      <c r="B916" s="216" t="n"/>
      <c r="C916" s="216" t="n"/>
      <c r="D916" s="216" t="n"/>
    </row>
    <row r="917" ht="16.5" customHeight="1" s="220">
      <c r="B917" s="216" t="n"/>
      <c r="C917" s="216" t="n"/>
      <c r="D917" s="216" t="n"/>
    </row>
    <row r="918" ht="16.5" customHeight="1" s="220">
      <c r="B918" s="216" t="n"/>
      <c r="C918" s="216" t="n"/>
      <c r="D918" s="216" t="n"/>
    </row>
    <row r="919" ht="16.5" customHeight="1" s="220">
      <c r="B919" s="216" t="n"/>
      <c r="C919" s="216" t="n"/>
      <c r="D919" s="216" t="n"/>
    </row>
    <row r="920" ht="16.5" customHeight="1" s="220">
      <c r="B920" s="216" t="n"/>
      <c r="C920" s="216" t="n"/>
      <c r="D920" s="216" t="n"/>
    </row>
    <row r="921" ht="16.5" customHeight="1" s="220">
      <c r="B921" s="216" t="n"/>
      <c r="C921" s="216" t="n"/>
      <c r="D921" s="216" t="n"/>
    </row>
    <row r="922" ht="16.5" customHeight="1" s="220">
      <c r="B922" s="216" t="n"/>
      <c r="C922" s="216" t="n"/>
      <c r="D922" s="216" t="n"/>
    </row>
    <row r="923" ht="16.5" customHeight="1" s="220">
      <c r="B923" s="216" t="n"/>
      <c r="C923" s="216" t="n"/>
      <c r="D923" s="216" t="n"/>
    </row>
    <row r="924" ht="16.5" customHeight="1" s="220">
      <c r="B924" s="216" t="n"/>
      <c r="C924" s="216" t="n"/>
      <c r="D924" s="216" t="n"/>
    </row>
    <row r="925" ht="16.5" customHeight="1" s="220">
      <c r="B925" s="216" t="n"/>
      <c r="C925" s="216" t="n"/>
      <c r="D925" s="216" t="n"/>
    </row>
    <row r="926" ht="16.5" customHeight="1" s="220">
      <c r="B926" s="216" t="n"/>
      <c r="C926" s="216" t="n"/>
      <c r="D926" s="216" t="n"/>
    </row>
    <row r="927" ht="16.5" customHeight="1" s="220">
      <c r="B927" s="216" t="n"/>
      <c r="C927" s="216" t="n"/>
      <c r="D927" s="216" t="n"/>
    </row>
    <row r="928" ht="16.5" customHeight="1" s="220">
      <c r="B928" s="216" t="n"/>
      <c r="C928" s="216" t="n"/>
      <c r="D928" s="216" t="n"/>
    </row>
    <row r="929" ht="16.5" customHeight="1" s="220">
      <c r="B929" s="216" t="n"/>
      <c r="C929" s="216" t="n"/>
      <c r="D929" s="216" t="n"/>
    </row>
    <row r="930" ht="16.5" customHeight="1" s="220">
      <c r="B930" s="216" t="n"/>
      <c r="C930" s="216" t="n"/>
      <c r="D930" s="216" t="n"/>
    </row>
    <row r="931" ht="16.5" customHeight="1" s="220">
      <c r="B931" s="216" t="n"/>
      <c r="C931" s="216" t="n"/>
      <c r="D931" s="216" t="n"/>
    </row>
    <row r="932" ht="16.5" customHeight="1" s="220">
      <c r="B932" s="216" t="n"/>
      <c r="C932" s="216" t="n"/>
      <c r="D932" s="216" t="n"/>
    </row>
    <row r="933" ht="16.5" customHeight="1" s="220">
      <c r="B933" s="216" t="n"/>
      <c r="C933" s="216" t="n"/>
      <c r="D933" s="216" t="n"/>
    </row>
    <row r="934" ht="16.5" customHeight="1" s="220">
      <c r="B934" s="216" t="n"/>
      <c r="C934" s="216" t="n"/>
      <c r="D934" s="216" t="n"/>
    </row>
    <row r="935" ht="16.5" customHeight="1" s="220">
      <c r="B935" s="216" t="n"/>
      <c r="C935" s="216" t="n"/>
      <c r="D935" s="216" t="n"/>
    </row>
    <row r="936" ht="16.5" customHeight="1" s="220">
      <c r="B936" s="216" t="n"/>
      <c r="C936" s="216" t="n"/>
      <c r="D936" s="216" t="n"/>
    </row>
    <row r="937" ht="16.5" customHeight="1" s="220">
      <c r="B937" s="216" t="n"/>
      <c r="C937" s="216" t="n"/>
      <c r="D937" s="216" t="n"/>
    </row>
    <row r="938" ht="16.5" customHeight="1" s="220">
      <c r="B938" s="216" t="n"/>
      <c r="C938" s="216" t="n"/>
      <c r="D938" s="216" t="n"/>
    </row>
    <row r="939" ht="16.5" customHeight="1" s="220">
      <c r="B939" s="216" t="n"/>
      <c r="C939" s="216" t="n"/>
      <c r="D939" s="216" t="n"/>
    </row>
    <row r="940" ht="16.5" customHeight="1" s="220">
      <c r="B940" s="216" t="n"/>
      <c r="C940" s="216" t="n"/>
      <c r="D940" s="216" t="n"/>
    </row>
    <row r="941" ht="16.5" customHeight="1" s="220">
      <c r="B941" s="216" t="n"/>
      <c r="C941" s="216" t="n"/>
      <c r="D941" s="216" t="n"/>
    </row>
    <row r="942" ht="16.5" customHeight="1" s="220">
      <c r="B942" s="216" t="n"/>
      <c r="C942" s="216" t="n"/>
      <c r="D942" s="216" t="n"/>
    </row>
    <row r="943" ht="16.5" customHeight="1" s="220">
      <c r="B943" s="216" t="n"/>
      <c r="C943" s="216" t="n"/>
      <c r="D943" s="216" t="n"/>
    </row>
    <row r="944" ht="16.5" customHeight="1" s="220">
      <c r="B944" s="216" t="n"/>
      <c r="C944" s="216" t="n"/>
      <c r="D944" s="216" t="n"/>
    </row>
    <row r="945" ht="16.5" customHeight="1" s="220">
      <c r="B945" s="216" t="n"/>
      <c r="C945" s="216" t="n"/>
      <c r="D945" s="216" t="n"/>
    </row>
    <row r="946" ht="16.5" customHeight="1" s="220">
      <c r="B946" s="216" t="n"/>
      <c r="C946" s="216" t="n"/>
      <c r="D946" s="216" t="n"/>
    </row>
    <row r="947" ht="16.5" customHeight="1" s="220">
      <c r="B947" s="216" t="n"/>
      <c r="C947" s="216" t="n"/>
      <c r="D947" s="216" t="n"/>
    </row>
    <row r="948" ht="16.5" customHeight="1" s="220">
      <c r="B948" s="216" t="n"/>
      <c r="C948" s="216" t="n"/>
      <c r="D948" s="216" t="n"/>
    </row>
    <row r="949" ht="16.5" customHeight="1" s="220">
      <c r="B949" s="216" t="n"/>
      <c r="C949" s="216" t="n"/>
      <c r="D949" s="216" t="n"/>
    </row>
    <row r="950" ht="16.5" customHeight="1" s="220">
      <c r="B950" s="216" t="n"/>
      <c r="C950" s="216" t="n"/>
      <c r="D950" s="216" t="n"/>
    </row>
    <row r="951" ht="16.5" customHeight="1" s="220">
      <c r="B951" s="216" t="n"/>
      <c r="C951" s="216" t="n"/>
      <c r="D951" s="216" t="n"/>
    </row>
    <row r="952" ht="16.5" customHeight="1" s="220">
      <c r="B952" s="216" t="n"/>
      <c r="C952" s="216" t="n"/>
      <c r="D952" s="216" t="n"/>
    </row>
    <row r="953" ht="16.5" customHeight="1" s="220">
      <c r="B953" s="216" t="n"/>
      <c r="C953" s="216" t="n"/>
      <c r="D953" s="216" t="n"/>
    </row>
    <row r="954" ht="16.5" customHeight="1" s="220">
      <c r="B954" s="216" t="n"/>
      <c r="C954" s="216" t="n"/>
      <c r="D954" s="216" t="n"/>
    </row>
    <row r="955" ht="16.5" customHeight="1" s="220">
      <c r="B955" s="216" t="n"/>
      <c r="C955" s="216" t="n"/>
      <c r="D955" s="216" t="n"/>
    </row>
    <row r="956" ht="16.5" customHeight="1" s="220">
      <c r="B956" s="216" t="n"/>
      <c r="C956" s="216" t="n"/>
      <c r="D956" s="216" t="n"/>
    </row>
    <row r="957" ht="16.5" customHeight="1" s="220">
      <c r="B957" s="216" t="n"/>
      <c r="C957" s="216" t="n"/>
      <c r="D957" s="216" t="n"/>
    </row>
    <row r="958" ht="16.5" customHeight="1" s="220">
      <c r="B958" s="216" t="n"/>
      <c r="C958" s="216" t="n"/>
      <c r="D958" s="216" t="n"/>
    </row>
    <row r="959" ht="16.5" customHeight="1" s="220">
      <c r="B959" s="216" t="n"/>
      <c r="C959" s="216" t="n"/>
      <c r="D959" s="216" t="n"/>
    </row>
    <row r="960" ht="16.5" customHeight="1" s="220">
      <c r="B960" s="216" t="n"/>
      <c r="C960" s="216" t="n"/>
      <c r="D960" s="216" t="n"/>
    </row>
    <row r="961" ht="16.5" customHeight="1" s="220">
      <c r="B961" s="216" t="n"/>
      <c r="C961" s="216" t="n"/>
      <c r="D961" s="216" t="n"/>
    </row>
    <row r="962" ht="16.5" customHeight="1" s="220">
      <c r="B962" s="216" t="n"/>
      <c r="C962" s="216" t="n"/>
      <c r="D962" s="216" t="n"/>
    </row>
    <row r="963" ht="16.5" customHeight="1" s="220">
      <c r="B963" s="216" t="n"/>
      <c r="C963" s="216" t="n"/>
      <c r="D963" s="216" t="n"/>
    </row>
    <row r="964" ht="16.5" customHeight="1" s="220">
      <c r="B964" s="216" t="n"/>
      <c r="C964" s="216" t="n"/>
      <c r="D964" s="216" t="n"/>
    </row>
    <row r="965" ht="16.5" customHeight="1" s="220">
      <c r="B965" s="216" t="n"/>
      <c r="C965" s="216" t="n"/>
      <c r="D965" s="216" t="n"/>
    </row>
    <row r="966" ht="16.5" customHeight="1" s="220">
      <c r="B966" s="216" t="n"/>
      <c r="C966" s="216" t="n"/>
      <c r="D966" s="216" t="n"/>
    </row>
    <row r="967" ht="16.5" customHeight="1" s="220">
      <c r="B967" s="216" t="n"/>
      <c r="C967" s="216" t="n"/>
      <c r="D967" s="216" t="n"/>
    </row>
    <row r="968" ht="16.5" customHeight="1" s="220">
      <c r="B968" s="216" t="n"/>
      <c r="C968" s="216" t="n"/>
      <c r="D968" s="216" t="n"/>
    </row>
    <row r="969" ht="16.5" customHeight="1" s="220">
      <c r="B969" s="216" t="n"/>
      <c r="C969" s="216" t="n"/>
      <c r="D969" s="216" t="n"/>
    </row>
    <row r="970" ht="16.5" customHeight="1" s="220">
      <c r="B970" s="216" t="n"/>
      <c r="C970" s="216" t="n"/>
      <c r="D970" s="216" t="n"/>
    </row>
    <row r="971" ht="16.5" customHeight="1" s="220">
      <c r="B971" s="216" t="n"/>
      <c r="C971" s="216" t="n"/>
      <c r="D971" s="216" t="n"/>
    </row>
    <row r="972" ht="16.5" customHeight="1" s="220">
      <c r="B972" s="216" t="n"/>
      <c r="C972" s="216" t="n"/>
      <c r="D972" s="216" t="n"/>
    </row>
    <row r="973" ht="16.5" customHeight="1" s="220">
      <c r="B973" s="216" t="n"/>
      <c r="C973" s="216" t="n"/>
      <c r="D973" s="216" t="n"/>
    </row>
    <row r="974" ht="16.5" customHeight="1" s="220">
      <c r="B974" s="216" t="n"/>
      <c r="C974" s="216" t="n"/>
      <c r="D974" s="216" t="n"/>
    </row>
    <row r="975" ht="16.5" customHeight="1" s="220">
      <c r="B975" s="216" t="n"/>
      <c r="C975" s="216" t="n"/>
      <c r="D975" s="216" t="n"/>
    </row>
    <row r="976" ht="16.5" customHeight="1" s="220">
      <c r="B976" s="216" t="n"/>
      <c r="C976" s="216" t="n"/>
      <c r="D976" s="216" t="n"/>
    </row>
    <row r="977" ht="16.5" customHeight="1" s="220">
      <c r="B977" s="216" t="n"/>
      <c r="C977" s="216" t="n"/>
      <c r="D977" s="216" t="n"/>
    </row>
    <row r="978" ht="16.5" customHeight="1" s="220">
      <c r="B978" s="216" t="n"/>
      <c r="C978" s="216" t="n"/>
      <c r="D978" s="216" t="n"/>
    </row>
    <row r="979" ht="16.5" customHeight="1" s="220">
      <c r="B979" s="216" t="n"/>
      <c r="C979" s="216" t="n"/>
      <c r="D979" s="216" t="n"/>
    </row>
    <row r="980" ht="16.5" customHeight="1" s="220">
      <c r="B980" s="216" t="n"/>
      <c r="C980" s="216" t="n"/>
      <c r="D980" s="216" t="n"/>
    </row>
    <row r="981" ht="16.5" customHeight="1" s="220">
      <c r="B981" s="216" t="n"/>
      <c r="C981" s="216" t="n"/>
      <c r="D981" s="216" t="n"/>
    </row>
    <row r="982" ht="16.5" customHeight="1" s="220">
      <c r="B982" s="216" t="n"/>
      <c r="C982" s="216" t="n"/>
      <c r="D982" s="216" t="n"/>
    </row>
    <row r="983" ht="16.5" customHeight="1" s="220">
      <c r="B983" s="216" t="n"/>
      <c r="C983" s="216" t="n"/>
      <c r="D983" s="216" t="n"/>
    </row>
    <row r="984" ht="16.5" customHeight="1" s="220">
      <c r="B984" s="216" t="n"/>
      <c r="C984" s="216" t="n"/>
      <c r="D984" s="216" t="n"/>
    </row>
    <row r="985" ht="16.5" customHeight="1" s="220">
      <c r="B985" s="216" t="n"/>
      <c r="C985" s="216" t="n"/>
      <c r="D985" s="216" t="n"/>
    </row>
    <row r="986" ht="16.5" customHeight="1" s="220">
      <c r="B986" s="216" t="n"/>
      <c r="C986" s="216" t="n"/>
      <c r="D986" s="216" t="n"/>
    </row>
    <row r="987" ht="16.5" customHeight="1" s="220">
      <c r="B987" s="216" t="n"/>
      <c r="C987" s="216" t="n"/>
      <c r="D987" s="216" t="n"/>
    </row>
    <row r="988" ht="16.5" customHeight="1" s="220">
      <c r="B988" s="216" t="n"/>
      <c r="C988" s="216" t="n"/>
      <c r="D988" s="216" t="n"/>
    </row>
    <row r="989" ht="16.5" customHeight="1" s="220">
      <c r="B989" s="216" t="n"/>
      <c r="C989" s="216" t="n"/>
      <c r="D989" s="216" t="n"/>
    </row>
    <row r="990" ht="16.5" customHeight="1" s="220">
      <c r="B990" s="216" t="n"/>
      <c r="C990" s="216" t="n"/>
      <c r="D990" s="216" t="n"/>
    </row>
    <row r="991" ht="16.5" customHeight="1" s="220">
      <c r="B991" s="216" t="n"/>
      <c r="C991" s="216" t="n"/>
      <c r="D991" s="216" t="n"/>
    </row>
    <row r="992" ht="16.5" customHeight="1" s="220">
      <c r="B992" s="216" t="n"/>
      <c r="C992" s="216" t="n"/>
      <c r="D992" s="216" t="n"/>
    </row>
    <row r="993" ht="16.5" customHeight="1" s="220">
      <c r="B993" s="216" t="n"/>
      <c r="C993" s="216" t="n"/>
      <c r="D993" s="216" t="n"/>
    </row>
    <row r="994" ht="16.5" customHeight="1" s="220">
      <c r="B994" s="216" t="n"/>
      <c r="C994" s="216" t="n"/>
      <c r="D994" s="216" t="n"/>
    </row>
    <row r="995" ht="16.5" customHeight="1" s="220">
      <c r="B995" s="216" t="n"/>
      <c r="C995" s="216" t="n"/>
      <c r="D995" s="216" t="n"/>
    </row>
    <row r="996" ht="16.5" customHeight="1" s="220">
      <c r="B996" s="216" t="n"/>
      <c r="C996" s="216" t="n"/>
      <c r="D996" s="216" t="n"/>
    </row>
    <row r="997" ht="16.5" customHeight="1" s="220">
      <c r="B997" s="216" t="n"/>
      <c r="C997" s="216" t="n"/>
      <c r="D997" s="216" t="n"/>
    </row>
    <row r="998" ht="16.5" customHeight="1" s="220">
      <c r="B998" s="216" t="n"/>
      <c r="C998" s="216" t="n"/>
      <c r="D998" s="216" t="n"/>
    </row>
    <row r="999" ht="16.5" customHeight="1" s="220">
      <c r="B999" s="216" t="n"/>
      <c r="C999" s="216" t="n"/>
      <c r="D999" s="216" t="n"/>
    </row>
    <row r="1000" ht="16.5" customHeight="1" s="220">
      <c r="B1000" s="216" t="n"/>
      <c r="C1000" s="216" t="n"/>
      <c r="D1000" s="216" t="n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tabColor rgb="FFFFCC00"/>
    <outlinePr summaryBelow="1" summaryRight="1"/>
    <pageSetUpPr/>
  </sheetPr>
  <dimension ref="B1:D1000"/>
  <sheetViews>
    <sheetView workbookViewId="0">
      <selection activeCell="A1" sqref="A1"/>
    </sheetView>
  </sheetViews>
  <sheetFormatPr baseColWidth="8" defaultColWidth="12.63" defaultRowHeight="15" customHeight="1"/>
  <cols>
    <col width="9" customWidth="1" style="220" min="1" max="1"/>
    <col width="19.5" customWidth="1" style="220" min="2" max="2"/>
    <col width="10.13" customWidth="1" style="220" min="3" max="3"/>
    <col width="6.63" customWidth="1" style="220" min="4" max="4"/>
    <col width="8" customWidth="1" style="220" min="5" max="26"/>
  </cols>
  <sheetData>
    <row r="1" ht="16.5" customHeight="1" s="220">
      <c r="B1" s="211" t="inlineStr">
        <is>
          <t>Range</t>
        </is>
      </c>
      <c r="C1" s="211" t="inlineStr">
        <is>
          <t>Tier</t>
        </is>
      </c>
      <c r="D1" s="211" t="inlineStr">
        <is>
          <t>Comm</t>
        </is>
      </c>
    </row>
    <row r="2" ht="16.5" customHeight="1" s="220">
      <c r="B2" s="212" t="inlineStr">
        <is>
          <t>$140,000 - $149,999</t>
        </is>
      </c>
      <c r="C2" s="213" t="n">
        <v>140000</v>
      </c>
      <c r="D2" s="214" t="n">
        <v>0.05</v>
      </c>
    </row>
    <row r="3" ht="16.5" customHeight="1" s="220">
      <c r="B3" s="212" t="inlineStr">
        <is>
          <t>$150,000 - $159,999</t>
        </is>
      </c>
      <c r="C3" s="213" t="n">
        <v>150000</v>
      </c>
      <c r="D3" s="214" t="n">
        <v>0.1</v>
      </c>
    </row>
    <row r="4" ht="16.5" customHeight="1" s="220">
      <c r="B4" s="212" t="inlineStr">
        <is>
          <t>$160,000 - $169,999</t>
        </is>
      </c>
      <c r="C4" s="213" t="n">
        <v>160000</v>
      </c>
      <c r="D4" s="214" t="n">
        <v>0.15</v>
      </c>
    </row>
    <row r="5" ht="16.5" customHeight="1" s="220">
      <c r="B5" s="212" t="inlineStr">
        <is>
          <t>$170,000 - $179,999</t>
        </is>
      </c>
      <c r="C5" s="213" t="n">
        <v>170000</v>
      </c>
      <c r="D5" s="214" t="n">
        <v>0.2</v>
      </c>
    </row>
    <row r="6" ht="16.5" customHeight="1" s="220">
      <c r="B6" s="212" t="inlineStr">
        <is>
          <t>$180,000 - $189,999</t>
        </is>
      </c>
      <c r="C6" s="213" t="n">
        <v>180000</v>
      </c>
      <c r="D6" s="214" t="n">
        <v>0.25</v>
      </c>
    </row>
    <row r="7" ht="16.5" customHeight="1" s="220">
      <c r="B7" s="212" t="inlineStr">
        <is>
          <t>$190,000 - $199,999</t>
        </is>
      </c>
      <c r="C7" s="213" t="n">
        <v>190000</v>
      </c>
      <c r="D7" s="214" t="n">
        <v>0.3</v>
      </c>
    </row>
    <row r="8" ht="16.5" customHeight="1" s="220">
      <c r="B8" s="212" t="inlineStr">
        <is>
          <t>$200,000 - $209,999</t>
        </is>
      </c>
      <c r="C8" s="213" t="n">
        <v>200000</v>
      </c>
      <c r="D8" s="214" t="n">
        <v>0.35</v>
      </c>
    </row>
    <row r="9" ht="16.5" customHeight="1" s="220">
      <c r="B9" s="212" t="inlineStr">
        <is>
          <t>$210,000 - $219,999</t>
        </is>
      </c>
      <c r="C9" s="213" t="n">
        <v>210000</v>
      </c>
      <c r="D9" s="214" t="n">
        <v>0.4</v>
      </c>
    </row>
    <row r="10" ht="16.5" customHeight="1" s="220">
      <c r="B10" s="212" t="inlineStr">
        <is>
          <t>$220,000 - $229,999</t>
        </is>
      </c>
      <c r="C10" s="213" t="n">
        <v>220000</v>
      </c>
      <c r="D10" s="214" t="n">
        <v>0.45</v>
      </c>
    </row>
    <row r="11" ht="16.5" customHeight="1" s="220">
      <c r="B11" s="212" t="inlineStr">
        <is>
          <t>$230,000 - $239,999</t>
        </is>
      </c>
      <c r="C11" s="213" t="n">
        <v>230000</v>
      </c>
      <c r="D11" s="214" t="n">
        <v>0.5</v>
      </c>
    </row>
    <row r="12" ht="16.5" customHeight="1" s="220">
      <c r="B12" s="212" t="inlineStr">
        <is>
          <t>$240,000 - $249,999</t>
        </is>
      </c>
      <c r="C12" s="213" t="n">
        <v>240000</v>
      </c>
      <c r="D12" s="214" t="n">
        <v>0.55</v>
      </c>
    </row>
    <row r="13" ht="16.5" customHeight="1" s="220">
      <c r="B13" s="212" t="inlineStr">
        <is>
          <t>$250,000 - $259,999</t>
        </is>
      </c>
      <c r="C13" s="215" t="n">
        <v>250000</v>
      </c>
      <c r="D13" s="214" t="n">
        <v>0.6</v>
      </c>
    </row>
    <row r="14" ht="16.5" customHeight="1" s="220">
      <c r="B14" s="212" t="inlineStr">
        <is>
          <t>$260,000 - $269,999</t>
        </is>
      </c>
      <c r="C14" s="215" t="n">
        <v>260000</v>
      </c>
      <c r="D14" s="214" t="n">
        <v>0.65</v>
      </c>
    </row>
    <row r="15" ht="16.5" customHeight="1" s="220">
      <c r="B15" s="212" t="inlineStr">
        <is>
          <t>$270,000 - $279,999</t>
        </is>
      </c>
      <c r="C15" s="215" t="n">
        <v>270000</v>
      </c>
      <c r="D15" s="214" t="n">
        <v>0.7</v>
      </c>
    </row>
    <row r="16" ht="16.5" customHeight="1" s="220">
      <c r="B16" s="212" t="inlineStr">
        <is>
          <t>$280,000 - $289,999</t>
        </is>
      </c>
      <c r="C16" s="215" t="n">
        <v>280000</v>
      </c>
      <c r="D16" s="214" t="n">
        <v>0.75</v>
      </c>
    </row>
    <row r="17" ht="16.5" customHeight="1" s="220">
      <c r="B17" s="212" t="inlineStr">
        <is>
          <t>$290,000 - $299,999</t>
        </is>
      </c>
      <c r="C17" s="215" t="n">
        <v>290000</v>
      </c>
      <c r="D17" s="214" t="n">
        <v>0.8</v>
      </c>
    </row>
    <row r="18" ht="16.5" customHeight="1" s="220">
      <c r="B18" s="212" t="inlineStr">
        <is>
          <t>$300,000 - $309,999</t>
        </is>
      </c>
      <c r="C18" s="215" t="n">
        <v>300000</v>
      </c>
      <c r="D18" s="214" t="n">
        <v>0.85</v>
      </c>
    </row>
    <row r="19" ht="16.5" customHeight="1" s="220">
      <c r="B19" s="212" t="inlineStr">
        <is>
          <t>$310,000 - $319,999</t>
        </is>
      </c>
      <c r="C19" s="215" t="n">
        <v>310000</v>
      </c>
      <c r="D19" s="214" t="n">
        <v>0.9</v>
      </c>
    </row>
    <row r="20" ht="16.5" customHeight="1" s="220">
      <c r="B20" s="212" t="inlineStr">
        <is>
          <t>$320,000 - $329,999</t>
        </is>
      </c>
      <c r="C20" s="215" t="n">
        <v>320000</v>
      </c>
      <c r="D20" s="214" t="n">
        <v>0.95</v>
      </c>
    </row>
    <row r="21" ht="16.5" customHeight="1" s="220">
      <c r="B21" s="212" t="inlineStr">
        <is>
          <t>$330,000 - $339,999</t>
        </is>
      </c>
      <c r="C21" s="215" t="n">
        <v>330000</v>
      </c>
      <c r="D21" s="214" t="n">
        <v>1</v>
      </c>
    </row>
    <row r="22" ht="16.5" customHeight="1" s="220">
      <c r="B22" s="212" t="inlineStr">
        <is>
          <t>$340,000 - $349,999</t>
        </is>
      </c>
      <c r="C22" s="215" t="n">
        <v>340000</v>
      </c>
      <c r="D22" s="214" t="n">
        <v>1.05</v>
      </c>
    </row>
    <row r="23" ht="16.5" customHeight="1" s="220">
      <c r="B23" s="212" t="inlineStr">
        <is>
          <t>$350,000 - $359,999</t>
        </is>
      </c>
      <c r="C23" s="215" t="n">
        <v>350000</v>
      </c>
      <c r="D23" s="214" t="n">
        <v>1.1</v>
      </c>
    </row>
    <row r="24" ht="16.5" customHeight="1" s="220">
      <c r="B24" s="216" t="inlineStr">
        <is>
          <t>$360,000 - $369,999</t>
        </is>
      </c>
      <c r="C24" s="217" t="n">
        <v>360000</v>
      </c>
      <c r="D24" s="214" t="n">
        <v>1.15</v>
      </c>
    </row>
    <row r="25" ht="16.5" customHeight="1" s="220">
      <c r="B25" s="212" t="inlineStr">
        <is>
          <t>$370,000 - $379,999</t>
        </is>
      </c>
      <c r="C25" s="215" t="n">
        <v>370000</v>
      </c>
      <c r="D25" s="214" t="n">
        <v>1.2</v>
      </c>
    </row>
    <row r="26" ht="16.5" customHeight="1" s="220">
      <c r="B26" s="212" t="inlineStr">
        <is>
          <t>$380,000 - $389,999</t>
        </is>
      </c>
      <c r="C26" s="215" t="n">
        <v>380000</v>
      </c>
      <c r="D26" s="214" t="n">
        <v>1.25</v>
      </c>
    </row>
    <row r="27" ht="16.5" customHeight="1" s="220">
      <c r="B27" s="212" t="inlineStr">
        <is>
          <t>$390,000 - $399,999</t>
        </is>
      </c>
      <c r="C27" s="215" t="n">
        <v>390000</v>
      </c>
      <c r="D27" s="214" t="n">
        <v>1.3</v>
      </c>
    </row>
    <row r="28" ht="16.5" customHeight="1" s="220">
      <c r="B28" s="216" t="inlineStr">
        <is>
          <t>$400,000 - $409,999</t>
        </is>
      </c>
      <c r="C28" s="215" t="n">
        <v>400000</v>
      </c>
      <c r="D28" s="214" t="n">
        <v>1.35</v>
      </c>
    </row>
    <row r="29" ht="16.5" customHeight="1" s="220">
      <c r="B29" s="216" t="inlineStr">
        <is>
          <t>$410,000 - $419,999</t>
        </is>
      </c>
      <c r="C29" s="215" t="n">
        <v>410000</v>
      </c>
      <c r="D29" s="214" t="n">
        <v>1.4</v>
      </c>
    </row>
    <row r="30" ht="16.5" customHeight="1" s="220">
      <c r="B30" s="216" t="inlineStr">
        <is>
          <t>$420,000 - $429,999</t>
        </is>
      </c>
      <c r="C30" s="215" t="n">
        <v>420000</v>
      </c>
      <c r="D30" s="214" t="n">
        <v>1.45</v>
      </c>
    </row>
    <row r="31" ht="16.5" customHeight="1" s="220">
      <c r="B31" s="216" t="inlineStr">
        <is>
          <t>$430,000 - $439,999</t>
        </is>
      </c>
      <c r="C31" s="215" t="n">
        <v>430000</v>
      </c>
      <c r="D31" s="214" t="n">
        <v>1.5</v>
      </c>
    </row>
    <row r="32" ht="16.5" customHeight="1" s="220">
      <c r="B32" s="216" t="inlineStr">
        <is>
          <t>$440,000 - $449,999</t>
        </is>
      </c>
      <c r="C32" s="215" t="n">
        <v>440000</v>
      </c>
      <c r="D32" s="214" t="n">
        <v>1.55</v>
      </c>
    </row>
    <row r="33" ht="16.5" customHeight="1" s="220">
      <c r="B33" s="216" t="inlineStr">
        <is>
          <t>$450,000 - $459,999</t>
        </is>
      </c>
      <c r="C33" s="215" t="n">
        <v>450000</v>
      </c>
      <c r="D33" s="214" t="n">
        <v>1.6</v>
      </c>
    </row>
    <row r="34" ht="16.5" customHeight="1" s="220">
      <c r="B34" s="216" t="n"/>
      <c r="C34" s="215" t="n">
        <v>460000</v>
      </c>
      <c r="D34" s="214" t="n">
        <v>1.65</v>
      </c>
    </row>
    <row r="35" ht="16.5" customHeight="1" s="220">
      <c r="B35" s="216" t="n"/>
      <c r="C35" s="215" t="n">
        <v>470000</v>
      </c>
      <c r="D35" s="214" t="n">
        <v>1.7</v>
      </c>
    </row>
    <row r="36" ht="16.5" customHeight="1" s="220">
      <c r="B36" s="216" t="n"/>
      <c r="C36" s="215" t="n">
        <v>480000</v>
      </c>
      <c r="D36" s="214" t="n">
        <v>1.75</v>
      </c>
    </row>
    <row r="37" ht="16.5" customHeight="1" s="220">
      <c r="B37" s="216" t="n"/>
      <c r="C37" s="215" t="n">
        <v>490000</v>
      </c>
      <c r="D37" s="214" t="n">
        <v>1.8</v>
      </c>
    </row>
    <row r="38" ht="16.5" customHeight="1" s="220">
      <c r="B38" s="216" t="n"/>
      <c r="C38" s="215" t="n">
        <v>500000</v>
      </c>
      <c r="D38" s="214" t="n">
        <v>1.85</v>
      </c>
    </row>
    <row r="39" ht="16.5" customHeight="1" s="220">
      <c r="B39" s="216" t="n"/>
      <c r="C39" s="215" t="n">
        <v>510000</v>
      </c>
      <c r="D39" s="214" t="n">
        <v>1.9</v>
      </c>
    </row>
    <row r="40" ht="16.5" customHeight="1" s="220">
      <c r="B40" s="216" t="n"/>
      <c r="C40" s="215" t="n">
        <v>520000</v>
      </c>
      <c r="D40" s="214" t="n">
        <v>1.95</v>
      </c>
    </row>
    <row r="41" ht="16.5" customHeight="1" s="220">
      <c r="B41" s="216" t="n"/>
      <c r="C41" s="215" t="n">
        <v>530000</v>
      </c>
      <c r="D41" s="214" t="n">
        <v>2</v>
      </c>
    </row>
    <row r="42" ht="16.5" customHeight="1" s="220">
      <c r="B42" s="216" t="n"/>
      <c r="C42" s="215" t="n">
        <v>540000</v>
      </c>
      <c r="D42" s="214" t="n">
        <v>2.05</v>
      </c>
    </row>
    <row r="43" ht="16.5" customHeight="1" s="220">
      <c r="B43" s="216" t="n"/>
      <c r="C43" s="215" t="n">
        <v>550000</v>
      </c>
      <c r="D43" s="214" t="n">
        <v>2.1</v>
      </c>
    </row>
    <row r="44" ht="16.5" customHeight="1" s="220">
      <c r="B44" s="216" t="n"/>
      <c r="C44" s="215" t="n">
        <v>560000</v>
      </c>
      <c r="D44" s="214" t="n">
        <v>2.15</v>
      </c>
    </row>
    <row r="45" ht="16.5" customHeight="1" s="220">
      <c r="B45" s="216" t="n"/>
      <c r="C45" s="215" t="n">
        <v>570000</v>
      </c>
      <c r="D45" s="214" t="n">
        <v>2.2</v>
      </c>
    </row>
    <row r="46" ht="16.5" customHeight="1" s="220">
      <c r="B46" s="216" t="n"/>
      <c r="C46" s="216" t="n"/>
      <c r="D46" s="214" t="n">
        <v>2.25</v>
      </c>
    </row>
    <row r="47" ht="16.5" customHeight="1" s="220">
      <c r="B47" s="216" t="n"/>
      <c r="C47" s="216" t="n"/>
      <c r="D47" s="214" t="n">
        <v>2.3</v>
      </c>
    </row>
    <row r="48" ht="16.5" customHeight="1" s="220">
      <c r="B48" s="216" t="n"/>
      <c r="C48" s="216" t="n"/>
      <c r="D48" s="214" t="n">
        <v>2.35</v>
      </c>
    </row>
    <row r="49" ht="16.5" customHeight="1" s="220">
      <c r="B49" s="216" t="n"/>
      <c r="C49" s="216" t="n"/>
      <c r="D49" s="216" t="n"/>
    </row>
    <row r="50" ht="16.5" customHeight="1" s="220">
      <c r="B50" s="216" t="n"/>
      <c r="C50" s="216" t="n"/>
      <c r="D50" s="216" t="n"/>
    </row>
    <row r="51" ht="16.5" customHeight="1" s="220">
      <c r="B51" s="216" t="n"/>
      <c r="C51" s="216" t="n"/>
      <c r="D51" s="216" t="n"/>
    </row>
    <row r="52" ht="16.5" customHeight="1" s="220">
      <c r="B52" s="216" t="n"/>
      <c r="C52" s="216" t="n"/>
      <c r="D52" s="216" t="n"/>
    </row>
    <row r="53" ht="16.5" customHeight="1" s="220">
      <c r="B53" s="216" t="n"/>
      <c r="C53" s="216" t="n"/>
      <c r="D53" s="216" t="n"/>
    </row>
    <row r="54" ht="16.5" customHeight="1" s="220">
      <c r="B54" s="216" t="n"/>
      <c r="C54" s="216" t="n"/>
      <c r="D54" s="216" t="n"/>
    </row>
    <row r="55" ht="16.5" customHeight="1" s="220">
      <c r="B55" s="216" t="n"/>
      <c r="C55" s="216" t="n"/>
      <c r="D55" s="216" t="n"/>
    </row>
    <row r="56" ht="16.5" customHeight="1" s="220">
      <c r="B56" s="216" t="n"/>
      <c r="C56" s="216" t="n"/>
      <c r="D56" s="216" t="n"/>
    </row>
    <row r="57" ht="16.5" customHeight="1" s="220">
      <c r="B57" s="216" t="n"/>
      <c r="C57" s="216" t="n"/>
      <c r="D57" s="216" t="n"/>
    </row>
    <row r="58" ht="16.5" customHeight="1" s="220">
      <c r="B58" s="216" t="n"/>
      <c r="C58" s="216" t="n"/>
      <c r="D58" s="216" t="n"/>
    </row>
    <row r="59" ht="16.5" customHeight="1" s="220">
      <c r="B59" s="216" t="n"/>
      <c r="C59" s="216" t="n"/>
      <c r="D59" s="216" t="n"/>
    </row>
    <row r="60" ht="16.5" customHeight="1" s="220">
      <c r="B60" s="216" t="n"/>
      <c r="C60" s="216" t="n"/>
      <c r="D60" s="216" t="n"/>
    </row>
    <row r="61" ht="16.5" customHeight="1" s="220">
      <c r="B61" s="216" t="n"/>
      <c r="C61" s="216" t="n"/>
      <c r="D61" s="216" t="n"/>
    </row>
    <row r="62" ht="16.5" customHeight="1" s="220">
      <c r="B62" s="216" t="n"/>
      <c r="C62" s="216" t="n"/>
      <c r="D62" s="216" t="n"/>
    </row>
    <row r="63" ht="16.5" customHeight="1" s="220">
      <c r="B63" s="216" t="n"/>
      <c r="C63" s="216" t="n"/>
      <c r="D63" s="216" t="n"/>
    </row>
    <row r="64" ht="16.5" customHeight="1" s="220">
      <c r="B64" s="216" t="n"/>
      <c r="C64" s="216" t="n"/>
      <c r="D64" s="216" t="n"/>
    </row>
    <row r="65" ht="16.5" customHeight="1" s="220">
      <c r="B65" s="216" t="n"/>
      <c r="C65" s="216" t="n"/>
      <c r="D65" s="216" t="n"/>
    </row>
    <row r="66" ht="16.5" customHeight="1" s="220">
      <c r="B66" s="216" t="n"/>
      <c r="C66" s="216" t="n"/>
      <c r="D66" s="216" t="n"/>
    </row>
    <row r="67" ht="16.5" customHeight="1" s="220">
      <c r="B67" s="216" t="n"/>
      <c r="C67" s="216" t="n"/>
      <c r="D67" s="216" t="n"/>
    </row>
    <row r="68" ht="16.5" customHeight="1" s="220">
      <c r="B68" s="216" t="n"/>
      <c r="C68" s="216" t="n"/>
      <c r="D68" s="216" t="n"/>
    </row>
    <row r="69" ht="16.5" customHeight="1" s="220">
      <c r="B69" s="216" t="n"/>
      <c r="C69" s="216" t="n"/>
      <c r="D69" s="216" t="n"/>
    </row>
    <row r="70" ht="16.5" customHeight="1" s="220">
      <c r="B70" s="216" t="n"/>
      <c r="C70" s="216" t="n"/>
      <c r="D70" s="216" t="n"/>
    </row>
    <row r="71" ht="16.5" customHeight="1" s="220">
      <c r="B71" s="216" t="n"/>
      <c r="C71" s="216" t="n"/>
      <c r="D71" s="216" t="n"/>
    </row>
    <row r="72" ht="16.5" customHeight="1" s="220">
      <c r="B72" s="216" t="n"/>
      <c r="C72" s="216" t="n"/>
      <c r="D72" s="216" t="n"/>
    </row>
    <row r="73" ht="16.5" customHeight="1" s="220">
      <c r="B73" s="216" t="n"/>
      <c r="C73" s="216" t="n"/>
      <c r="D73" s="216" t="n"/>
    </row>
    <row r="74" ht="16.5" customHeight="1" s="220">
      <c r="B74" s="216" t="n"/>
      <c r="C74" s="216" t="n"/>
      <c r="D74" s="216" t="n"/>
    </row>
    <row r="75" ht="16.5" customHeight="1" s="220">
      <c r="B75" s="216" t="n"/>
      <c r="C75" s="216" t="n"/>
      <c r="D75" s="216" t="n"/>
    </row>
    <row r="76" ht="16.5" customHeight="1" s="220">
      <c r="B76" s="216" t="n"/>
      <c r="C76" s="216" t="n"/>
      <c r="D76" s="216" t="n"/>
    </row>
    <row r="77" ht="16.5" customHeight="1" s="220">
      <c r="B77" s="216" t="n"/>
      <c r="C77" s="216" t="n"/>
      <c r="D77" s="216" t="n"/>
    </row>
    <row r="78" ht="16.5" customHeight="1" s="220">
      <c r="B78" s="216" t="n"/>
      <c r="C78" s="216" t="n"/>
      <c r="D78" s="216" t="n"/>
    </row>
    <row r="79" ht="16.5" customHeight="1" s="220">
      <c r="B79" s="216" t="n"/>
      <c r="C79" s="216" t="n"/>
      <c r="D79" s="216" t="n"/>
    </row>
    <row r="80" ht="16.5" customHeight="1" s="220">
      <c r="B80" s="216" t="n"/>
      <c r="C80" s="216" t="n"/>
      <c r="D80" s="216" t="n"/>
    </row>
    <row r="81" ht="16.5" customHeight="1" s="220">
      <c r="B81" s="216" t="n"/>
      <c r="C81" s="216" t="n"/>
      <c r="D81" s="216" t="n"/>
    </row>
    <row r="82" ht="16.5" customHeight="1" s="220">
      <c r="B82" s="216" t="n"/>
      <c r="C82" s="216" t="n"/>
      <c r="D82" s="216" t="n"/>
    </row>
    <row r="83" ht="16.5" customHeight="1" s="220">
      <c r="B83" s="216" t="n"/>
      <c r="C83" s="216" t="n"/>
      <c r="D83" s="216" t="n"/>
    </row>
    <row r="84" ht="16.5" customHeight="1" s="220">
      <c r="B84" s="216" t="n"/>
      <c r="C84" s="216" t="n"/>
      <c r="D84" s="216" t="n"/>
    </row>
    <row r="85" ht="16.5" customHeight="1" s="220">
      <c r="B85" s="216" t="n"/>
      <c r="C85" s="216" t="n"/>
      <c r="D85" s="216" t="n"/>
    </row>
    <row r="86" ht="16.5" customHeight="1" s="220">
      <c r="B86" s="216" t="n"/>
      <c r="C86" s="216" t="n"/>
      <c r="D86" s="216" t="n"/>
    </row>
    <row r="87" ht="16.5" customHeight="1" s="220">
      <c r="B87" s="216" t="n"/>
      <c r="C87" s="216" t="n"/>
      <c r="D87" s="216" t="n"/>
    </row>
    <row r="88" ht="16.5" customHeight="1" s="220">
      <c r="B88" s="216" t="n"/>
      <c r="C88" s="216" t="n"/>
      <c r="D88" s="216" t="n"/>
    </row>
    <row r="89" ht="16.5" customHeight="1" s="220">
      <c r="B89" s="216" t="n"/>
      <c r="C89" s="216" t="n"/>
      <c r="D89" s="216" t="n"/>
    </row>
    <row r="90" ht="16.5" customHeight="1" s="220">
      <c r="B90" s="216" t="n"/>
      <c r="C90" s="216" t="n"/>
      <c r="D90" s="216" t="n"/>
    </row>
    <row r="91" ht="16.5" customHeight="1" s="220">
      <c r="B91" s="216" t="n"/>
      <c r="C91" s="216" t="n"/>
      <c r="D91" s="216" t="n"/>
    </row>
    <row r="92" ht="16.5" customHeight="1" s="220">
      <c r="B92" s="216" t="n"/>
      <c r="C92" s="216" t="n"/>
      <c r="D92" s="216" t="n"/>
    </row>
    <row r="93" ht="16.5" customHeight="1" s="220">
      <c r="B93" s="216" t="n"/>
      <c r="C93" s="216" t="n"/>
      <c r="D93" s="216" t="n"/>
    </row>
    <row r="94" ht="16.5" customHeight="1" s="220">
      <c r="B94" s="216" t="n"/>
      <c r="C94" s="216" t="n"/>
      <c r="D94" s="216" t="n"/>
    </row>
    <row r="95" ht="16.5" customHeight="1" s="220">
      <c r="B95" s="216" t="n"/>
      <c r="C95" s="216" t="n"/>
      <c r="D95" s="216" t="n"/>
    </row>
    <row r="96" ht="16.5" customHeight="1" s="220">
      <c r="B96" s="216" t="n"/>
      <c r="C96" s="216" t="n"/>
      <c r="D96" s="216" t="n"/>
    </row>
    <row r="97" ht="16.5" customHeight="1" s="220">
      <c r="B97" s="216" t="n"/>
      <c r="C97" s="216" t="n"/>
      <c r="D97" s="216" t="n"/>
    </row>
    <row r="98" ht="16.5" customHeight="1" s="220">
      <c r="B98" s="216" t="n"/>
      <c r="C98" s="216" t="n"/>
      <c r="D98" s="216" t="n"/>
    </row>
    <row r="99" ht="16.5" customHeight="1" s="220">
      <c r="B99" s="216" t="n"/>
      <c r="C99" s="216" t="n"/>
      <c r="D99" s="216" t="n"/>
    </row>
    <row r="100" ht="16.5" customHeight="1" s="220">
      <c r="B100" s="216" t="n"/>
      <c r="C100" s="216" t="n"/>
      <c r="D100" s="216" t="n"/>
    </row>
    <row r="101" ht="16.5" customHeight="1" s="220">
      <c r="B101" s="216" t="n"/>
      <c r="C101" s="216" t="n"/>
      <c r="D101" s="216" t="n"/>
    </row>
    <row r="102" ht="16.5" customHeight="1" s="220">
      <c r="B102" s="216" t="n"/>
      <c r="C102" s="216" t="n"/>
      <c r="D102" s="216" t="n"/>
    </row>
    <row r="103" ht="16.5" customHeight="1" s="220">
      <c r="B103" s="216" t="n"/>
      <c r="C103" s="216" t="n"/>
      <c r="D103" s="216" t="n"/>
    </row>
    <row r="104" ht="16.5" customHeight="1" s="220">
      <c r="B104" s="216" t="n"/>
      <c r="C104" s="216" t="n"/>
      <c r="D104" s="216" t="n"/>
    </row>
    <row r="105" ht="16.5" customHeight="1" s="220">
      <c r="B105" s="216" t="n"/>
      <c r="C105" s="216" t="n"/>
      <c r="D105" s="216" t="n"/>
    </row>
    <row r="106" ht="16.5" customHeight="1" s="220">
      <c r="B106" s="216" t="n"/>
      <c r="C106" s="216" t="n"/>
      <c r="D106" s="216" t="n"/>
    </row>
    <row r="107" ht="16.5" customHeight="1" s="220">
      <c r="B107" s="216" t="n"/>
      <c r="C107" s="216" t="n"/>
      <c r="D107" s="216" t="n"/>
    </row>
    <row r="108" ht="16.5" customHeight="1" s="220">
      <c r="B108" s="216" t="n"/>
      <c r="C108" s="216" t="n"/>
      <c r="D108" s="216" t="n"/>
    </row>
    <row r="109" ht="16.5" customHeight="1" s="220">
      <c r="B109" s="216" t="n"/>
      <c r="C109" s="216" t="n"/>
      <c r="D109" s="216" t="n"/>
    </row>
    <row r="110" ht="16.5" customHeight="1" s="220">
      <c r="B110" s="216" t="n"/>
      <c r="C110" s="216" t="n"/>
      <c r="D110" s="216" t="n"/>
    </row>
    <row r="111" ht="16.5" customHeight="1" s="220">
      <c r="B111" s="216" t="n"/>
      <c r="C111" s="216" t="n"/>
      <c r="D111" s="216" t="n"/>
    </row>
    <row r="112" ht="16.5" customHeight="1" s="220">
      <c r="B112" s="216" t="n"/>
      <c r="C112" s="216" t="n"/>
      <c r="D112" s="216" t="n"/>
    </row>
    <row r="113" ht="16.5" customHeight="1" s="220">
      <c r="B113" s="216" t="n"/>
      <c r="C113" s="216" t="n"/>
      <c r="D113" s="216" t="n"/>
    </row>
    <row r="114" ht="16.5" customHeight="1" s="220">
      <c r="B114" s="216" t="n"/>
      <c r="C114" s="216" t="n"/>
      <c r="D114" s="216" t="n"/>
    </row>
    <row r="115" ht="16.5" customHeight="1" s="220">
      <c r="B115" s="216" t="n"/>
      <c r="C115" s="216" t="n"/>
      <c r="D115" s="216" t="n"/>
    </row>
    <row r="116" ht="16.5" customHeight="1" s="220">
      <c r="B116" s="216" t="n"/>
      <c r="C116" s="216" t="n"/>
      <c r="D116" s="216" t="n"/>
    </row>
    <row r="117" ht="16.5" customHeight="1" s="220">
      <c r="B117" s="216" t="n"/>
      <c r="C117" s="216" t="n"/>
      <c r="D117" s="216" t="n"/>
    </row>
    <row r="118" ht="16.5" customHeight="1" s="220">
      <c r="B118" s="216" t="n"/>
      <c r="C118" s="216" t="n"/>
      <c r="D118" s="216" t="n"/>
    </row>
    <row r="119" ht="16.5" customHeight="1" s="220">
      <c r="B119" s="216" t="n"/>
      <c r="C119" s="216" t="n"/>
      <c r="D119" s="216" t="n"/>
    </row>
    <row r="120" ht="16.5" customHeight="1" s="220">
      <c r="B120" s="216" t="n"/>
      <c r="C120" s="216" t="n"/>
      <c r="D120" s="216" t="n"/>
    </row>
    <row r="121" ht="16.5" customHeight="1" s="220">
      <c r="B121" s="216" t="n"/>
      <c r="C121" s="216" t="n"/>
      <c r="D121" s="216" t="n"/>
    </row>
    <row r="122" ht="16.5" customHeight="1" s="220">
      <c r="B122" s="216" t="n"/>
      <c r="C122" s="216" t="n"/>
      <c r="D122" s="216" t="n"/>
    </row>
    <row r="123" ht="16.5" customHeight="1" s="220">
      <c r="B123" s="216" t="n"/>
      <c r="C123" s="216" t="n"/>
      <c r="D123" s="216" t="n"/>
    </row>
    <row r="124" ht="16.5" customHeight="1" s="220">
      <c r="B124" s="216" t="n"/>
      <c r="C124" s="216" t="n"/>
      <c r="D124" s="216" t="n"/>
    </row>
    <row r="125" ht="16.5" customHeight="1" s="220">
      <c r="B125" s="216" t="n"/>
      <c r="C125" s="216" t="n"/>
      <c r="D125" s="216" t="n"/>
    </row>
    <row r="126" ht="16.5" customHeight="1" s="220">
      <c r="B126" s="216" t="n"/>
      <c r="C126" s="216" t="n"/>
      <c r="D126" s="216" t="n"/>
    </row>
    <row r="127" ht="16.5" customHeight="1" s="220">
      <c r="B127" s="216" t="n"/>
      <c r="C127" s="216" t="n"/>
      <c r="D127" s="216" t="n"/>
    </row>
    <row r="128" ht="16.5" customHeight="1" s="220">
      <c r="B128" s="216" t="n"/>
      <c r="C128" s="216" t="n"/>
      <c r="D128" s="216" t="n"/>
    </row>
    <row r="129" ht="16.5" customHeight="1" s="220">
      <c r="B129" s="216" t="n"/>
      <c r="C129" s="216" t="n"/>
      <c r="D129" s="216" t="n"/>
    </row>
    <row r="130" ht="16.5" customHeight="1" s="220">
      <c r="B130" s="216" t="n"/>
      <c r="C130" s="216" t="n"/>
      <c r="D130" s="216" t="n"/>
    </row>
    <row r="131" ht="16.5" customHeight="1" s="220">
      <c r="B131" s="216" t="n"/>
      <c r="C131" s="216" t="n"/>
      <c r="D131" s="216" t="n"/>
    </row>
    <row r="132" ht="16.5" customHeight="1" s="220">
      <c r="B132" s="216" t="n"/>
      <c r="C132" s="216" t="n"/>
      <c r="D132" s="216" t="n"/>
    </row>
    <row r="133" ht="16.5" customHeight="1" s="220">
      <c r="B133" s="216" t="n"/>
      <c r="C133" s="216" t="n"/>
      <c r="D133" s="216" t="n"/>
    </row>
    <row r="134" ht="16.5" customHeight="1" s="220">
      <c r="B134" s="216" t="n"/>
      <c r="C134" s="216" t="n"/>
      <c r="D134" s="216" t="n"/>
    </row>
    <row r="135" ht="16.5" customHeight="1" s="220">
      <c r="B135" s="216" t="n"/>
      <c r="C135" s="216" t="n"/>
      <c r="D135" s="216" t="n"/>
    </row>
    <row r="136" ht="16.5" customHeight="1" s="220">
      <c r="B136" s="216" t="n"/>
      <c r="C136" s="216" t="n"/>
      <c r="D136" s="216" t="n"/>
    </row>
    <row r="137" ht="16.5" customHeight="1" s="220">
      <c r="B137" s="216" t="n"/>
      <c r="C137" s="216" t="n"/>
      <c r="D137" s="216" t="n"/>
    </row>
    <row r="138" ht="16.5" customHeight="1" s="220">
      <c r="B138" s="216" t="n"/>
      <c r="C138" s="216" t="n"/>
      <c r="D138" s="216" t="n"/>
    </row>
    <row r="139" ht="16.5" customHeight="1" s="220">
      <c r="B139" s="216" t="n"/>
      <c r="C139" s="216" t="n"/>
      <c r="D139" s="216" t="n"/>
    </row>
    <row r="140" ht="16.5" customHeight="1" s="220">
      <c r="B140" s="216" t="n"/>
      <c r="C140" s="216" t="n"/>
      <c r="D140" s="216" t="n"/>
    </row>
    <row r="141" ht="16.5" customHeight="1" s="220">
      <c r="B141" s="216" t="n"/>
      <c r="C141" s="216" t="n"/>
      <c r="D141" s="216" t="n"/>
    </row>
    <row r="142" ht="16.5" customHeight="1" s="220">
      <c r="B142" s="216" t="n"/>
      <c r="C142" s="216" t="n"/>
      <c r="D142" s="216" t="n"/>
    </row>
    <row r="143" ht="16.5" customHeight="1" s="220">
      <c r="B143" s="216" t="n"/>
      <c r="C143" s="216" t="n"/>
      <c r="D143" s="216" t="n"/>
    </row>
    <row r="144" ht="16.5" customHeight="1" s="220">
      <c r="B144" s="216" t="n"/>
      <c r="C144" s="216" t="n"/>
      <c r="D144" s="216" t="n"/>
    </row>
    <row r="145" ht="16.5" customHeight="1" s="220">
      <c r="B145" s="216" t="n"/>
      <c r="C145" s="216" t="n"/>
      <c r="D145" s="216" t="n"/>
    </row>
    <row r="146" ht="16.5" customHeight="1" s="220">
      <c r="B146" s="216" t="n"/>
      <c r="C146" s="216" t="n"/>
      <c r="D146" s="216" t="n"/>
    </row>
    <row r="147" ht="16.5" customHeight="1" s="220">
      <c r="B147" s="216" t="n"/>
      <c r="C147" s="216" t="n"/>
      <c r="D147" s="216" t="n"/>
    </row>
    <row r="148" ht="16.5" customHeight="1" s="220">
      <c r="B148" s="216" t="n"/>
      <c r="C148" s="216" t="n"/>
      <c r="D148" s="216" t="n"/>
    </row>
    <row r="149" ht="16.5" customHeight="1" s="220">
      <c r="B149" s="216" t="n"/>
      <c r="C149" s="216" t="n"/>
      <c r="D149" s="216" t="n"/>
    </row>
    <row r="150" ht="16.5" customHeight="1" s="220">
      <c r="B150" s="216" t="n"/>
      <c r="C150" s="216" t="n"/>
      <c r="D150" s="216" t="n"/>
    </row>
    <row r="151" ht="16.5" customHeight="1" s="220">
      <c r="B151" s="216" t="n"/>
      <c r="C151" s="216" t="n"/>
      <c r="D151" s="216" t="n"/>
    </row>
    <row r="152" ht="16.5" customHeight="1" s="220">
      <c r="B152" s="216" t="n"/>
      <c r="C152" s="216" t="n"/>
      <c r="D152" s="216" t="n"/>
    </row>
    <row r="153" ht="16.5" customHeight="1" s="220">
      <c r="B153" s="216" t="n"/>
      <c r="C153" s="216" t="n"/>
      <c r="D153" s="216" t="n"/>
    </row>
    <row r="154" ht="16.5" customHeight="1" s="220">
      <c r="B154" s="216" t="n"/>
      <c r="C154" s="216" t="n"/>
      <c r="D154" s="216" t="n"/>
    </row>
    <row r="155" ht="16.5" customHeight="1" s="220">
      <c r="B155" s="216" t="n"/>
      <c r="C155" s="216" t="n"/>
      <c r="D155" s="216" t="n"/>
    </row>
    <row r="156" ht="16.5" customHeight="1" s="220">
      <c r="B156" s="216" t="n"/>
      <c r="C156" s="216" t="n"/>
      <c r="D156" s="216" t="n"/>
    </row>
    <row r="157" ht="16.5" customHeight="1" s="220">
      <c r="B157" s="216" t="n"/>
      <c r="C157" s="216" t="n"/>
      <c r="D157" s="216" t="n"/>
    </row>
    <row r="158" ht="16.5" customHeight="1" s="220">
      <c r="B158" s="216" t="n"/>
      <c r="C158" s="216" t="n"/>
      <c r="D158" s="216" t="n"/>
    </row>
    <row r="159" ht="16.5" customHeight="1" s="220">
      <c r="B159" s="216" t="n"/>
      <c r="C159" s="216" t="n"/>
      <c r="D159" s="216" t="n"/>
    </row>
    <row r="160" ht="16.5" customHeight="1" s="220">
      <c r="B160" s="216" t="n"/>
      <c r="C160" s="216" t="n"/>
      <c r="D160" s="216" t="n"/>
    </row>
    <row r="161" ht="16.5" customHeight="1" s="220">
      <c r="B161" s="216" t="n"/>
      <c r="C161" s="216" t="n"/>
      <c r="D161" s="216" t="n"/>
    </row>
    <row r="162" ht="16.5" customHeight="1" s="220">
      <c r="B162" s="216" t="n"/>
      <c r="C162" s="216" t="n"/>
      <c r="D162" s="216" t="n"/>
    </row>
    <row r="163" ht="16.5" customHeight="1" s="220">
      <c r="B163" s="216" t="n"/>
      <c r="C163" s="216" t="n"/>
      <c r="D163" s="216" t="n"/>
    </row>
    <row r="164" ht="16.5" customHeight="1" s="220">
      <c r="B164" s="216" t="n"/>
      <c r="C164" s="216" t="n"/>
      <c r="D164" s="216" t="n"/>
    </row>
    <row r="165" ht="16.5" customHeight="1" s="220">
      <c r="B165" s="216" t="n"/>
      <c r="C165" s="216" t="n"/>
      <c r="D165" s="216" t="n"/>
    </row>
    <row r="166" ht="16.5" customHeight="1" s="220">
      <c r="B166" s="216" t="n"/>
      <c r="C166" s="216" t="n"/>
      <c r="D166" s="216" t="n"/>
    </row>
    <row r="167" ht="16.5" customHeight="1" s="220">
      <c r="B167" s="216" t="n"/>
      <c r="C167" s="216" t="n"/>
      <c r="D167" s="216" t="n"/>
    </row>
    <row r="168" ht="16.5" customHeight="1" s="220">
      <c r="B168" s="216" t="n"/>
      <c r="C168" s="216" t="n"/>
      <c r="D168" s="216" t="n"/>
    </row>
    <row r="169" ht="16.5" customHeight="1" s="220">
      <c r="B169" s="216" t="n"/>
      <c r="C169" s="216" t="n"/>
      <c r="D169" s="216" t="n"/>
    </row>
    <row r="170" ht="16.5" customHeight="1" s="220">
      <c r="B170" s="216" t="n"/>
      <c r="C170" s="216" t="n"/>
      <c r="D170" s="216" t="n"/>
    </row>
    <row r="171" ht="16.5" customHeight="1" s="220">
      <c r="B171" s="216" t="n"/>
      <c r="C171" s="216" t="n"/>
      <c r="D171" s="216" t="n"/>
    </row>
    <row r="172" ht="16.5" customHeight="1" s="220">
      <c r="B172" s="216" t="n"/>
      <c r="C172" s="216" t="n"/>
      <c r="D172" s="216" t="n"/>
    </row>
    <row r="173" ht="16.5" customHeight="1" s="220">
      <c r="B173" s="216" t="n"/>
      <c r="C173" s="216" t="n"/>
      <c r="D173" s="216" t="n"/>
    </row>
    <row r="174" ht="16.5" customHeight="1" s="220">
      <c r="B174" s="216" t="n"/>
      <c r="C174" s="216" t="n"/>
      <c r="D174" s="216" t="n"/>
    </row>
    <row r="175" ht="16.5" customHeight="1" s="220">
      <c r="B175" s="216" t="n"/>
      <c r="C175" s="216" t="n"/>
      <c r="D175" s="216" t="n"/>
    </row>
    <row r="176" ht="16.5" customHeight="1" s="220">
      <c r="B176" s="216" t="n"/>
      <c r="C176" s="216" t="n"/>
      <c r="D176" s="216" t="n"/>
    </row>
    <row r="177" ht="16.5" customHeight="1" s="220">
      <c r="B177" s="216" t="n"/>
      <c r="C177" s="216" t="n"/>
      <c r="D177" s="216" t="n"/>
    </row>
    <row r="178" ht="16.5" customHeight="1" s="220">
      <c r="B178" s="216" t="n"/>
      <c r="C178" s="216" t="n"/>
      <c r="D178" s="216" t="n"/>
    </row>
    <row r="179" ht="16.5" customHeight="1" s="220">
      <c r="B179" s="216" t="n"/>
      <c r="C179" s="216" t="n"/>
      <c r="D179" s="216" t="n"/>
    </row>
    <row r="180" ht="16.5" customHeight="1" s="220">
      <c r="B180" s="216" t="n"/>
      <c r="C180" s="216" t="n"/>
      <c r="D180" s="216" t="n"/>
    </row>
    <row r="181" ht="16.5" customHeight="1" s="220">
      <c r="B181" s="216" t="n"/>
      <c r="C181" s="216" t="n"/>
      <c r="D181" s="216" t="n"/>
    </row>
    <row r="182" ht="16.5" customHeight="1" s="220">
      <c r="B182" s="216" t="n"/>
      <c r="C182" s="216" t="n"/>
      <c r="D182" s="216" t="n"/>
    </row>
    <row r="183" ht="16.5" customHeight="1" s="220">
      <c r="B183" s="216" t="n"/>
      <c r="C183" s="216" t="n"/>
      <c r="D183" s="216" t="n"/>
    </row>
    <row r="184" ht="16.5" customHeight="1" s="220">
      <c r="B184" s="216" t="n"/>
      <c r="C184" s="216" t="n"/>
      <c r="D184" s="216" t="n"/>
    </row>
    <row r="185" ht="16.5" customHeight="1" s="220">
      <c r="B185" s="216" t="n"/>
      <c r="C185" s="216" t="n"/>
      <c r="D185" s="216" t="n"/>
    </row>
    <row r="186" ht="16.5" customHeight="1" s="220">
      <c r="B186" s="216" t="n"/>
      <c r="C186" s="216" t="n"/>
      <c r="D186" s="216" t="n"/>
    </row>
    <row r="187" ht="16.5" customHeight="1" s="220">
      <c r="B187" s="216" t="n"/>
      <c r="C187" s="216" t="n"/>
      <c r="D187" s="216" t="n"/>
    </row>
    <row r="188" ht="16.5" customHeight="1" s="220">
      <c r="B188" s="216" t="n"/>
      <c r="C188" s="216" t="n"/>
      <c r="D188" s="216" t="n"/>
    </row>
    <row r="189" ht="16.5" customHeight="1" s="220">
      <c r="B189" s="216" t="n"/>
      <c r="C189" s="216" t="n"/>
      <c r="D189" s="216" t="n"/>
    </row>
    <row r="190" ht="16.5" customHeight="1" s="220">
      <c r="B190" s="216" t="n"/>
      <c r="C190" s="216" t="n"/>
      <c r="D190" s="216" t="n"/>
    </row>
    <row r="191" ht="16.5" customHeight="1" s="220">
      <c r="B191" s="216" t="n"/>
      <c r="C191" s="216" t="n"/>
      <c r="D191" s="216" t="n"/>
    </row>
    <row r="192" ht="16.5" customHeight="1" s="220">
      <c r="B192" s="216" t="n"/>
      <c r="C192" s="216" t="n"/>
      <c r="D192" s="216" t="n"/>
    </row>
    <row r="193" ht="16.5" customHeight="1" s="220">
      <c r="B193" s="216" t="n"/>
      <c r="C193" s="216" t="n"/>
      <c r="D193" s="216" t="n"/>
    </row>
    <row r="194" ht="16.5" customHeight="1" s="220">
      <c r="B194" s="216" t="n"/>
      <c r="C194" s="216" t="n"/>
      <c r="D194" s="216" t="n"/>
    </row>
    <row r="195" ht="16.5" customHeight="1" s="220">
      <c r="B195" s="216" t="n"/>
      <c r="C195" s="216" t="n"/>
      <c r="D195" s="216" t="n"/>
    </row>
    <row r="196" ht="16.5" customHeight="1" s="220">
      <c r="B196" s="216" t="n"/>
      <c r="C196" s="216" t="n"/>
      <c r="D196" s="216" t="n"/>
    </row>
    <row r="197" ht="16.5" customHeight="1" s="220">
      <c r="B197" s="216" t="n"/>
      <c r="C197" s="216" t="n"/>
      <c r="D197" s="216" t="n"/>
    </row>
    <row r="198" ht="16.5" customHeight="1" s="220">
      <c r="B198" s="216" t="n"/>
      <c r="C198" s="216" t="n"/>
      <c r="D198" s="216" t="n"/>
    </row>
    <row r="199" ht="16.5" customHeight="1" s="220">
      <c r="B199" s="216" t="n"/>
      <c r="C199" s="216" t="n"/>
      <c r="D199" s="216" t="n"/>
    </row>
    <row r="200" ht="16.5" customHeight="1" s="220">
      <c r="B200" s="216" t="n"/>
      <c r="C200" s="216" t="n"/>
      <c r="D200" s="216" t="n"/>
    </row>
    <row r="201" ht="16.5" customHeight="1" s="220">
      <c r="B201" s="216" t="n"/>
      <c r="C201" s="216" t="n"/>
      <c r="D201" s="216" t="n"/>
    </row>
    <row r="202" ht="16.5" customHeight="1" s="220">
      <c r="B202" s="216" t="n"/>
      <c r="C202" s="216" t="n"/>
      <c r="D202" s="216" t="n"/>
    </row>
    <row r="203" ht="16.5" customHeight="1" s="220">
      <c r="B203" s="216" t="n"/>
      <c r="C203" s="216" t="n"/>
      <c r="D203" s="216" t="n"/>
    </row>
    <row r="204" ht="16.5" customHeight="1" s="220">
      <c r="B204" s="216" t="n"/>
      <c r="C204" s="216" t="n"/>
      <c r="D204" s="216" t="n"/>
    </row>
    <row r="205" ht="16.5" customHeight="1" s="220">
      <c r="B205" s="216" t="n"/>
      <c r="C205" s="216" t="n"/>
      <c r="D205" s="216" t="n"/>
    </row>
    <row r="206" ht="16.5" customHeight="1" s="220">
      <c r="B206" s="216" t="n"/>
      <c r="C206" s="216" t="n"/>
      <c r="D206" s="216" t="n"/>
    </row>
    <row r="207" ht="16.5" customHeight="1" s="220">
      <c r="B207" s="216" t="n"/>
      <c r="C207" s="216" t="n"/>
      <c r="D207" s="216" t="n"/>
    </row>
    <row r="208" ht="16.5" customHeight="1" s="220">
      <c r="B208" s="216" t="n"/>
      <c r="C208" s="216" t="n"/>
      <c r="D208" s="216" t="n"/>
    </row>
    <row r="209" ht="16.5" customHeight="1" s="220">
      <c r="B209" s="216" t="n"/>
      <c r="C209" s="216" t="n"/>
      <c r="D209" s="216" t="n"/>
    </row>
    <row r="210" ht="16.5" customHeight="1" s="220">
      <c r="B210" s="216" t="n"/>
      <c r="C210" s="216" t="n"/>
      <c r="D210" s="216" t="n"/>
    </row>
    <row r="211" ht="16.5" customHeight="1" s="220">
      <c r="B211" s="216" t="n"/>
      <c r="C211" s="216" t="n"/>
      <c r="D211" s="216" t="n"/>
    </row>
    <row r="212" ht="16.5" customHeight="1" s="220">
      <c r="B212" s="216" t="n"/>
      <c r="C212" s="216" t="n"/>
      <c r="D212" s="216" t="n"/>
    </row>
    <row r="213" ht="16.5" customHeight="1" s="220">
      <c r="B213" s="216" t="n"/>
      <c r="C213" s="216" t="n"/>
      <c r="D213" s="216" t="n"/>
    </row>
    <row r="214" ht="16.5" customHeight="1" s="220">
      <c r="B214" s="216" t="n"/>
      <c r="C214" s="216" t="n"/>
      <c r="D214" s="216" t="n"/>
    </row>
    <row r="215" ht="16.5" customHeight="1" s="220">
      <c r="B215" s="216" t="n"/>
      <c r="C215" s="216" t="n"/>
      <c r="D215" s="216" t="n"/>
    </row>
    <row r="216" ht="16.5" customHeight="1" s="220">
      <c r="B216" s="216" t="n"/>
      <c r="C216" s="216" t="n"/>
      <c r="D216" s="216" t="n"/>
    </row>
    <row r="217" ht="16.5" customHeight="1" s="220">
      <c r="B217" s="216" t="n"/>
      <c r="C217" s="216" t="n"/>
      <c r="D217" s="216" t="n"/>
    </row>
    <row r="218" ht="16.5" customHeight="1" s="220">
      <c r="B218" s="216" t="n"/>
      <c r="C218" s="216" t="n"/>
      <c r="D218" s="216" t="n"/>
    </row>
    <row r="219" ht="16.5" customHeight="1" s="220">
      <c r="B219" s="216" t="n"/>
      <c r="C219" s="216" t="n"/>
      <c r="D219" s="216" t="n"/>
    </row>
    <row r="220" ht="16.5" customHeight="1" s="220">
      <c r="B220" s="216" t="n"/>
      <c r="C220" s="216" t="n"/>
      <c r="D220" s="216" t="n"/>
    </row>
    <row r="221" ht="16.5" customHeight="1" s="220">
      <c r="B221" s="216" t="n"/>
      <c r="C221" s="216" t="n"/>
      <c r="D221" s="216" t="n"/>
    </row>
    <row r="222" ht="16.5" customHeight="1" s="220">
      <c r="B222" s="216" t="n"/>
      <c r="C222" s="216" t="n"/>
      <c r="D222" s="216" t="n"/>
    </row>
    <row r="223" ht="16.5" customHeight="1" s="220">
      <c r="B223" s="216" t="n"/>
      <c r="C223" s="216" t="n"/>
      <c r="D223" s="216" t="n"/>
    </row>
    <row r="224" ht="16.5" customHeight="1" s="220">
      <c r="B224" s="216" t="n"/>
      <c r="C224" s="216" t="n"/>
      <c r="D224" s="216" t="n"/>
    </row>
    <row r="225" ht="16.5" customHeight="1" s="220">
      <c r="B225" s="216" t="n"/>
      <c r="C225" s="216" t="n"/>
      <c r="D225" s="216" t="n"/>
    </row>
    <row r="226" ht="16.5" customHeight="1" s="220">
      <c r="B226" s="216" t="n"/>
      <c r="C226" s="216" t="n"/>
      <c r="D226" s="216" t="n"/>
    </row>
    <row r="227" ht="16.5" customHeight="1" s="220">
      <c r="B227" s="216" t="n"/>
      <c r="C227" s="216" t="n"/>
      <c r="D227" s="216" t="n"/>
    </row>
    <row r="228" ht="16.5" customHeight="1" s="220">
      <c r="B228" s="216" t="n"/>
      <c r="C228" s="216" t="n"/>
      <c r="D228" s="216" t="n"/>
    </row>
    <row r="229" ht="16.5" customHeight="1" s="220">
      <c r="B229" s="216" t="n"/>
      <c r="C229" s="216" t="n"/>
      <c r="D229" s="216" t="n"/>
    </row>
    <row r="230" ht="16.5" customHeight="1" s="220">
      <c r="B230" s="216" t="n"/>
      <c r="C230" s="216" t="n"/>
      <c r="D230" s="216" t="n"/>
    </row>
    <row r="231" ht="16.5" customHeight="1" s="220">
      <c r="B231" s="216" t="n"/>
      <c r="C231" s="216" t="n"/>
      <c r="D231" s="216" t="n"/>
    </row>
    <row r="232" ht="16.5" customHeight="1" s="220">
      <c r="B232" s="216" t="n"/>
      <c r="C232" s="216" t="n"/>
      <c r="D232" s="216" t="n"/>
    </row>
    <row r="233" ht="16.5" customHeight="1" s="220">
      <c r="B233" s="216" t="n"/>
      <c r="C233" s="216" t="n"/>
      <c r="D233" s="216" t="n"/>
    </row>
    <row r="234" ht="16.5" customHeight="1" s="220">
      <c r="B234" s="216" t="n"/>
      <c r="C234" s="216" t="n"/>
      <c r="D234" s="216" t="n"/>
    </row>
    <row r="235" ht="16.5" customHeight="1" s="220">
      <c r="B235" s="216" t="n"/>
      <c r="C235" s="216" t="n"/>
      <c r="D235" s="216" t="n"/>
    </row>
    <row r="236" ht="16.5" customHeight="1" s="220">
      <c r="B236" s="216" t="n"/>
      <c r="C236" s="216" t="n"/>
      <c r="D236" s="216" t="n"/>
    </row>
    <row r="237" ht="16.5" customHeight="1" s="220">
      <c r="B237" s="216" t="n"/>
      <c r="C237" s="216" t="n"/>
      <c r="D237" s="216" t="n"/>
    </row>
    <row r="238" ht="16.5" customHeight="1" s="220">
      <c r="B238" s="216" t="n"/>
      <c r="C238" s="216" t="n"/>
      <c r="D238" s="216" t="n"/>
    </row>
    <row r="239" ht="16.5" customHeight="1" s="220">
      <c r="B239" s="216" t="n"/>
      <c r="C239" s="216" t="n"/>
      <c r="D239" s="216" t="n"/>
    </row>
    <row r="240" ht="16.5" customHeight="1" s="220">
      <c r="B240" s="216" t="n"/>
      <c r="C240" s="216" t="n"/>
      <c r="D240" s="216" t="n"/>
    </row>
    <row r="241" ht="16.5" customHeight="1" s="220">
      <c r="B241" s="216" t="n"/>
      <c r="C241" s="216" t="n"/>
      <c r="D241" s="216" t="n"/>
    </row>
    <row r="242" ht="16.5" customHeight="1" s="220">
      <c r="B242" s="216" t="n"/>
      <c r="C242" s="216" t="n"/>
      <c r="D242" s="216" t="n"/>
    </row>
    <row r="243" ht="16.5" customHeight="1" s="220">
      <c r="B243" s="216" t="n"/>
      <c r="C243" s="216" t="n"/>
      <c r="D243" s="216" t="n"/>
    </row>
    <row r="244" ht="16.5" customHeight="1" s="220">
      <c r="B244" s="216" t="n"/>
      <c r="C244" s="216" t="n"/>
      <c r="D244" s="216" t="n"/>
    </row>
    <row r="245" ht="16.5" customHeight="1" s="220">
      <c r="B245" s="216" t="n"/>
      <c r="C245" s="216" t="n"/>
      <c r="D245" s="216" t="n"/>
    </row>
    <row r="246" ht="16.5" customHeight="1" s="220">
      <c r="B246" s="216" t="n"/>
      <c r="C246" s="216" t="n"/>
      <c r="D246" s="216" t="n"/>
    </row>
    <row r="247" ht="16.5" customHeight="1" s="220">
      <c r="B247" s="216" t="n"/>
      <c r="C247" s="216" t="n"/>
      <c r="D247" s="216" t="n"/>
    </row>
    <row r="248" ht="16.5" customHeight="1" s="220">
      <c r="B248" s="216" t="n"/>
      <c r="C248" s="216" t="n"/>
      <c r="D248" s="216" t="n"/>
    </row>
    <row r="249" ht="16.5" customHeight="1" s="220">
      <c r="B249" s="216" t="n"/>
      <c r="C249" s="216" t="n"/>
      <c r="D249" s="216" t="n"/>
    </row>
    <row r="250" ht="16.5" customHeight="1" s="220">
      <c r="B250" s="216" t="n"/>
      <c r="C250" s="216" t="n"/>
      <c r="D250" s="216" t="n"/>
    </row>
    <row r="251" ht="16.5" customHeight="1" s="220">
      <c r="B251" s="216" t="n"/>
      <c r="C251" s="216" t="n"/>
      <c r="D251" s="216" t="n"/>
    </row>
    <row r="252" ht="16.5" customHeight="1" s="220">
      <c r="B252" s="216" t="n"/>
      <c r="C252" s="216" t="n"/>
      <c r="D252" s="216" t="n"/>
    </row>
    <row r="253" ht="16.5" customHeight="1" s="220">
      <c r="B253" s="216" t="n"/>
      <c r="C253" s="216" t="n"/>
      <c r="D253" s="216" t="n"/>
    </row>
    <row r="254" ht="16.5" customHeight="1" s="220">
      <c r="B254" s="216" t="n"/>
      <c r="C254" s="216" t="n"/>
      <c r="D254" s="216" t="n"/>
    </row>
    <row r="255" ht="16.5" customHeight="1" s="220">
      <c r="B255" s="216" t="n"/>
      <c r="C255" s="216" t="n"/>
      <c r="D255" s="216" t="n"/>
    </row>
    <row r="256" ht="16.5" customHeight="1" s="220">
      <c r="B256" s="216" t="n"/>
      <c r="C256" s="216" t="n"/>
      <c r="D256" s="216" t="n"/>
    </row>
    <row r="257" ht="16.5" customHeight="1" s="220">
      <c r="B257" s="216" t="n"/>
      <c r="C257" s="216" t="n"/>
      <c r="D257" s="216" t="n"/>
    </row>
    <row r="258" ht="16.5" customHeight="1" s="220">
      <c r="B258" s="216" t="n"/>
      <c r="C258" s="216" t="n"/>
      <c r="D258" s="216" t="n"/>
    </row>
    <row r="259" ht="16.5" customHeight="1" s="220">
      <c r="B259" s="216" t="n"/>
      <c r="C259" s="216" t="n"/>
      <c r="D259" s="216" t="n"/>
    </row>
    <row r="260" ht="16.5" customHeight="1" s="220">
      <c r="B260" s="216" t="n"/>
      <c r="C260" s="216" t="n"/>
      <c r="D260" s="216" t="n"/>
    </row>
    <row r="261" ht="16.5" customHeight="1" s="220">
      <c r="B261" s="216" t="n"/>
      <c r="C261" s="216" t="n"/>
      <c r="D261" s="216" t="n"/>
    </row>
    <row r="262" ht="16.5" customHeight="1" s="220">
      <c r="B262" s="216" t="n"/>
      <c r="C262" s="216" t="n"/>
      <c r="D262" s="216" t="n"/>
    </row>
    <row r="263" ht="16.5" customHeight="1" s="220">
      <c r="B263" s="216" t="n"/>
      <c r="C263" s="216" t="n"/>
      <c r="D263" s="216" t="n"/>
    </row>
    <row r="264" ht="16.5" customHeight="1" s="220">
      <c r="B264" s="216" t="n"/>
      <c r="C264" s="216" t="n"/>
      <c r="D264" s="216" t="n"/>
    </row>
    <row r="265" ht="16.5" customHeight="1" s="220">
      <c r="B265" s="216" t="n"/>
      <c r="C265" s="216" t="n"/>
      <c r="D265" s="216" t="n"/>
    </row>
    <row r="266" ht="16.5" customHeight="1" s="220">
      <c r="B266" s="216" t="n"/>
      <c r="C266" s="216" t="n"/>
      <c r="D266" s="216" t="n"/>
    </row>
    <row r="267" ht="16.5" customHeight="1" s="220">
      <c r="B267" s="216" t="n"/>
      <c r="C267" s="216" t="n"/>
      <c r="D267" s="216" t="n"/>
    </row>
    <row r="268" ht="16.5" customHeight="1" s="220">
      <c r="B268" s="216" t="n"/>
      <c r="C268" s="216" t="n"/>
      <c r="D268" s="216" t="n"/>
    </row>
    <row r="269" ht="16.5" customHeight="1" s="220">
      <c r="B269" s="216" t="n"/>
      <c r="C269" s="216" t="n"/>
      <c r="D269" s="216" t="n"/>
    </row>
    <row r="270" ht="16.5" customHeight="1" s="220">
      <c r="B270" s="216" t="n"/>
      <c r="C270" s="216" t="n"/>
      <c r="D270" s="216" t="n"/>
    </row>
    <row r="271" ht="16.5" customHeight="1" s="220">
      <c r="B271" s="216" t="n"/>
      <c r="C271" s="216" t="n"/>
      <c r="D271" s="216" t="n"/>
    </row>
    <row r="272" ht="16.5" customHeight="1" s="220">
      <c r="B272" s="216" t="n"/>
      <c r="C272" s="216" t="n"/>
      <c r="D272" s="216" t="n"/>
    </row>
    <row r="273" ht="16.5" customHeight="1" s="220">
      <c r="B273" s="216" t="n"/>
      <c r="C273" s="216" t="n"/>
      <c r="D273" s="216" t="n"/>
    </row>
    <row r="274" ht="16.5" customHeight="1" s="220">
      <c r="B274" s="216" t="n"/>
      <c r="C274" s="216" t="n"/>
      <c r="D274" s="216" t="n"/>
    </row>
    <row r="275" ht="16.5" customHeight="1" s="220">
      <c r="B275" s="216" t="n"/>
      <c r="C275" s="216" t="n"/>
      <c r="D275" s="216" t="n"/>
    </row>
    <row r="276" ht="16.5" customHeight="1" s="220">
      <c r="B276" s="216" t="n"/>
      <c r="C276" s="216" t="n"/>
      <c r="D276" s="216" t="n"/>
    </row>
    <row r="277" ht="16.5" customHeight="1" s="220">
      <c r="B277" s="216" t="n"/>
      <c r="C277" s="216" t="n"/>
      <c r="D277" s="216" t="n"/>
    </row>
    <row r="278" ht="16.5" customHeight="1" s="220">
      <c r="B278" s="216" t="n"/>
      <c r="C278" s="216" t="n"/>
      <c r="D278" s="216" t="n"/>
    </row>
    <row r="279" ht="16.5" customHeight="1" s="220">
      <c r="B279" s="216" t="n"/>
      <c r="C279" s="216" t="n"/>
      <c r="D279" s="216" t="n"/>
    </row>
    <row r="280" ht="16.5" customHeight="1" s="220">
      <c r="B280" s="216" t="n"/>
      <c r="C280" s="216" t="n"/>
      <c r="D280" s="216" t="n"/>
    </row>
    <row r="281" ht="16.5" customHeight="1" s="220">
      <c r="B281" s="216" t="n"/>
      <c r="C281" s="216" t="n"/>
      <c r="D281" s="216" t="n"/>
    </row>
    <row r="282" ht="16.5" customHeight="1" s="220">
      <c r="B282" s="216" t="n"/>
      <c r="C282" s="216" t="n"/>
      <c r="D282" s="216" t="n"/>
    </row>
    <row r="283" ht="16.5" customHeight="1" s="220">
      <c r="B283" s="216" t="n"/>
      <c r="C283" s="216" t="n"/>
      <c r="D283" s="216" t="n"/>
    </row>
    <row r="284" ht="16.5" customHeight="1" s="220">
      <c r="B284" s="216" t="n"/>
      <c r="C284" s="216" t="n"/>
      <c r="D284" s="216" t="n"/>
    </row>
    <row r="285" ht="16.5" customHeight="1" s="220">
      <c r="B285" s="216" t="n"/>
      <c r="C285" s="216" t="n"/>
      <c r="D285" s="216" t="n"/>
    </row>
    <row r="286" ht="16.5" customHeight="1" s="220">
      <c r="B286" s="216" t="n"/>
      <c r="C286" s="216" t="n"/>
      <c r="D286" s="216" t="n"/>
    </row>
    <row r="287" ht="16.5" customHeight="1" s="220">
      <c r="B287" s="216" t="n"/>
      <c r="C287" s="216" t="n"/>
      <c r="D287" s="216" t="n"/>
    </row>
    <row r="288" ht="16.5" customHeight="1" s="220">
      <c r="B288" s="216" t="n"/>
      <c r="C288" s="216" t="n"/>
      <c r="D288" s="216" t="n"/>
    </row>
    <row r="289" ht="16.5" customHeight="1" s="220">
      <c r="B289" s="216" t="n"/>
      <c r="C289" s="216" t="n"/>
      <c r="D289" s="216" t="n"/>
    </row>
    <row r="290" ht="16.5" customHeight="1" s="220">
      <c r="B290" s="216" t="n"/>
      <c r="C290" s="216" t="n"/>
      <c r="D290" s="216" t="n"/>
    </row>
    <row r="291" ht="16.5" customHeight="1" s="220">
      <c r="B291" s="216" t="n"/>
      <c r="C291" s="216" t="n"/>
      <c r="D291" s="216" t="n"/>
    </row>
    <row r="292" ht="16.5" customHeight="1" s="220">
      <c r="B292" s="216" t="n"/>
      <c r="C292" s="216" t="n"/>
      <c r="D292" s="216" t="n"/>
    </row>
    <row r="293" ht="16.5" customHeight="1" s="220">
      <c r="B293" s="216" t="n"/>
      <c r="C293" s="216" t="n"/>
      <c r="D293" s="216" t="n"/>
    </row>
    <row r="294" ht="16.5" customHeight="1" s="220">
      <c r="B294" s="216" t="n"/>
      <c r="C294" s="216" t="n"/>
      <c r="D294" s="216" t="n"/>
    </row>
    <row r="295" ht="16.5" customHeight="1" s="220">
      <c r="B295" s="216" t="n"/>
      <c r="C295" s="216" t="n"/>
      <c r="D295" s="216" t="n"/>
    </row>
    <row r="296" ht="16.5" customHeight="1" s="220">
      <c r="B296" s="216" t="n"/>
      <c r="C296" s="216" t="n"/>
      <c r="D296" s="216" t="n"/>
    </row>
    <row r="297" ht="16.5" customHeight="1" s="220">
      <c r="B297" s="216" t="n"/>
      <c r="C297" s="216" t="n"/>
      <c r="D297" s="216" t="n"/>
    </row>
    <row r="298" ht="16.5" customHeight="1" s="220">
      <c r="B298" s="216" t="n"/>
      <c r="C298" s="216" t="n"/>
      <c r="D298" s="216" t="n"/>
    </row>
    <row r="299" ht="16.5" customHeight="1" s="220">
      <c r="B299" s="216" t="n"/>
      <c r="C299" s="216" t="n"/>
      <c r="D299" s="216" t="n"/>
    </row>
    <row r="300" ht="16.5" customHeight="1" s="220">
      <c r="B300" s="216" t="n"/>
      <c r="C300" s="216" t="n"/>
      <c r="D300" s="216" t="n"/>
    </row>
    <row r="301" ht="16.5" customHeight="1" s="220">
      <c r="B301" s="216" t="n"/>
      <c r="C301" s="216" t="n"/>
      <c r="D301" s="216" t="n"/>
    </row>
    <row r="302" ht="16.5" customHeight="1" s="220">
      <c r="B302" s="216" t="n"/>
      <c r="C302" s="216" t="n"/>
      <c r="D302" s="216" t="n"/>
    </row>
    <row r="303" ht="16.5" customHeight="1" s="220">
      <c r="B303" s="216" t="n"/>
      <c r="C303" s="216" t="n"/>
      <c r="D303" s="216" t="n"/>
    </row>
    <row r="304" ht="16.5" customHeight="1" s="220">
      <c r="B304" s="216" t="n"/>
      <c r="C304" s="216" t="n"/>
      <c r="D304" s="216" t="n"/>
    </row>
    <row r="305" ht="16.5" customHeight="1" s="220">
      <c r="B305" s="216" t="n"/>
      <c r="C305" s="216" t="n"/>
      <c r="D305" s="216" t="n"/>
    </row>
    <row r="306" ht="16.5" customHeight="1" s="220">
      <c r="B306" s="216" t="n"/>
      <c r="C306" s="216" t="n"/>
      <c r="D306" s="216" t="n"/>
    </row>
    <row r="307" ht="16.5" customHeight="1" s="220">
      <c r="B307" s="216" t="n"/>
      <c r="C307" s="216" t="n"/>
      <c r="D307" s="216" t="n"/>
    </row>
    <row r="308" ht="16.5" customHeight="1" s="220">
      <c r="B308" s="216" t="n"/>
      <c r="C308" s="216" t="n"/>
      <c r="D308" s="216" t="n"/>
    </row>
    <row r="309" ht="16.5" customHeight="1" s="220">
      <c r="B309" s="216" t="n"/>
      <c r="C309" s="216" t="n"/>
      <c r="D309" s="216" t="n"/>
    </row>
    <row r="310" ht="16.5" customHeight="1" s="220">
      <c r="B310" s="216" t="n"/>
      <c r="C310" s="216" t="n"/>
      <c r="D310" s="216" t="n"/>
    </row>
    <row r="311" ht="16.5" customHeight="1" s="220">
      <c r="B311" s="216" t="n"/>
      <c r="C311" s="216" t="n"/>
      <c r="D311" s="216" t="n"/>
    </row>
    <row r="312" ht="16.5" customHeight="1" s="220">
      <c r="B312" s="216" t="n"/>
      <c r="C312" s="216" t="n"/>
      <c r="D312" s="216" t="n"/>
    </row>
    <row r="313" ht="16.5" customHeight="1" s="220">
      <c r="B313" s="216" t="n"/>
      <c r="C313" s="216" t="n"/>
      <c r="D313" s="216" t="n"/>
    </row>
    <row r="314" ht="16.5" customHeight="1" s="220">
      <c r="B314" s="216" t="n"/>
      <c r="C314" s="216" t="n"/>
      <c r="D314" s="216" t="n"/>
    </row>
    <row r="315" ht="16.5" customHeight="1" s="220">
      <c r="B315" s="216" t="n"/>
      <c r="C315" s="216" t="n"/>
      <c r="D315" s="216" t="n"/>
    </row>
    <row r="316" ht="16.5" customHeight="1" s="220">
      <c r="B316" s="216" t="n"/>
      <c r="C316" s="216" t="n"/>
      <c r="D316" s="216" t="n"/>
    </row>
    <row r="317" ht="16.5" customHeight="1" s="220">
      <c r="B317" s="216" t="n"/>
      <c r="C317" s="216" t="n"/>
      <c r="D317" s="216" t="n"/>
    </row>
    <row r="318" ht="16.5" customHeight="1" s="220">
      <c r="B318" s="216" t="n"/>
      <c r="C318" s="216" t="n"/>
      <c r="D318" s="216" t="n"/>
    </row>
    <row r="319" ht="16.5" customHeight="1" s="220">
      <c r="B319" s="216" t="n"/>
      <c r="C319" s="216" t="n"/>
      <c r="D319" s="216" t="n"/>
    </row>
    <row r="320" ht="16.5" customHeight="1" s="220">
      <c r="B320" s="216" t="n"/>
      <c r="C320" s="216" t="n"/>
      <c r="D320" s="216" t="n"/>
    </row>
    <row r="321" ht="16.5" customHeight="1" s="220">
      <c r="B321" s="216" t="n"/>
      <c r="C321" s="216" t="n"/>
      <c r="D321" s="216" t="n"/>
    </row>
    <row r="322" ht="16.5" customHeight="1" s="220">
      <c r="B322" s="216" t="n"/>
      <c r="C322" s="216" t="n"/>
      <c r="D322" s="216" t="n"/>
    </row>
    <row r="323" ht="16.5" customHeight="1" s="220">
      <c r="B323" s="216" t="n"/>
      <c r="C323" s="216" t="n"/>
      <c r="D323" s="216" t="n"/>
    </row>
    <row r="324" ht="16.5" customHeight="1" s="220">
      <c r="B324" s="216" t="n"/>
      <c r="C324" s="216" t="n"/>
      <c r="D324" s="216" t="n"/>
    </row>
    <row r="325" ht="16.5" customHeight="1" s="220">
      <c r="B325" s="216" t="n"/>
      <c r="C325" s="216" t="n"/>
      <c r="D325" s="216" t="n"/>
    </row>
    <row r="326" ht="16.5" customHeight="1" s="220">
      <c r="B326" s="216" t="n"/>
      <c r="C326" s="216" t="n"/>
      <c r="D326" s="216" t="n"/>
    </row>
    <row r="327" ht="16.5" customHeight="1" s="220">
      <c r="B327" s="216" t="n"/>
      <c r="C327" s="216" t="n"/>
      <c r="D327" s="216" t="n"/>
    </row>
    <row r="328" ht="16.5" customHeight="1" s="220">
      <c r="B328" s="216" t="n"/>
      <c r="C328" s="216" t="n"/>
      <c r="D328" s="216" t="n"/>
    </row>
    <row r="329" ht="16.5" customHeight="1" s="220">
      <c r="B329" s="216" t="n"/>
      <c r="C329" s="216" t="n"/>
      <c r="D329" s="216" t="n"/>
    </row>
    <row r="330" ht="16.5" customHeight="1" s="220">
      <c r="B330" s="216" t="n"/>
      <c r="C330" s="216" t="n"/>
      <c r="D330" s="216" t="n"/>
    </row>
    <row r="331" ht="16.5" customHeight="1" s="220">
      <c r="B331" s="216" t="n"/>
      <c r="C331" s="216" t="n"/>
      <c r="D331" s="216" t="n"/>
    </row>
    <row r="332" ht="16.5" customHeight="1" s="220">
      <c r="B332" s="216" t="n"/>
      <c r="C332" s="216" t="n"/>
      <c r="D332" s="216" t="n"/>
    </row>
    <row r="333" ht="16.5" customHeight="1" s="220">
      <c r="B333" s="216" t="n"/>
      <c r="C333" s="216" t="n"/>
      <c r="D333" s="216" t="n"/>
    </row>
    <row r="334" ht="16.5" customHeight="1" s="220">
      <c r="B334" s="216" t="n"/>
      <c r="C334" s="216" t="n"/>
      <c r="D334" s="216" t="n"/>
    </row>
    <row r="335" ht="16.5" customHeight="1" s="220">
      <c r="B335" s="216" t="n"/>
      <c r="C335" s="216" t="n"/>
      <c r="D335" s="216" t="n"/>
    </row>
    <row r="336" ht="16.5" customHeight="1" s="220">
      <c r="B336" s="216" t="n"/>
      <c r="C336" s="216" t="n"/>
      <c r="D336" s="216" t="n"/>
    </row>
    <row r="337" ht="16.5" customHeight="1" s="220">
      <c r="B337" s="216" t="n"/>
      <c r="C337" s="216" t="n"/>
      <c r="D337" s="216" t="n"/>
    </row>
    <row r="338" ht="16.5" customHeight="1" s="220">
      <c r="B338" s="216" t="n"/>
      <c r="C338" s="216" t="n"/>
      <c r="D338" s="216" t="n"/>
    </row>
    <row r="339" ht="16.5" customHeight="1" s="220">
      <c r="B339" s="216" t="n"/>
      <c r="C339" s="216" t="n"/>
      <c r="D339" s="216" t="n"/>
    </row>
    <row r="340" ht="16.5" customHeight="1" s="220">
      <c r="B340" s="216" t="n"/>
      <c r="C340" s="216" t="n"/>
      <c r="D340" s="216" t="n"/>
    </row>
    <row r="341" ht="16.5" customHeight="1" s="220">
      <c r="B341" s="216" t="n"/>
      <c r="C341" s="216" t="n"/>
      <c r="D341" s="216" t="n"/>
    </row>
    <row r="342" ht="16.5" customHeight="1" s="220">
      <c r="B342" s="216" t="n"/>
      <c r="C342" s="216" t="n"/>
      <c r="D342" s="216" t="n"/>
    </row>
    <row r="343" ht="16.5" customHeight="1" s="220">
      <c r="B343" s="216" t="n"/>
      <c r="C343" s="216" t="n"/>
      <c r="D343" s="216" t="n"/>
    </row>
    <row r="344" ht="16.5" customHeight="1" s="220">
      <c r="B344" s="216" t="n"/>
      <c r="C344" s="216" t="n"/>
      <c r="D344" s="216" t="n"/>
    </row>
    <row r="345" ht="16.5" customHeight="1" s="220">
      <c r="B345" s="216" t="n"/>
      <c r="C345" s="216" t="n"/>
      <c r="D345" s="216" t="n"/>
    </row>
    <row r="346" ht="16.5" customHeight="1" s="220">
      <c r="B346" s="216" t="n"/>
      <c r="C346" s="216" t="n"/>
      <c r="D346" s="216" t="n"/>
    </row>
    <row r="347" ht="16.5" customHeight="1" s="220">
      <c r="B347" s="216" t="n"/>
      <c r="C347" s="216" t="n"/>
      <c r="D347" s="216" t="n"/>
    </row>
    <row r="348" ht="16.5" customHeight="1" s="220">
      <c r="B348" s="216" t="n"/>
      <c r="C348" s="216" t="n"/>
      <c r="D348" s="216" t="n"/>
    </row>
    <row r="349" ht="16.5" customHeight="1" s="220">
      <c r="B349" s="216" t="n"/>
      <c r="C349" s="216" t="n"/>
      <c r="D349" s="216" t="n"/>
    </row>
    <row r="350" ht="16.5" customHeight="1" s="220">
      <c r="B350" s="216" t="n"/>
      <c r="C350" s="216" t="n"/>
      <c r="D350" s="216" t="n"/>
    </row>
    <row r="351" ht="16.5" customHeight="1" s="220">
      <c r="B351" s="216" t="n"/>
      <c r="C351" s="216" t="n"/>
      <c r="D351" s="216" t="n"/>
    </row>
    <row r="352" ht="16.5" customHeight="1" s="220">
      <c r="B352" s="216" t="n"/>
      <c r="C352" s="216" t="n"/>
      <c r="D352" s="216" t="n"/>
    </row>
    <row r="353" ht="16.5" customHeight="1" s="220">
      <c r="B353" s="216" t="n"/>
      <c r="C353" s="216" t="n"/>
      <c r="D353" s="216" t="n"/>
    </row>
    <row r="354" ht="16.5" customHeight="1" s="220">
      <c r="B354" s="216" t="n"/>
      <c r="C354" s="216" t="n"/>
      <c r="D354" s="216" t="n"/>
    </row>
    <row r="355" ht="16.5" customHeight="1" s="220">
      <c r="B355" s="216" t="n"/>
      <c r="C355" s="216" t="n"/>
      <c r="D355" s="216" t="n"/>
    </row>
    <row r="356" ht="16.5" customHeight="1" s="220">
      <c r="B356" s="216" t="n"/>
      <c r="C356" s="216" t="n"/>
      <c r="D356" s="216" t="n"/>
    </row>
    <row r="357" ht="16.5" customHeight="1" s="220">
      <c r="B357" s="216" t="n"/>
      <c r="C357" s="216" t="n"/>
      <c r="D357" s="216" t="n"/>
    </row>
    <row r="358" ht="16.5" customHeight="1" s="220">
      <c r="B358" s="216" t="n"/>
      <c r="C358" s="216" t="n"/>
      <c r="D358" s="216" t="n"/>
    </row>
    <row r="359" ht="16.5" customHeight="1" s="220">
      <c r="B359" s="216" t="n"/>
      <c r="C359" s="216" t="n"/>
      <c r="D359" s="216" t="n"/>
    </row>
    <row r="360" ht="16.5" customHeight="1" s="220">
      <c r="B360" s="216" t="n"/>
      <c r="C360" s="216" t="n"/>
      <c r="D360" s="216" t="n"/>
    </row>
    <row r="361" ht="16.5" customHeight="1" s="220">
      <c r="B361" s="216" t="n"/>
      <c r="C361" s="216" t="n"/>
      <c r="D361" s="216" t="n"/>
    </row>
    <row r="362" ht="16.5" customHeight="1" s="220">
      <c r="B362" s="216" t="n"/>
      <c r="C362" s="216" t="n"/>
      <c r="D362" s="216" t="n"/>
    </row>
    <row r="363" ht="16.5" customHeight="1" s="220">
      <c r="B363" s="216" t="n"/>
      <c r="C363" s="216" t="n"/>
      <c r="D363" s="216" t="n"/>
    </row>
    <row r="364" ht="16.5" customHeight="1" s="220">
      <c r="B364" s="216" t="n"/>
      <c r="C364" s="216" t="n"/>
      <c r="D364" s="216" t="n"/>
    </row>
    <row r="365" ht="16.5" customHeight="1" s="220">
      <c r="B365" s="216" t="n"/>
      <c r="C365" s="216" t="n"/>
      <c r="D365" s="216" t="n"/>
    </row>
    <row r="366" ht="16.5" customHeight="1" s="220">
      <c r="B366" s="216" t="n"/>
      <c r="C366" s="216" t="n"/>
      <c r="D366" s="216" t="n"/>
    </row>
    <row r="367" ht="16.5" customHeight="1" s="220">
      <c r="B367" s="216" t="n"/>
      <c r="C367" s="216" t="n"/>
      <c r="D367" s="216" t="n"/>
    </row>
    <row r="368" ht="16.5" customHeight="1" s="220">
      <c r="B368" s="216" t="n"/>
      <c r="C368" s="216" t="n"/>
      <c r="D368" s="216" t="n"/>
    </row>
    <row r="369" ht="16.5" customHeight="1" s="220">
      <c r="B369" s="216" t="n"/>
      <c r="C369" s="216" t="n"/>
      <c r="D369" s="216" t="n"/>
    </row>
    <row r="370" ht="16.5" customHeight="1" s="220">
      <c r="B370" s="216" t="n"/>
      <c r="C370" s="216" t="n"/>
      <c r="D370" s="216" t="n"/>
    </row>
    <row r="371" ht="16.5" customHeight="1" s="220">
      <c r="B371" s="216" t="n"/>
      <c r="C371" s="216" t="n"/>
      <c r="D371" s="216" t="n"/>
    </row>
    <row r="372" ht="16.5" customHeight="1" s="220">
      <c r="B372" s="216" t="n"/>
      <c r="C372" s="216" t="n"/>
      <c r="D372" s="216" t="n"/>
    </row>
    <row r="373" ht="16.5" customHeight="1" s="220">
      <c r="B373" s="216" t="n"/>
      <c r="C373" s="216" t="n"/>
      <c r="D373" s="216" t="n"/>
    </row>
    <row r="374" ht="16.5" customHeight="1" s="220">
      <c r="B374" s="216" t="n"/>
      <c r="C374" s="216" t="n"/>
      <c r="D374" s="216" t="n"/>
    </row>
    <row r="375" ht="16.5" customHeight="1" s="220">
      <c r="B375" s="216" t="n"/>
      <c r="C375" s="216" t="n"/>
      <c r="D375" s="216" t="n"/>
    </row>
    <row r="376" ht="16.5" customHeight="1" s="220">
      <c r="B376" s="216" t="n"/>
      <c r="C376" s="216" t="n"/>
      <c r="D376" s="216" t="n"/>
    </row>
    <row r="377" ht="16.5" customHeight="1" s="220">
      <c r="B377" s="216" t="n"/>
      <c r="C377" s="216" t="n"/>
      <c r="D377" s="216" t="n"/>
    </row>
    <row r="378" ht="16.5" customHeight="1" s="220">
      <c r="B378" s="216" t="n"/>
      <c r="C378" s="216" t="n"/>
      <c r="D378" s="216" t="n"/>
    </row>
    <row r="379" ht="16.5" customHeight="1" s="220">
      <c r="B379" s="216" t="n"/>
      <c r="C379" s="216" t="n"/>
      <c r="D379" s="216" t="n"/>
    </row>
    <row r="380" ht="16.5" customHeight="1" s="220">
      <c r="B380" s="216" t="n"/>
      <c r="C380" s="216" t="n"/>
      <c r="D380" s="216" t="n"/>
    </row>
    <row r="381" ht="16.5" customHeight="1" s="220">
      <c r="B381" s="216" t="n"/>
      <c r="C381" s="216" t="n"/>
      <c r="D381" s="216" t="n"/>
    </row>
    <row r="382" ht="16.5" customHeight="1" s="220">
      <c r="B382" s="216" t="n"/>
      <c r="C382" s="216" t="n"/>
      <c r="D382" s="216" t="n"/>
    </row>
    <row r="383" ht="16.5" customHeight="1" s="220">
      <c r="B383" s="216" t="n"/>
      <c r="C383" s="216" t="n"/>
      <c r="D383" s="216" t="n"/>
    </row>
    <row r="384" ht="16.5" customHeight="1" s="220">
      <c r="B384" s="216" t="n"/>
      <c r="C384" s="216" t="n"/>
      <c r="D384" s="216" t="n"/>
    </row>
    <row r="385" ht="16.5" customHeight="1" s="220">
      <c r="B385" s="216" t="n"/>
      <c r="C385" s="216" t="n"/>
      <c r="D385" s="216" t="n"/>
    </row>
    <row r="386" ht="16.5" customHeight="1" s="220">
      <c r="B386" s="216" t="n"/>
      <c r="C386" s="216" t="n"/>
      <c r="D386" s="216" t="n"/>
    </row>
    <row r="387" ht="16.5" customHeight="1" s="220">
      <c r="B387" s="216" t="n"/>
      <c r="C387" s="216" t="n"/>
      <c r="D387" s="216" t="n"/>
    </row>
    <row r="388" ht="16.5" customHeight="1" s="220">
      <c r="B388" s="216" t="n"/>
      <c r="C388" s="216" t="n"/>
      <c r="D388" s="216" t="n"/>
    </row>
    <row r="389" ht="16.5" customHeight="1" s="220">
      <c r="B389" s="216" t="n"/>
      <c r="C389" s="216" t="n"/>
      <c r="D389" s="216" t="n"/>
    </row>
    <row r="390" ht="16.5" customHeight="1" s="220">
      <c r="B390" s="216" t="n"/>
      <c r="C390" s="216" t="n"/>
      <c r="D390" s="216" t="n"/>
    </row>
    <row r="391" ht="16.5" customHeight="1" s="220">
      <c r="B391" s="216" t="n"/>
      <c r="C391" s="216" t="n"/>
      <c r="D391" s="216" t="n"/>
    </row>
    <row r="392" ht="16.5" customHeight="1" s="220">
      <c r="B392" s="216" t="n"/>
      <c r="C392" s="216" t="n"/>
      <c r="D392" s="216" t="n"/>
    </row>
    <row r="393" ht="16.5" customHeight="1" s="220">
      <c r="B393" s="216" t="n"/>
      <c r="C393" s="216" t="n"/>
      <c r="D393" s="216" t="n"/>
    </row>
    <row r="394" ht="16.5" customHeight="1" s="220">
      <c r="B394" s="216" t="n"/>
      <c r="C394" s="216" t="n"/>
      <c r="D394" s="216" t="n"/>
    </row>
    <row r="395" ht="16.5" customHeight="1" s="220">
      <c r="B395" s="216" t="n"/>
      <c r="C395" s="216" t="n"/>
      <c r="D395" s="216" t="n"/>
    </row>
    <row r="396" ht="16.5" customHeight="1" s="220">
      <c r="B396" s="216" t="n"/>
      <c r="C396" s="216" t="n"/>
      <c r="D396" s="216" t="n"/>
    </row>
    <row r="397" ht="16.5" customHeight="1" s="220">
      <c r="B397" s="216" t="n"/>
      <c r="C397" s="216" t="n"/>
      <c r="D397" s="216" t="n"/>
    </row>
    <row r="398" ht="16.5" customHeight="1" s="220">
      <c r="B398" s="216" t="n"/>
      <c r="C398" s="216" t="n"/>
      <c r="D398" s="216" t="n"/>
    </row>
    <row r="399" ht="16.5" customHeight="1" s="220">
      <c r="B399" s="216" t="n"/>
      <c r="C399" s="216" t="n"/>
      <c r="D399" s="216" t="n"/>
    </row>
    <row r="400" ht="16.5" customHeight="1" s="220">
      <c r="B400" s="216" t="n"/>
      <c r="C400" s="216" t="n"/>
      <c r="D400" s="216" t="n"/>
    </row>
    <row r="401" ht="16.5" customHeight="1" s="220">
      <c r="B401" s="216" t="n"/>
      <c r="C401" s="216" t="n"/>
      <c r="D401" s="216" t="n"/>
    </row>
    <row r="402" ht="16.5" customHeight="1" s="220">
      <c r="B402" s="216" t="n"/>
      <c r="C402" s="216" t="n"/>
      <c r="D402" s="216" t="n"/>
    </row>
    <row r="403" ht="16.5" customHeight="1" s="220">
      <c r="B403" s="216" t="n"/>
      <c r="C403" s="216" t="n"/>
      <c r="D403" s="216" t="n"/>
    </row>
    <row r="404" ht="16.5" customHeight="1" s="220">
      <c r="B404" s="216" t="n"/>
      <c r="C404" s="216" t="n"/>
      <c r="D404" s="216" t="n"/>
    </row>
    <row r="405" ht="16.5" customHeight="1" s="220">
      <c r="B405" s="216" t="n"/>
      <c r="C405" s="216" t="n"/>
      <c r="D405" s="216" t="n"/>
    </row>
    <row r="406" ht="16.5" customHeight="1" s="220">
      <c r="B406" s="216" t="n"/>
      <c r="C406" s="216" t="n"/>
      <c r="D406" s="216" t="n"/>
    </row>
    <row r="407" ht="16.5" customHeight="1" s="220">
      <c r="B407" s="216" t="n"/>
      <c r="C407" s="216" t="n"/>
      <c r="D407" s="216" t="n"/>
    </row>
    <row r="408" ht="16.5" customHeight="1" s="220">
      <c r="B408" s="216" t="n"/>
      <c r="C408" s="216" t="n"/>
      <c r="D408" s="216" t="n"/>
    </row>
    <row r="409" ht="16.5" customHeight="1" s="220">
      <c r="B409" s="216" t="n"/>
      <c r="C409" s="216" t="n"/>
      <c r="D409" s="216" t="n"/>
    </row>
    <row r="410" ht="16.5" customHeight="1" s="220">
      <c r="B410" s="216" t="n"/>
      <c r="C410" s="216" t="n"/>
      <c r="D410" s="216" t="n"/>
    </row>
    <row r="411" ht="16.5" customHeight="1" s="220">
      <c r="B411" s="216" t="n"/>
      <c r="C411" s="216" t="n"/>
      <c r="D411" s="216" t="n"/>
    </row>
    <row r="412" ht="16.5" customHeight="1" s="220">
      <c r="B412" s="216" t="n"/>
      <c r="C412" s="216" t="n"/>
      <c r="D412" s="216" t="n"/>
    </row>
    <row r="413" ht="16.5" customHeight="1" s="220">
      <c r="B413" s="216" t="n"/>
      <c r="C413" s="216" t="n"/>
      <c r="D413" s="216" t="n"/>
    </row>
    <row r="414" ht="16.5" customHeight="1" s="220">
      <c r="B414" s="216" t="n"/>
      <c r="C414" s="216" t="n"/>
      <c r="D414" s="216" t="n"/>
    </row>
    <row r="415" ht="16.5" customHeight="1" s="220">
      <c r="B415" s="216" t="n"/>
      <c r="C415" s="216" t="n"/>
      <c r="D415" s="216" t="n"/>
    </row>
    <row r="416" ht="16.5" customHeight="1" s="220">
      <c r="B416" s="216" t="n"/>
      <c r="C416" s="216" t="n"/>
      <c r="D416" s="216" t="n"/>
    </row>
    <row r="417" ht="16.5" customHeight="1" s="220">
      <c r="B417" s="216" t="n"/>
      <c r="C417" s="216" t="n"/>
      <c r="D417" s="216" t="n"/>
    </row>
    <row r="418" ht="16.5" customHeight="1" s="220">
      <c r="B418" s="216" t="n"/>
      <c r="C418" s="216" t="n"/>
      <c r="D418" s="216" t="n"/>
    </row>
    <row r="419" ht="16.5" customHeight="1" s="220">
      <c r="B419" s="216" t="n"/>
      <c r="C419" s="216" t="n"/>
      <c r="D419" s="216" t="n"/>
    </row>
    <row r="420" ht="16.5" customHeight="1" s="220">
      <c r="B420" s="216" t="n"/>
      <c r="C420" s="216" t="n"/>
      <c r="D420" s="216" t="n"/>
    </row>
    <row r="421" ht="16.5" customHeight="1" s="220">
      <c r="B421" s="216" t="n"/>
      <c r="C421" s="216" t="n"/>
      <c r="D421" s="216" t="n"/>
    </row>
    <row r="422" ht="16.5" customHeight="1" s="220">
      <c r="B422" s="216" t="n"/>
      <c r="C422" s="216" t="n"/>
      <c r="D422" s="216" t="n"/>
    </row>
    <row r="423" ht="16.5" customHeight="1" s="220">
      <c r="B423" s="216" t="n"/>
      <c r="C423" s="216" t="n"/>
      <c r="D423" s="216" t="n"/>
    </row>
    <row r="424" ht="16.5" customHeight="1" s="220">
      <c r="B424" s="216" t="n"/>
      <c r="C424" s="216" t="n"/>
      <c r="D424" s="216" t="n"/>
    </row>
    <row r="425" ht="16.5" customHeight="1" s="220">
      <c r="B425" s="216" t="n"/>
      <c r="C425" s="216" t="n"/>
      <c r="D425" s="216" t="n"/>
    </row>
    <row r="426" ht="16.5" customHeight="1" s="220">
      <c r="B426" s="216" t="n"/>
      <c r="C426" s="216" t="n"/>
      <c r="D426" s="216" t="n"/>
    </row>
    <row r="427" ht="16.5" customHeight="1" s="220">
      <c r="B427" s="216" t="n"/>
      <c r="C427" s="216" t="n"/>
      <c r="D427" s="216" t="n"/>
    </row>
    <row r="428" ht="16.5" customHeight="1" s="220">
      <c r="B428" s="216" t="n"/>
      <c r="C428" s="216" t="n"/>
      <c r="D428" s="216" t="n"/>
    </row>
    <row r="429" ht="16.5" customHeight="1" s="220">
      <c r="B429" s="216" t="n"/>
      <c r="C429" s="216" t="n"/>
      <c r="D429" s="216" t="n"/>
    </row>
    <row r="430" ht="16.5" customHeight="1" s="220">
      <c r="B430" s="216" t="n"/>
      <c r="C430" s="216" t="n"/>
      <c r="D430" s="216" t="n"/>
    </row>
    <row r="431" ht="16.5" customHeight="1" s="220">
      <c r="B431" s="216" t="n"/>
      <c r="C431" s="216" t="n"/>
      <c r="D431" s="216" t="n"/>
    </row>
    <row r="432" ht="16.5" customHeight="1" s="220">
      <c r="B432" s="216" t="n"/>
      <c r="C432" s="216" t="n"/>
      <c r="D432" s="216" t="n"/>
    </row>
    <row r="433" ht="16.5" customHeight="1" s="220">
      <c r="B433" s="216" t="n"/>
      <c r="C433" s="216" t="n"/>
      <c r="D433" s="216" t="n"/>
    </row>
    <row r="434" ht="16.5" customHeight="1" s="220">
      <c r="B434" s="216" t="n"/>
      <c r="C434" s="216" t="n"/>
      <c r="D434" s="216" t="n"/>
    </row>
    <row r="435" ht="16.5" customHeight="1" s="220">
      <c r="B435" s="216" t="n"/>
      <c r="C435" s="216" t="n"/>
      <c r="D435" s="216" t="n"/>
    </row>
    <row r="436" ht="16.5" customHeight="1" s="220">
      <c r="B436" s="216" t="n"/>
      <c r="C436" s="216" t="n"/>
      <c r="D436" s="216" t="n"/>
    </row>
    <row r="437" ht="16.5" customHeight="1" s="220">
      <c r="B437" s="216" t="n"/>
      <c r="C437" s="216" t="n"/>
      <c r="D437" s="216" t="n"/>
    </row>
    <row r="438" ht="16.5" customHeight="1" s="220">
      <c r="B438" s="216" t="n"/>
      <c r="C438" s="216" t="n"/>
      <c r="D438" s="216" t="n"/>
    </row>
    <row r="439" ht="16.5" customHeight="1" s="220">
      <c r="B439" s="216" t="n"/>
      <c r="C439" s="216" t="n"/>
      <c r="D439" s="216" t="n"/>
    </row>
    <row r="440" ht="16.5" customHeight="1" s="220">
      <c r="B440" s="216" t="n"/>
      <c r="C440" s="216" t="n"/>
      <c r="D440" s="216" t="n"/>
    </row>
    <row r="441" ht="16.5" customHeight="1" s="220">
      <c r="B441" s="216" t="n"/>
      <c r="C441" s="216" t="n"/>
      <c r="D441" s="216" t="n"/>
    </row>
    <row r="442" ht="16.5" customHeight="1" s="220">
      <c r="B442" s="216" t="n"/>
      <c r="C442" s="216" t="n"/>
      <c r="D442" s="216" t="n"/>
    </row>
    <row r="443" ht="16.5" customHeight="1" s="220">
      <c r="B443" s="216" t="n"/>
      <c r="C443" s="216" t="n"/>
      <c r="D443" s="216" t="n"/>
    </row>
    <row r="444" ht="16.5" customHeight="1" s="220">
      <c r="B444" s="216" t="n"/>
      <c r="C444" s="216" t="n"/>
      <c r="D444" s="216" t="n"/>
    </row>
    <row r="445" ht="16.5" customHeight="1" s="220">
      <c r="B445" s="216" t="n"/>
      <c r="C445" s="216" t="n"/>
      <c r="D445" s="216" t="n"/>
    </row>
    <row r="446" ht="16.5" customHeight="1" s="220">
      <c r="B446" s="216" t="n"/>
      <c r="C446" s="216" t="n"/>
      <c r="D446" s="216" t="n"/>
    </row>
    <row r="447" ht="16.5" customHeight="1" s="220">
      <c r="B447" s="216" t="n"/>
      <c r="C447" s="216" t="n"/>
      <c r="D447" s="216" t="n"/>
    </row>
    <row r="448" ht="16.5" customHeight="1" s="220">
      <c r="B448" s="216" t="n"/>
      <c r="C448" s="216" t="n"/>
      <c r="D448" s="216" t="n"/>
    </row>
    <row r="449" ht="16.5" customHeight="1" s="220">
      <c r="B449" s="216" t="n"/>
      <c r="C449" s="216" t="n"/>
      <c r="D449" s="216" t="n"/>
    </row>
    <row r="450" ht="16.5" customHeight="1" s="220">
      <c r="B450" s="216" t="n"/>
      <c r="C450" s="216" t="n"/>
      <c r="D450" s="216" t="n"/>
    </row>
    <row r="451" ht="16.5" customHeight="1" s="220">
      <c r="B451" s="216" t="n"/>
      <c r="C451" s="216" t="n"/>
      <c r="D451" s="216" t="n"/>
    </row>
    <row r="452" ht="16.5" customHeight="1" s="220">
      <c r="B452" s="216" t="n"/>
      <c r="C452" s="216" t="n"/>
      <c r="D452" s="216" t="n"/>
    </row>
    <row r="453" ht="16.5" customHeight="1" s="220">
      <c r="B453" s="216" t="n"/>
      <c r="C453" s="216" t="n"/>
      <c r="D453" s="216" t="n"/>
    </row>
    <row r="454" ht="16.5" customHeight="1" s="220">
      <c r="B454" s="216" t="n"/>
      <c r="C454" s="216" t="n"/>
      <c r="D454" s="216" t="n"/>
    </row>
    <row r="455" ht="16.5" customHeight="1" s="220">
      <c r="B455" s="216" t="n"/>
      <c r="C455" s="216" t="n"/>
      <c r="D455" s="216" t="n"/>
    </row>
    <row r="456" ht="16.5" customHeight="1" s="220">
      <c r="B456" s="216" t="n"/>
      <c r="C456" s="216" t="n"/>
      <c r="D456" s="216" t="n"/>
    </row>
    <row r="457" ht="16.5" customHeight="1" s="220">
      <c r="B457" s="216" t="n"/>
      <c r="C457" s="216" t="n"/>
      <c r="D457" s="216" t="n"/>
    </row>
    <row r="458" ht="16.5" customHeight="1" s="220">
      <c r="B458" s="216" t="n"/>
      <c r="C458" s="216" t="n"/>
      <c r="D458" s="216" t="n"/>
    </row>
    <row r="459" ht="16.5" customHeight="1" s="220">
      <c r="B459" s="216" t="n"/>
      <c r="C459" s="216" t="n"/>
      <c r="D459" s="216" t="n"/>
    </row>
    <row r="460" ht="16.5" customHeight="1" s="220">
      <c r="B460" s="216" t="n"/>
      <c r="C460" s="216" t="n"/>
      <c r="D460" s="216" t="n"/>
    </row>
    <row r="461" ht="16.5" customHeight="1" s="220">
      <c r="B461" s="216" t="n"/>
      <c r="C461" s="216" t="n"/>
      <c r="D461" s="216" t="n"/>
    </row>
    <row r="462" ht="16.5" customHeight="1" s="220">
      <c r="B462" s="216" t="n"/>
      <c r="C462" s="216" t="n"/>
      <c r="D462" s="216" t="n"/>
    </row>
    <row r="463" ht="16.5" customHeight="1" s="220">
      <c r="B463" s="216" t="n"/>
      <c r="C463" s="216" t="n"/>
      <c r="D463" s="216" t="n"/>
    </row>
    <row r="464" ht="16.5" customHeight="1" s="220">
      <c r="B464" s="216" t="n"/>
      <c r="C464" s="216" t="n"/>
      <c r="D464" s="216" t="n"/>
    </row>
    <row r="465" ht="16.5" customHeight="1" s="220">
      <c r="B465" s="216" t="n"/>
      <c r="C465" s="216" t="n"/>
      <c r="D465" s="216" t="n"/>
    </row>
    <row r="466" ht="16.5" customHeight="1" s="220">
      <c r="B466" s="216" t="n"/>
      <c r="C466" s="216" t="n"/>
      <c r="D466" s="216" t="n"/>
    </row>
    <row r="467" ht="16.5" customHeight="1" s="220">
      <c r="B467" s="216" t="n"/>
      <c r="C467" s="216" t="n"/>
      <c r="D467" s="216" t="n"/>
    </row>
    <row r="468" ht="16.5" customHeight="1" s="220">
      <c r="B468" s="216" t="n"/>
      <c r="C468" s="216" t="n"/>
      <c r="D468" s="216" t="n"/>
    </row>
    <row r="469" ht="16.5" customHeight="1" s="220">
      <c r="B469" s="216" t="n"/>
      <c r="C469" s="216" t="n"/>
      <c r="D469" s="216" t="n"/>
    </row>
    <row r="470" ht="16.5" customHeight="1" s="220">
      <c r="B470" s="216" t="n"/>
      <c r="C470" s="216" t="n"/>
      <c r="D470" s="216" t="n"/>
    </row>
    <row r="471" ht="16.5" customHeight="1" s="220">
      <c r="B471" s="216" t="n"/>
      <c r="C471" s="216" t="n"/>
      <c r="D471" s="216" t="n"/>
    </row>
    <row r="472" ht="16.5" customHeight="1" s="220">
      <c r="B472" s="216" t="n"/>
      <c r="C472" s="216" t="n"/>
      <c r="D472" s="216" t="n"/>
    </row>
    <row r="473" ht="16.5" customHeight="1" s="220">
      <c r="B473" s="216" t="n"/>
      <c r="C473" s="216" t="n"/>
      <c r="D473" s="216" t="n"/>
    </row>
    <row r="474" ht="16.5" customHeight="1" s="220">
      <c r="B474" s="216" t="n"/>
      <c r="C474" s="216" t="n"/>
      <c r="D474" s="216" t="n"/>
    </row>
    <row r="475" ht="16.5" customHeight="1" s="220">
      <c r="B475" s="216" t="n"/>
      <c r="C475" s="216" t="n"/>
      <c r="D475" s="216" t="n"/>
    </row>
    <row r="476" ht="16.5" customHeight="1" s="220">
      <c r="B476" s="216" t="n"/>
      <c r="C476" s="216" t="n"/>
      <c r="D476" s="216" t="n"/>
    </row>
    <row r="477" ht="16.5" customHeight="1" s="220">
      <c r="B477" s="216" t="n"/>
      <c r="C477" s="216" t="n"/>
      <c r="D477" s="216" t="n"/>
    </row>
    <row r="478" ht="16.5" customHeight="1" s="220">
      <c r="B478" s="216" t="n"/>
      <c r="C478" s="216" t="n"/>
      <c r="D478" s="216" t="n"/>
    </row>
    <row r="479" ht="16.5" customHeight="1" s="220">
      <c r="B479" s="216" t="n"/>
      <c r="C479" s="216" t="n"/>
      <c r="D479" s="216" t="n"/>
    </row>
    <row r="480" ht="16.5" customHeight="1" s="220">
      <c r="B480" s="216" t="n"/>
      <c r="C480" s="216" t="n"/>
      <c r="D480" s="216" t="n"/>
    </row>
    <row r="481" ht="16.5" customHeight="1" s="220">
      <c r="B481" s="216" t="n"/>
      <c r="C481" s="216" t="n"/>
      <c r="D481" s="216" t="n"/>
    </row>
    <row r="482" ht="16.5" customHeight="1" s="220">
      <c r="B482" s="216" t="n"/>
      <c r="C482" s="216" t="n"/>
      <c r="D482" s="216" t="n"/>
    </row>
    <row r="483" ht="16.5" customHeight="1" s="220">
      <c r="B483" s="216" t="n"/>
      <c r="C483" s="216" t="n"/>
      <c r="D483" s="216" t="n"/>
    </row>
    <row r="484" ht="16.5" customHeight="1" s="220">
      <c r="B484" s="216" t="n"/>
      <c r="C484" s="216" t="n"/>
      <c r="D484" s="216" t="n"/>
    </row>
    <row r="485" ht="16.5" customHeight="1" s="220">
      <c r="B485" s="216" t="n"/>
      <c r="C485" s="216" t="n"/>
      <c r="D485" s="216" t="n"/>
    </row>
    <row r="486" ht="16.5" customHeight="1" s="220">
      <c r="B486" s="216" t="n"/>
      <c r="C486" s="216" t="n"/>
      <c r="D486" s="216" t="n"/>
    </row>
    <row r="487" ht="16.5" customHeight="1" s="220">
      <c r="B487" s="216" t="n"/>
      <c r="C487" s="216" t="n"/>
      <c r="D487" s="216" t="n"/>
    </row>
    <row r="488" ht="16.5" customHeight="1" s="220">
      <c r="B488" s="216" t="n"/>
      <c r="C488" s="216" t="n"/>
      <c r="D488" s="216" t="n"/>
    </row>
    <row r="489" ht="16.5" customHeight="1" s="220">
      <c r="B489" s="216" t="n"/>
      <c r="C489" s="216" t="n"/>
      <c r="D489" s="216" t="n"/>
    </row>
    <row r="490" ht="16.5" customHeight="1" s="220">
      <c r="B490" s="216" t="n"/>
      <c r="C490" s="216" t="n"/>
      <c r="D490" s="216" t="n"/>
    </row>
    <row r="491" ht="16.5" customHeight="1" s="220">
      <c r="B491" s="216" t="n"/>
      <c r="C491" s="216" t="n"/>
      <c r="D491" s="216" t="n"/>
    </row>
    <row r="492" ht="16.5" customHeight="1" s="220">
      <c r="B492" s="216" t="n"/>
      <c r="C492" s="216" t="n"/>
      <c r="D492" s="216" t="n"/>
    </row>
    <row r="493" ht="16.5" customHeight="1" s="220">
      <c r="B493" s="216" t="n"/>
      <c r="C493" s="216" t="n"/>
      <c r="D493" s="216" t="n"/>
    </row>
    <row r="494" ht="16.5" customHeight="1" s="220">
      <c r="B494" s="216" t="n"/>
      <c r="C494" s="216" t="n"/>
      <c r="D494" s="216" t="n"/>
    </row>
    <row r="495" ht="16.5" customHeight="1" s="220">
      <c r="B495" s="216" t="n"/>
      <c r="C495" s="216" t="n"/>
      <c r="D495" s="216" t="n"/>
    </row>
    <row r="496" ht="16.5" customHeight="1" s="220">
      <c r="B496" s="216" t="n"/>
      <c r="C496" s="216" t="n"/>
      <c r="D496" s="216" t="n"/>
    </row>
    <row r="497" ht="16.5" customHeight="1" s="220">
      <c r="B497" s="216" t="n"/>
      <c r="C497" s="216" t="n"/>
      <c r="D497" s="216" t="n"/>
    </row>
    <row r="498" ht="16.5" customHeight="1" s="220">
      <c r="B498" s="216" t="n"/>
      <c r="C498" s="216" t="n"/>
      <c r="D498" s="216" t="n"/>
    </row>
    <row r="499" ht="16.5" customHeight="1" s="220">
      <c r="B499" s="216" t="n"/>
      <c r="C499" s="216" t="n"/>
      <c r="D499" s="216" t="n"/>
    </row>
    <row r="500" ht="16.5" customHeight="1" s="220">
      <c r="B500" s="216" t="n"/>
      <c r="C500" s="216" t="n"/>
      <c r="D500" s="216" t="n"/>
    </row>
    <row r="501" ht="16.5" customHeight="1" s="220">
      <c r="B501" s="216" t="n"/>
      <c r="C501" s="216" t="n"/>
      <c r="D501" s="216" t="n"/>
    </row>
    <row r="502" ht="16.5" customHeight="1" s="220">
      <c r="B502" s="216" t="n"/>
      <c r="C502" s="216" t="n"/>
      <c r="D502" s="216" t="n"/>
    </row>
    <row r="503" ht="16.5" customHeight="1" s="220">
      <c r="B503" s="216" t="n"/>
      <c r="C503" s="216" t="n"/>
      <c r="D503" s="216" t="n"/>
    </row>
    <row r="504" ht="16.5" customHeight="1" s="220">
      <c r="B504" s="216" t="n"/>
      <c r="C504" s="216" t="n"/>
      <c r="D504" s="216" t="n"/>
    </row>
    <row r="505" ht="16.5" customHeight="1" s="220">
      <c r="B505" s="216" t="n"/>
      <c r="C505" s="216" t="n"/>
      <c r="D505" s="216" t="n"/>
    </row>
    <row r="506" ht="16.5" customHeight="1" s="220">
      <c r="B506" s="216" t="n"/>
      <c r="C506" s="216" t="n"/>
      <c r="D506" s="216" t="n"/>
    </row>
    <row r="507" ht="16.5" customHeight="1" s="220">
      <c r="B507" s="216" t="n"/>
      <c r="C507" s="216" t="n"/>
      <c r="D507" s="216" t="n"/>
    </row>
    <row r="508" ht="16.5" customHeight="1" s="220">
      <c r="B508" s="216" t="n"/>
      <c r="C508" s="216" t="n"/>
      <c r="D508" s="216" t="n"/>
    </row>
    <row r="509" ht="16.5" customHeight="1" s="220">
      <c r="B509" s="216" t="n"/>
      <c r="C509" s="216" t="n"/>
      <c r="D509" s="216" t="n"/>
    </row>
    <row r="510" ht="16.5" customHeight="1" s="220">
      <c r="B510" s="216" t="n"/>
      <c r="C510" s="216" t="n"/>
      <c r="D510" s="216" t="n"/>
    </row>
    <row r="511" ht="16.5" customHeight="1" s="220">
      <c r="B511" s="216" t="n"/>
      <c r="C511" s="216" t="n"/>
      <c r="D511" s="216" t="n"/>
    </row>
    <row r="512" ht="16.5" customHeight="1" s="220">
      <c r="B512" s="216" t="n"/>
      <c r="C512" s="216" t="n"/>
      <c r="D512" s="216" t="n"/>
    </row>
    <row r="513" ht="16.5" customHeight="1" s="220">
      <c r="B513" s="216" t="n"/>
      <c r="C513" s="216" t="n"/>
      <c r="D513" s="216" t="n"/>
    </row>
    <row r="514" ht="16.5" customHeight="1" s="220">
      <c r="B514" s="216" t="n"/>
      <c r="C514" s="216" t="n"/>
      <c r="D514" s="216" t="n"/>
    </row>
    <row r="515" ht="16.5" customHeight="1" s="220">
      <c r="B515" s="216" t="n"/>
      <c r="C515" s="216" t="n"/>
      <c r="D515" s="216" t="n"/>
    </row>
    <row r="516" ht="16.5" customHeight="1" s="220">
      <c r="B516" s="216" t="n"/>
      <c r="C516" s="216" t="n"/>
      <c r="D516" s="216" t="n"/>
    </row>
    <row r="517" ht="16.5" customHeight="1" s="220">
      <c r="B517" s="216" t="n"/>
      <c r="C517" s="216" t="n"/>
      <c r="D517" s="216" t="n"/>
    </row>
    <row r="518" ht="16.5" customHeight="1" s="220">
      <c r="B518" s="216" t="n"/>
      <c r="C518" s="216" t="n"/>
      <c r="D518" s="216" t="n"/>
    </row>
    <row r="519" ht="16.5" customHeight="1" s="220">
      <c r="B519" s="216" t="n"/>
      <c r="C519" s="216" t="n"/>
      <c r="D519" s="216" t="n"/>
    </row>
    <row r="520" ht="16.5" customHeight="1" s="220">
      <c r="B520" s="216" t="n"/>
      <c r="C520" s="216" t="n"/>
      <c r="D520" s="216" t="n"/>
    </row>
    <row r="521" ht="16.5" customHeight="1" s="220">
      <c r="B521" s="216" t="n"/>
      <c r="C521" s="216" t="n"/>
      <c r="D521" s="216" t="n"/>
    </row>
    <row r="522" ht="16.5" customHeight="1" s="220">
      <c r="B522" s="216" t="n"/>
      <c r="C522" s="216" t="n"/>
      <c r="D522" s="216" t="n"/>
    </row>
    <row r="523" ht="16.5" customHeight="1" s="220">
      <c r="B523" s="216" t="n"/>
      <c r="C523" s="216" t="n"/>
      <c r="D523" s="216" t="n"/>
    </row>
    <row r="524" ht="16.5" customHeight="1" s="220">
      <c r="B524" s="216" t="n"/>
      <c r="C524" s="216" t="n"/>
      <c r="D524" s="216" t="n"/>
    </row>
    <row r="525" ht="16.5" customHeight="1" s="220">
      <c r="B525" s="216" t="n"/>
      <c r="C525" s="216" t="n"/>
      <c r="D525" s="216" t="n"/>
    </row>
    <row r="526" ht="16.5" customHeight="1" s="220">
      <c r="B526" s="216" t="n"/>
      <c r="C526" s="216" t="n"/>
      <c r="D526" s="216" t="n"/>
    </row>
    <row r="527" ht="16.5" customHeight="1" s="220">
      <c r="B527" s="216" t="n"/>
      <c r="C527" s="216" t="n"/>
      <c r="D527" s="216" t="n"/>
    </row>
    <row r="528" ht="16.5" customHeight="1" s="220">
      <c r="B528" s="216" t="n"/>
      <c r="C528" s="216" t="n"/>
      <c r="D528" s="216" t="n"/>
    </row>
    <row r="529" ht="16.5" customHeight="1" s="220">
      <c r="B529" s="216" t="n"/>
      <c r="C529" s="216" t="n"/>
      <c r="D529" s="216" t="n"/>
    </row>
    <row r="530" ht="16.5" customHeight="1" s="220">
      <c r="B530" s="216" t="n"/>
      <c r="C530" s="216" t="n"/>
      <c r="D530" s="216" t="n"/>
    </row>
    <row r="531" ht="16.5" customHeight="1" s="220">
      <c r="B531" s="216" t="n"/>
      <c r="C531" s="216" t="n"/>
      <c r="D531" s="216" t="n"/>
    </row>
    <row r="532" ht="16.5" customHeight="1" s="220">
      <c r="B532" s="216" t="n"/>
      <c r="C532" s="216" t="n"/>
      <c r="D532" s="216" t="n"/>
    </row>
    <row r="533" ht="16.5" customHeight="1" s="220">
      <c r="B533" s="216" t="n"/>
      <c r="C533" s="216" t="n"/>
      <c r="D533" s="216" t="n"/>
    </row>
    <row r="534" ht="16.5" customHeight="1" s="220">
      <c r="B534" s="216" t="n"/>
      <c r="C534" s="216" t="n"/>
      <c r="D534" s="216" t="n"/>
    </row>
    <row r="535" ht="16.5" customHeight="1" s="220">
      <c r="B535" s="216" t="n"/>
      <c r="C535" s="216" t="n"/>
      <c r="D535" s="216" t="n"/>
    </row>
    <row r="536" ht="16.5" customHeight="1" s="220">
      <c r="B536" s="216" t="n"/>
      <c r="C536" s="216" t="n"/>
      <c r="D536" s="216" t="n"/>
    </row>
    <row r="537" ht="16.5" customHeight="1" s="220">
      <c r="B537" s="216" t="n"/>
      <c r="C537" s="216" t="n"/>
      <c r="D537" s="216" t="n"/>
    </row>
    <row r="538" ht="16.5" customHeight="1" s="220">
      <c r="B538" s="216" t="n"/>
      <c r="C538" s="216" t="n"/>
      <c r="D538" s="216" t="n"/>
    </row>
    <row r="539" ht="16.5" customHeight="1" s="220">
      <c r="B539" s="216" t="n"/>
      <c r="C539" s="216" t="n"/>
      <c r="D539" s="216" t="n"/>
    </row>
    <row r="540" ht="16.5" customHeight="1" s="220">
      <c r="B540" s="216" t="n"/>
      <c r="C540" s="216" t="n"/>
      <c r="D540" s="216" t="n"/>
    </row>
    <row r="541" ht="16.5" customHeight="1" s="220">
      <c r="B541" s="216" t="n"/>
      <c r="C541" s="216" t="n"/>
      <c r="D541" s="216" t="n"/>
    </row>
    <row r="542" ht="16.5" customHeight="1" s="220">
      <c r="B542" s="216" t="n"/>
      <c r="C542" s="216" t="n"/>
      <c r="D542" s="216" t="n"/>
    </row>
    <row r="543" ht="16.5" customHeight="1" s="220">
      <c r="B543" s="216" t="n"/>
      <c r="C543" s="216" t="n"/>
      <c r="D543" s="216" t="n"/>
    </row>
    <row r="544" ht="16.5" customHeight="1" s="220">
      <c r="B544" s="216" t="n"/>
      <c r="C544" s="216" t="n"/>
      <c r="D544" s="216" t="n"/>
    </row>
    <row r="545" ht="16.5" customHeight="1" s="220">
      <c r="B545" s="216" t="n"/>
      <c r="C545" s="216" t="n"/>
      <c r="D545" s="216" t="n"/>
    </row>
    <row r="546" ht="16.5" customHeight="1" s="220">
      <c r="B546" s="216" t="n"/>
      <c r="C546" s="216" t="n"/>
      <c r="D546" s="216" t="n"/>
    </row>
    <row r="547" ht="16.5" customHeight="1" s="220">
      <c r="B547" s="216" t="n"/>
      <c r="C547" s="216" t="n"/>
      <c r="D547" s="216" t="n"/>
    </row>
    <row r="548" ht="16.5" customHeight="1" s="220">
      <c r="B548" s="216" t="n"/>
      <c r="C548" s="216" t="n"/>
      <c r="D548" s="216" t="n"/>
    </row>
    <row r="549" ht="16.5" customHeight="1" s="220">
      <c r="B549" s="216" t="n"/>
      <c r="C549" s="216" t="n"/>
      <c r="D549" s="216" t="n"/>
    </row>
    <row r="550" ht="16.5" customHeight="1" s="220">
      <c r="B550" s="216" t="n"/>
      <c r="C550" s="216" t="n"/>
      <c r="D550" s="216" t="n"/>
    </row>
    <row r="551" ht="16.5" customHeight="1" s="220">
      <c r="B551" s="216" t="n"/>
      <c r="C551" s="216" t="n"/>
      <c r="D551" s="216" t="n"/>
    </row>
    <row r="552" ht="16.5" customHeight="1" s="220">
      <c r="B552" s="216" t="n"/>
      <c r="C552" s="216" t="n"/>
      <c r="D552" s="216" t="n"/>
    </row>
    <row r="553" ht="16.5" customHeight="1" s="220">
      <c r="B553" s="216" t="n"/>
      <c r="C553" s="216" t="n"/>
      <c r="D553" s="216" t="n"/>
    </row>
    <row r="554" ht="16.5" customHeight="1" s="220">
      <c r="B554" s="216" t="n"/>
      <c r="C554" s="216" t="n"/>
      <c r="D554" s="216" t="n"/>
    </row>
    <row r="555" ht="16.5" customHeight="1" s="220">
      <c r="B555" s="216" t="n"/>
      <c r="C555" s="216" t="n"/>
      <c r="D555" s="216" t="n"/>
    </row>
    <row r="556" ht="16.5" customHeight="1" s="220">
      <c r="B556" s="216" t="n"/>
      <c r="C556" s="216" t="n"/>
      <c r="D556" s="216" t="n"/>
    </row>
    <row r="557" ht="16.5" customHeight="1" s="220">
      <c r="B557" s="216" t="n"/>
      <c r="C557" s="216" t="n"/>
      <c r="D557" s="216" t="n"/>
    </row>
    <row r="558" ht="16.5" customHeight="1" s="220">
      <c r="B558" s="216" t="n"/>
      <c r="C558" s="216" t="n"/>
      <c r="D558" s="216" t="n"/>
    </row>
    <row r="559" ht="16.5" customHeight="1" s="220">
      <c r="B559" s="216" t="n"/>
      <c r="C559" s="216" t="n"/>
      <c r="D559" s="216" t="n"/>
    </row>
    <row r="560" ht="16.5" customHeight="1" s="220">
      <c r="B560" s="216" t="n"/>
      <c r="C560" s="216" t="n"/>
      <c r="D560" s="216" t="n"/>
    </row>
    <row r="561" ht="16.5" customHeight="1" s="220">
      <c r="B561" s="216" t="n"/>
      <c r="C561" s="216" t="n"/>
      <c r="D561" s="216" t="n"/>
    </row>
    <row r="562" ht="16.5" customHeight="1" s="220">
      <c r="B562" s="216" t="n"/>
      <c r="C562" s="216" t="n"/>
      <c r="D562" s="216" t="n"/>
    </row>
    <row r="563" ht="16.5" customHeight="1" s="220">
      <c r="B563" s="216" t="n"/>
      <c r="C563" s="216" t="n"/>
      <c r="D563" s="216" t="n"/>
    </row>
    <row r="564" ht="16.5" customHeight="1" s="220">
      <c r="B564" s="216" t="n"/>
      <c r="C564" s="216" t="n"/>
      <c r="D564" s="216" t="n"/>
    </row>
    <row r="565" ht="16.5" customHeight="1" s="220">
      <c r="B565" s="216" t="n"/>
      <c r="C565" s="216" t="n"/>
      <c r="D565" s="216" t="n"/>
    </row>
    <row r="566" ht="16.5" customHeight="1" s="220">
      <c r="B566" s="216" t="n"/>
      <c r="C566" s="216" t="n"/>
      <c r="D566" s="216" t="n"/>
    </row>
    <row r="567" ht="16.5" customHeight="1" s="220">
      <c r="B567" s="216" t="n"/>
      <c r="C567" s="216" t="n"/>
      <c r="D567" s="216" t="n"/>
    </row>
    <row r="568" ht="16.5" customHeight="1" s="220">
      <c r="B568" s="216" t="n"/>
      <c r="C568" s="216" t="n"/>
      <c r="D568" s="216" t="n"/>
    </row>
    <row r="569" ht="16.5" customHeight="1" s="220">
      <c r="B569" s="216" t="n"/>
      <c r="C569" s="216" t="n"/>
      <c r="D569" s="216" t="n"/>
    </row>
    <row r="570" ht="16.5" customHeight="1" s="220">
      <c r="B570" s="216" t="n"/>
      <c r="C570" s="216" t="n"/>
      <c r="D570" s="216" t="n"/>
    </row>
    <row r="571" ht="16.5" customHeight="1" s="220">
      <c r="B571" s="216" t="n"/>
      <c r="C571" s="216" t="n"/>
      <c r="D571" s="216" t="n"/>
    </row>
    <row r="572" ht="16.5" customHeight="1" s="220">
      <c r="B572" s="216" t="n"/>
      <c r="C572" s="216" t="n"/>
      <c r="D572" s="216" t="n"/>
    </row>
    <row r="573" ht="16.5" customHeight="1" s="220">
      <c r="B573" s="216" t="n"/>
      <c r="C573" s="216" t="n"/>
      <c r="D573" s="216" t="n"/>
    </row>
    <row r="574" ht="16.5" customHeight="1" s="220">
      <c r="B574" s="216" t="n"/>
      <c r="C574" s="216" t="n"/>
      <c r="D574" s="216" t="n"/>
    </row>
    <row r="575" ht="16.5" customHeight="1" s="220">
      <c r="B575" s="216" t="n"/>
      <c r="C575" s="216" t="n"/>
      <c r="D575" s="216" t="n"/>
    </row>
    <row r="576" ht="16.5" customHeight="1" s="220">
      <c r="B576" s="216" t="n"/>
      <c r="C576" s="216" t="n"/>
      <c r="D576" s="216" t="n"/>
    </row>
    <row r="577" ht="16.5" customHeight="1" s="220">
      <c r="B577" s="216" t="n"/>
      <c r="C577" s="216" t="n"/>
      <c r="D577" s="216" t="n"/>
    </row>
    <row r="578" ht="16.5" customHeight="1" s="220">
      <c r="B578" s="216" t="n"/>
      <c r="C578" s="216" t="n"/>
      <c r="D578" s="216" t="n"/>
    </row>
    <row r="579" ht="16.5" customHeight="1" s="220">
      <c r="B579" s="216" t="n"/>
      <c r="C579" s="216" t="n"/>
      <c r="D579" s="216" t="n"/>
    </row>
    <row r="580" ht="16.5" customHeight="1" s="220">
      <c r="B580" s="216" t="n"/>
      <c r="C580" s="216" t="n"/>
      <c r="D580" s="216" t="n"/>
    </row>
    <row r="581" ht="16.5" customHeight="1" s="220">
      <c r="B581" s="216" t="n"/>
      <c r="C581" s="216" t="n"/>
      <c r="D581" s="216" t="n"/>
    </row>
    <row r="582" ht="16.5" customHeight="1" s="220">
      <c r="B582" s="216" t="n"/>
      <c r="C582" s="216" t="n"/>
      <c r="D582" s="216" t="n"/>
    </row>
    <row r="583" ht="16.5" customHeight="1" s="220">
      <c r="B583" s="216" t="n"/>
      <c r="C583" s="216" t="n"/>
      <c r="D583" s="216" t="n"/>
    </row>
    <row r="584" ht="16.5" customHeight="1" s="220">
      <c r="B584" s="216" t="n"/>
      <c r="C584" s="216" t="n"/>
      <c r="D584" s="216" t="n"/>
    </row>
    <row r="585" ht="16.5" customHeight="1" s="220">
      <c r="B585" s="216" t="n"/>
      <c r="C585" s="216" t="n"/>
      <c r="D585" s="216" t="n"/>
    </row>
    <row r="586" ht="16.5" customHeight="1" s="220">
      <c r="B586" s="216" t="n"/>
      <c r="C586" s="216" t="n"/>
      <c r="D586" s="216" t="n"/>
    </row>
    <row r="587" ht="16.5" customHeight="1" s="220">
      <c r="B587" s="216" t="n"/>
      <c r="C587" s="216" t="n"/>
      <c r="D587" s="216" t="n"/>
    </row>
    <row r="588" ht="16.5" customHeight="1" s="220">
      <c r="B588" s="216" t="n"/>
      <c r="C588" s="216" t="n"/>
      <c r="D588" s="216" t="n"/>
    </row>
    <row r="589" ht="16.5" customHeight="1" s="220">
      <c r="B589" s="216" t="n"/>
      <c r="C589" s="216" t="n"/>
      <c r="D589" s="216" t="n"/>
    </row>
    <row r="590" ht="16.5" customHeight="1" s="220">
      <c r="B590" s="216" t="n"/>
      <c r="C590" s="216" t="n"/>
      <c r="D590" s="216" t="n"/>
    </row>
    <row r="591" ht="16.5" customHeight="1" s="220">
      <c r="B591" s="216" t="n"/>
      <c r="C591" s="216" t="n"/>
      <c r="D591" s="216" t="n"/>
    </row>
    <row r="592" ht="16.5" customHeight="1" s="220">
      <c r="B592" s="216" t="n"/>
      <c r="C592" s="216" t="n"/>
      <c r="D592" s="216" t="n"/>
    </row>
    <row r="593" ht="16.5" customHeight="1" s="220">
      <c r="B593" s="216" t="n"/>
      <c r="C593" s="216" t="n"/>
      <c r="D593" s="216" t="n"/>
    </row>
    <row r="594" ht="16.5" customHeight="1" s="220">
      <c r="B594" s="216" t="n"/>
      <c r="C594" s="216" t="n"/>
      <c r="D594" s="216" t="n"/>
    </row>
    <row r="595" ht="16.5" customHeight="1" s="220">
      <c r="B595" s="216" t="n"/>
      <c r="C595" s="216" t="n"/>
      <c r="D595" s="216" t="n"/>
    </row>
    <row r="596" ht="16.5" customHeight="1" s="220">
      <c r="B596" s="216" t="n"/>
      <c r="C596" s="216" t="n"/>
      <c r="D596" s="216" t="n"/>
    </row>
    <row r="597" ht="16.5" customHeight="1" s="220">
      <c r="B597" s="216" t="n"/>
      <c r="C597" s="216" t="n"/>
      <c r="D597" s="216" t="n"/>
    </row>
    <row r="598" ht="16.5" customHeight="1" s="220">
      <c r="B598" s="216" t="n"/>
      <c r="C598" s="216" t="n"/>
      <c r="D598" s="216" t="n"/>
    </row>
    <row r="599" ht="16.5" customHeight="1" s="220">
      <c r="B599" s="216" t="n"/>
      <c r="C599" s="216" t="n"/>
      <c r="D599" s="216" t="n"/>
    </row>
    <row r="600" ht="16.5" customHeight="1" s="220">
      <c r="B600" s="216" t="n"/>
      <c r="C600" s="216" t="n"/>
      <c r="D600" s="216" t="n"/>
    </row>
    <row r="601" ht="16.5" customHeight="1" s="220">
      <c r="B601" s="216" t="n"/>
      <c r="C601" s="216" t="n"/>
      <c r="D601" s="216" t="n"/>
    </row>
    <row r="602" ht="16.5" customHeight="1" s="220">
      <c r="B602" s="216" t="n"/>
      <c r="C602" s="216" t="n"/>
      <c r="D602" s="216" t="n"/>
    </row>
    <row r="603" ht="16.5" customHeight="1" s="220">
      <c r="B603" s="216" t="n"/>
      <c r="C603" s="216" t="n"/>
      <c r="D603" s="216" t="n"/>
    </row>
    <row r="604" ht="16.5" customHeight="1" s="220">
      <c r="B604" s="216" t="n"/>
      <c r="C604" s="216" t="n"/>
      <c r="D604" s="216" t="n"/>
    </row>
    <row r="605" ht="16.5" customHeight="1" s="220">
      <c r="B605" s="216" t="n"/>
      <c r="C605" s="216" t="n"/>
      <c r="D605" s="216" t="n"/>
    </row>
    <row r="606" ht="16.5" customHeight="1" s="220">
      <c r="B606" s="216" t="n"/>
      <c r="C606" s="216" t="n"/>
      <c r="D606" s="216" t="n"/>
    </row>
    <row r="607" ht="16.5" customHeight="1" s="220">
      <c r="B607" s="216" t="n"/>
      <c r="C607" s="216" t="n"/>
      <c r="D607" s="216" t="n"/>
    </row>
    <row r="608" ht="16.5" customHeight="1" s="220">
      <c r="B608" s="216" t="n"/>
      <c r="C608" s="216" t="n"/>
      <c r="D608" s="216" t="n"/>
    </row>
    <row r="609" ht="16.5" customHeight="1" s="220">
      <c r="B609" s="216" t="n"/>
      <c r="C609" s="216" t="n"/>
      <c r="D609" s="216" t="n"/>
    </row>
    <row r="610" ht="16.5" customHeight="1" s="220">
      <c r="B610" s="216" t="n"/>
      <c r="C610" s="216" t="n"/>
      <c r="D610" s="216" t="n"/>
    </row>
    <row r="611" ht="16.5" customHeight="1" s="220">
      <c r="B611" s="216" t="n"/>
      <c r="C611" s="216" t="n"/>
      <c r="D611" s="216" t="n"/>
    </row>
    <row r="612" ht="16.5" customHeight="1" s="220">
      <c r="B612" s="216" t="n"/>
      <c r="C612" s="216" t="n"/>
      <c r="D612" s="216" t="n"/>
    </row>
    <row r="613" ht="16.5" customHeight="1" s="220">
      <c r="B613" s="216" t="n"/>
      <c r="C613" s="216" t="n"/>
      <c r="D613" s="216" t="n"/>
    </row>
    <row r="614" ht="16.5" customHeight="1" s="220">
      <c r="B614" s="216" t="n"/>
      <c r="C614" s="216" t="n"/>
      <c r="D614" s="216" t="n"/>
    </row>
    <row r="615" ht="16.5" customHeight="1" s="220">
      <c r="B615" s="216" t="n"/>
      <c r="C615" s="216" t="n"/>
      <c r="D615" s="216" t="n"/>
    </row>
    <row r="616" ht="16.5" customHeight="1" s="220">
      <c r="B616" s="216" t="n"/>
      <c r="C616" s="216" t="n"/>
      <c r="D616" s="216" t="n"/>
    </row>
    <row r="617" ht="16.5" customHeight="1" s="220">
      <c r="B617" s="216" t="n"/>
      <c r="C617" s="216" t="n"/>
      <c r="D617" s="216" t="n"/>
    </row>
    <row r="618" ht="16.5" customHeight="1" s="220">
      <c r="B618" s="216" t="n"/>
      <c r="C618" s="216" t="n"/>
      <c r="D618" s="216" t="n"/>
    </row>
    <row r="619" ht="16.5" customHeight="1" s="220">
      <c r="B619" s="216" t="n"/>
      <c r="C619" s="216" t="n"/>
      <c r="D619" s="216" t="n"/>
    </row>
    <row r="620" ht="16.5" customHeight="1" s="220">
      <c r="B620" s="216" t="n"/>
      <c r="C620" s="216" t="n"/>
      <c r="D620" s="216" t="n"/>
    </row>
    <row r="621" ht="16.5" customHeight="1" s="220">
      <c r="B621" s="216" t="n"/>
      <c r="C621" s="216" t="n"/>
      <c r="D621" s="216" t="n"/>
    </row>
    <row r="622" ht="16.5" customHeight="1" s="220">
      <c r="B622" s="216" t="n"/>
      <c r="C622" s="216" t="n"/>
      <c r="D622" s="216" t="n"/>
    </row>
    <row r="623" ht="16.5" customHeight="1" s="220">
      <c r="B623" s="216" t="n"/>
      <c r="C623" s="216" t="n"/>
      <c r="D623" s="216" t="n"/>
    </row>
    <row r="624" ht="16.5" customHeight="1" s="220">
      <c r="B624" s="216" t="n"/>
      <c r="C624" s="216" t="n"/>
      <c r="D624" s="216" t="n"/>
    </row>
    <row r="625" ht="16.5" customHeight="1" s="220">
      <c r="B625" s="216" t="n"/>
      <c r="C625" s="216" t="n"/>
      <c r="D625" s="216" t="n"/>
    </row>
    <row r="626" ht="16.5" customHeight="1" s="220">
      <c r="B626" s="216" t="n"/>
      <c r="C626" s="216" t="n"/>
      <c r="D626" s="216" t="n"/>
    </row>
    <row r="627" ht="16.5" customHeight="1" s="220">
      <c r="B627" s="216" t="n"/>
      <c r="C627" s="216" t="n"/>
      <c r="D627" s="216" t="n"/>
    </row>
    <row r="628" ht="16.5" customHeight="1" s="220">
      <c r="B628" s="216" t="n"/>
      <c r="C628" s="216" t="n"/>
      <c r="D628" s="216" t="n"/>
    </row>
    <row r="629" ht="16.5" customHeight="1" s="220">
      <c r="B629" s="216" t="n"/>
      <c r="C629" s="216" t="n"/>
      <c r="D629" s="216" t="n"/>
    </row>
    <row r="630" ht="16.5" customHeight="1" s="220">
      <c r="B630" s="216" t="n"/>
      <c r="C630" s="216" t="n"/>
      <c r="D630" s="216" t="n"/>
    </row>
    <row r="631" ht="16.5" customHeight="1" s="220">
      <c r="B631" s="216" t="n"/>
      <c r="C631" s="216" t="n"/>
      <c r="D631" s="216" t="n"/>
    </row>
    <row r="632" ht="16.5" customHeight="1" s="220">
      <c r="B632" s="216" t="n"/>
      <c r="C632" s="216" t="n"/>
      <c r="D632" s="216" t="n"/>
    </row>
    <row r="633" ht="16.5" customHeight="1" s="220">
      <c r="B633" s="216" t="n"/>
      <c r="C633" s="216" t="n"/>
      <c r="D633" s="216" t="n"/>
    </row>
    <row r="634" ht="16.5" customHeight="1" s="220">
      <c r="B634" s="216" t="n"/>
      <c r="C634" s="216" t="n"/>
      <c r="D634" s="216" t="n"/>
    </row>
    <row r="635" ht="16.5" customHeight="1" s="220">
      <c r="B635" s="216" t="n"/>
      <c r="C635" s="216" t="n"/>
      <c r="D635" s="216" t="n"/>
    </row>
    <row r="636" ht="16.5" customHeight="1" s="220">
      <c r="B636" s="216" t="n"/>
      <c r="C636" s="216" t="n"/>
      <c r="D636" s="216" t="n"/>
    </row>
    <row r="637" ht="16.5" customHeight="1" s="220">
      <c r="B637" s="216" t="n"/>
      <c r="C637" s="216" t="n"/>
      <c r="D637" s="216" t="n"/>
    </row>
    <row r="638" ht="16.5" customHeight="1" s="220">
      <c r="B638" s="216" t="n"/>
      <c r="C638" s="216" t="n"/>
      <c r="D638" s="216" t="n"/>
    </row>
    <row r="639" ht="16.5" customHeight="1" s="220">
      <c r="B639" s="216" t="n"/>
      <c r="C639" s="216" t="n"/>
      <c r="D639" s="216" t="n"/>
    </row>
    <row r="640" ht="16.5" customHeight="1" s="220">
      <c r="B640" s="216" t="n"/>
      <c r="C640" s="216" t="n"/>
      <c r="D640" s="216" t="n"/>
    </row>
    <row r="641" ht="16.5" customHeight="1" s="220">
      <c r="B641" s="216" t="n"/>
      <c r="C641" s="216" t="n"/>
      <c r="D641" s="216" t="n"/>
    </row>
    <row r="642" ht="16.5" customHeight="1" s="220">
      <c r="B642" s="216" t="n"/>
      <c r="C642" s="216" t="n"/>
      <c r="D642" s="216" t="n"/>
    </row>
    <row r="643" ht="16.5" customHeight="1" s="220">
      <c r="B643" s="216" t="n"/>
      <c r="C643" s="216" t="n"/>
      <c r="D643" s="216" t="n"/>
    </row>
    <row r="644" ht="16.5" customHeight="1" s="220">
      <c r="B644" s="216" t="n"/>
      <c r="C644" s="216" t="n"/>
      <c r="D644" s="216" t="n"/>
    </row>
    <row r="645" ht="16.5" customHeight="1" s="220">
      <c r="B645" s="216" t="n"/>
      <c r="C645" s="216" t="n"/>
      <c r="D645" s="216" t="n"/>
    </row>
    <row r="646" ht="16.5" customHeight="1" s="220">
      <c r="B646" s="216" t="n"/>
      <c r="C646" s="216" t="n"/>
      <c r="D646" s="216" t="n"/>
    </row>
    <row r="647" ht="16.5" customHeight="1" s="220">
      <c r="B647" s="216" t="n"/>
      <c r="C647" s="216" t="n"/>
      <c r="D647" s="216" t="n"/>
    </row>
    <row r="648" ht="16.5" customHeight="1" s="220">
      <c r="B648" s="216" t="n"/>
      <c r="C648" s="216" t="n"/>
      <c r="D648" s="216" t="n"/>
    </row>
    <row r="649" ht="16.5" customHeight="1" s="220">
      <c r="B649" s="216" t="n"/>
      <c r="C649" s="216" t="n"/>
      <c r="D649" s="216" t="n"/>
    </row>
    <row r="650" ht="16.5" customHeight="1" s="220">
      <c r="B650" s="216" t="n"/>
      <c r="C650" s="216" t="n"/>
      <c r="D650" s="216" t="n"/>
    </row>
    <row r="651" ht="16.5" customHeight="1" s="220">
      <c r="B651" s="216" t="n"/>
      <c r="C651" s="216" t="n"/>
      <c r="D651" s="216" t="n"/>
    </row>
    <row r="652" ht="16.5" customHeight="1" s="220">
      <c r="B652" s="216" t="n"/>
      <c r="C652" s="216" t="n"/>
      <c r="D652" s="216" t="n"/>
    </row>
    <row r="653" ht="16.5" customHeight="1" s="220">
      <c r="B653" s="216" t="n"/>
      <c r="C653" s="216" t="n"/>
      <c r="D653" s="216" t="n"/>
    </row>
    <row r="654" ht="16.5" customHeight="1" s="220">
      <c r="B654" s="216" t="n"/>
      <c r="C654" s="216" t="n"/>
      <c r="D654" s="216" t="n"/>
    </row>
    <row r="655" ht="16.5" customHeight="1" s="220">
      <c r="B655" s="216" t="n"/>
      <c r="C655" s="216" t="n"/>
      <c r="D655" s="216" t="n"/>
    </row>
    <row r="656" ht="16.5" customHeight="1" s="220">
      <c r="B656" s="216" t="n"/>
      <c r="C656" s="216" t="n"/>
      <c r="D656" s="216" t="n"/>
    </row>
    <row r="657" ht="16.5" customHeight="1" s="220">
      <c r="B657" s="216" t="n"/>
      <c r="C657" s="216" t="n"/>
      <c r="D657" s="216" t="n"/>
    </row>
    <row r="658" ht="16.5" customHeight="1" s="220">
      <c r="B658" s="216" t="n"/>
      <c r="C658" s="216" t="n"/>
      <c r="D658" s="216" t="n"/>
    </row>
    <row r="659" ht="16.5" customHeight="1" s="220">
      <c r="B659" s="216" t="n"/>
      <c r="C659" s="216" t="n"/>
      <c r="D659" s="216" t="n"/>
    </row>
    <row r="660" ht="16.5" customHeight="1" s="220">
      <c r="B660" s="216" t="n"/>
      <c r="C660" s="216" t="n"/>
      <c r="D660" s="216" t="n"/>
    </row>
    <row r="661" ht="16.5" customHeight="1" s="220">
      <c r="B661" s="216" t="n"/>
      <c r="C661" s="216" t="n"/>
      <c r="D661" s="216" t="n"/>
    </row>
    <row r="662" ht="16.5" customHeight="1" s="220">
      <c r="B662" s="216" t="n"/>
      <c r="C662" s="216" t="n"/>
      <c r="D662" s="216" t="n"/>
    </row>
    <row r="663" ht="16.5" customHeight="1" s="220">
      <c r="B663" s="216" t="n"/>
      <c r="C663" s="216" t="n"/>
      <c r="D663" s="216" t="n"/>
    </row>
    <row r="664" ht="16.5" customHeight="1" s="220">
      <c r="B664" s="216" t="n"/>
      <c r="C664" s="216" t="n"/>
      <c r="D664" s="216" t="n"/>
    </row>
    <row r="665" ht="16.5" customHeight="1" s="220">
      <c r="B665" s="216" t="n"/>
      <c r="C665" s="216" t="n"/>
      <c r="D665" s="216" t="n"/>
    </row>
    <row r="666" ht="16.5" customHeight="1" s="220">
      <c r="B666" s="216" t="n"/>
      <c r="C666" s="216" t="n"/>
      <c r="D666" s="216" t="n"/>
    </row>
    <row r="667" ht="16.5" customHeight="1" s="220">
      <c r="B667" s="216" t="n"/>
      <c r="C667" s="216" t="n"/>
      <c r="D667" s="216" t="n"/>
    </row>
    <row r="668" ht="16.5" customHeight="1" s="220">
      <c r="B668" s="216" t="n"/>
      <c r="C668" s="216" t="n"/>
      <c r="D668" s="216" t="n"/>
    </row>
    <row r="669" ht="16.5" customHeight="1" s="220">
      <c r="B669" s="216" t="n"/>
      <c r="C669" s="216" t="n"/>
      <c r="D669" s="216" t="n"/>
    </row>
    <row r="670" ht="16.5" customHeight="1" s="220">
      <c r="B670" s="216" t="n"/>
      <c r="C670" s="216" t="n"/>
      <c r="D670" s="216" t="n"/>
    </row>
    <row r="671" ht="16.5" customHeight="1" s="220">
      <c r="B671" s="216" t="n"/>
      <c r="C671" s="216" t="n"/>
      <c r="D671" s="216" t="n"/>
    </row>
    <row r="672" ht="16.5" customHeight="1" s="220">
      <c r="B672" s="216" t="n"/>
      <c r="C672" s="216" t="n"/>
      <c r="D672" s="216" t="n"/>
    </row>
    <row r="673" ht="16.5" customHeight="1" s="220">
      <c r="B673" s="216" t="n"/>
      <c r="C673" s="216" t="n"/>
      <c r="D673" s="216" t="n"/>
    </row>
    <row r="674" ht="16.5" customHeight="1" s="220">
      <c r="B674" s="216" t="n"/>
      <c r="C674" s="216" t="n"/>
      <c r="D674" s="216" t="n"/>
    </row>
    <row r="675" ht="16.5" customHeight="1" s="220">
      <c r="B675" s="216" t="n"/>
      <c r="C675" s="216" t="n"/>
      <c r="D675" s="216" t="n"/>
    </row>
    <row r="676" ht="16.5" customHeight="1" s="220">
      <c r="B676" s="216" t="n"/>
      <c r="C676" s="216" t="n"/>
      <c r="D676" s="216" t="n"/>
    </row>
    <row r="677" ht="16.5" customHeight="1" s="220">
      <c r="B677" s="216" t="n"/>
      <c r="C677" s="216" t="n"/>
      <c r="D677" s="216" t="n"/>
    </row>
    <row r="678" ht="16.5" customHeight="1" s="220">
      <c r="B678" s="216" t="n"/>
      <c r="C678" s="216" t="n"/>
      <c r="D678" s="216" t="n"/>
    </row>
    <row r="679" ht="16.5" customHeight="1" s="220">
      <c r="B679" s="216" t="n"/>
      <c r="C679" s="216" t="n"/>
      <c r="D679" s="216" t="n"/>
    </row>
    <row r="680" ht="16.5" customHeight="1" s="220">
      <c r="B680" s="216" t="n"/>
      <c r="C680" s="216" t="n"/>
      <c r="D680" s="216" t="n"/>
    </row>
    <row r="681" ht="16.5" customHeight="1" s="220">
      <c r="B681" s="216" t="n"/>
      <c r="C681" s="216" t="n"/>
      <c r="D681" s="216" t="n"/>
    </row>
    <row r="682" ht="16.5" customHeight="1" s="220">
      <c r="B682" s="216" t="n"/>
      <c r="C682" s="216" t="n"/>
      <c r="D682" s="216" t="n"/>
    </row>
    <row r="683" ht="16.5" customHeight="1" s="220">
      <c r="B683" s="216" t="n"/>
      <c r="C683" s="216" t="n"/>
      <c r="D683" s="216" t="n"/>
    </row>
    <row r="684" ht="16.5" customHeight="1" s="220">
      <c r="B684" s="216" t="n"/>
      <c r="C684" s="216" t="n"/>
      <c r="D684" s="216" t="n"/>
    </row>
    <row r="685" ht="16.5" customHeight="1" s="220">
      <c r="B685" s="216" t="n"/>
      <c r="C685" s="216" t="n"/>
      <c r="D685" s="216" t="n"/>
    </row>
    <row r="686" ht="16.5" customHeight="1" s="220">
      <c r="B686" s="216" t="n"/>
      <c r="C686" s="216" t="n"/>
      <c r="D686" s="216" t="n"/>
    </row>
    <row r="687" ht="16.5" customHeight="1" s="220">
      <c r="B687" s="216" t="n"/>
      <c r="C687" s="216" t="n"/>
      <c r="D687" s="216" t="n"/>
    </row>
    <row r="688" ht="16.5" customHeight="1" s="220">
      <c r="B688" s="216" t="n"/>
      <c r="C688" s="216" t="n"/>
      <c r="D688" s="216" t="n"/>
    </row>
    <row r="689" ht="16.5" customHeight="1" s="220">
      <c r="B689" s="216" t="n"/>
      <c r="C689" s="216" t="n"/>
      <c r="D689" s="216" t="n"/>
    </row>
    <row r="690" ht="16.5" customHeight="1" s="220">
      <c r="B690" s="216" t="n"/>
      <c r="C690" s="216" t="n"/>
      <c r="D690" s="216" t="n"/>
    </row>
    <row r="691" ht="16.5" customHeight="1" s="220">
      <c r="B691" s="216" t="n"/>
      <c r="C691" s="216" t="n"/>
      <c r="D691" s="216" t="n"/>
    </row>
    <row r="692" ht="16.5" customHeight="1" s="220">
      <c r="B692" s="216" t="n"/>
      <c r="C692" s="216" t="n"/>
      <c r="D692" s="216" t="n"/>
    </row>
    <row r="693" ht="16.5" customHeight="1" s="220">
      <c r="B693" s="216" t="n"/>
      <c r="C693" s="216" t="n"/>
      <c r="D693" s="216" t="n"/>
    </row>
    <row r="694" ht="16.5" customHeight="1" s="220">
      <c r="B694" s="216" t="n"/>
      <c r="C694" s="216" t="n"/>
      <c r="D694" s="216" t="n"/>
    </row>
    <row r="695" ht="16.5" customHeight="1" s="220">
      <c r="B695" s="216" t="n"/>
      <c r="C695" s="216" t="n"/>
      <c r="D695" s="216" t="n"/>
    </row>
    <row r="696" ht="16.5" customHeight="1" s="220">
      <c r="B696" s="216" t="n"/>
      <c r="C696" s="216" t="n"/>
      <c r="D696" s="216" t="n"/>
    </row>
    <row r="697" ht="16.5" customHeight="1" s="220">
      <c r="B697" s="216" t="n"/>
      <c r="C697" s="216" t="n"/>
      <c r="D697" s="216" t="n"/>
    </row>
    <row r="698" ht="16.5" customHeight="1" s="220">
      <c r="B698" s="216" t="n"/>
      <c r="C698" s="216" t="n"/>
      <c r="D698" s="216" t="n"/>
    </row>
    <row r="699" ht="16.5" customHeight="1" s="220">
      <c r="B699" s="216" t="n"/>
      <c r="C699" s="216" t="n"/>
      <c r="D699" s="216" t="n"/>
    </row>
    <row r="700" ht="16.5" customHeight="1" s="220">
      <c r="B700" s="216" t="n"/>
      <c r="C700" s="216" t="n"/>
      <c r="D700" s="216" t="n"/>
    </row>
    <row r="701" ht="16.5" customHeight="1" s="220">
      <c r="B701" s="216" t="n"/>
      <c r="C701" s="216" t="n"/>
      <c r="D701" s="216" t="n"/>
    </row>
    <row r="702" ht="16.5" customHeight="1" s="220">
      <c r="B702" s="216" t="n"/>
      <c r="C702" s="216" t="n"/>
      <c r="D702" s="216" t="n"/>
    </row>
    <row r="703" ht="16.5" customHeight="1" s="220">
      <c r="B703" s="216" t="n"/>
      <c r="C703" s="216" t="n"/>
      <c r="D703" s="216" t="n"/>
    </row>
    <row r="704" ht="16.5" customHeight="1" s="220">
      <c r="B704" s="216" t="n"/>
      <c r="C704" s="216" t="n"/>
      <c r="D704" s="216" t="n"/>
    </row>
    <row r="705" ht="16.5" customHeight="1" s="220">
      <c r="B705" s="216" t="n"/>
      <c r="C705" s="216" t="n"/>
      <c r="D705" s="216" t="n"/>
    </row>
    <row r="706" ht="16.5" customHeight="1" s="220">
      <c r="B706" s="216" t="n"/>
      <c r="C706" s="216" t="n"/>
      <c r="D706" s="216" t="n"/>
    </row>
    <row r="707" ht="16.5" customHeight="1" s="220">
      <c r="B707" s="216" t="n"/>
      <c r="C707" s="216" t="n"/>
      <c r="D707" s="216" t="n"/>
    </row>
    <row r="708" ht="16.5" customHeight="1" s="220">
      <c r="B708" s="216" t="n"/>
      <c r="C708" s="216" t="n"/>
      <c r="D708" s="216" t="n"/>
    </row>
    <row r="709" ht="16.5" customHeight="1" s="220">
      <c r="B709" s="216" t="n"/>
      <c r="C709" s="216" t="n"/>
      <c r="D709" s="216" t="n"/>
    </row>
    <row r="710" ht="16.5" customHeight="1" s="220">
      <c r="B710" s="216" t="n"/>
      <c r="C710" s="216" t="n"/>
      <c r="D710" s="216" t="n"/>
    </row>
    <row r="711" ht="16.5" customHeight="1" s="220">
      <c r="B711" s="216" t="n"/>
      <c r="C711" s="216" t="n"/>
      <c r="D711" s="216" t="n"/>
    </row>
    <row r="712" ht="16.5" customHeight="1" s="220">
      <c r="B712" s="216" t="n"/>
      <c r="C712" s="216" t="n"/>
      <c r="D712" s="216" t="n"/>
    </row>
    <row r="713" ht="16.5" customHeight="1" s="220">
      <c r="B713" s="216" t="n"/>
      <c r="C713" s="216" t="n"/>
      <c r="D713" s="216" t="n"/>
    </row>
    <row r="714" ht="16.5" customHeight="1" s="220">
      <c r="B714" s="216" t="n"/>
      <c r="C714" s="216" t="n"/>
      <c r="D714" s="216" t="n"/>
    </row>
    <row r="715" ht="16.5" customHeight="1" s="220">
      <c r="B715" s="216" t="n"/>
      <c r="C715" s="216" t="n"/>
      <c r="D715" s="216" t="n"/>
    </row>
    <row r="716" ht="16.5" customHeight="1" s="220">
      <c r="B716" s="216" t="n"/>
      <c r="C716" s="216" t="n"/>
      <c r="D716" s="216" t="n"/>
    </row>
    <row r="717" ht="16.5" customHeight="1" s="220">
      <c r="B717" s="216" t="n"/>
      <c r="C717" s="216" t="n"/>
      <c r="D717" s="216" t="n"/>
    </row>
    <row r="718" ht="16.5" customHeight="1" s="220">
      <c r="B718" s="216" t="n"/>
      <c r="C718" s="216" t="n"/>
      <c r="D718" s="216" t="n"/>
    </row>
    <row r="719" ht="16.5" customHeight="1" s="220">
      <c r="B719" s="216" t="n"/>
      <c r="C719" s="216" t="n"/>
      <c r="D719" s="216" t="n"/>
    </row>
    <row r="720" ht="16.5" customHeight="1" s="220">
      <c r="B720" s="216" t="n"/>
      <c r="C720" s="216" t="n"/>
      <c r="D720" s="216" t="n"/>
    </row>
    <row r="721" ht="16.5" customHeight="1" s="220">
      <c r="B721" s="216" t="n"/>
      <c r="C721" s="216" t="n"/>
      <c r="D721" s="216" t="n"/>
    </row>
    <row r="722" ht="16.5" customHeight="1" s="220">
      <c r="B722" s="216" t="n"/>
      <c r="C722" s="216" t="n"/>
      <c r="D722" s="216" t="n"/>
    </row>
    <row r="723" ht="16.5" customHeight="1" s="220">
      <c r="B723" s="216" t="n"/>
      <c r="C723" s="216" t="n"/>
      <c r="D723" s="216" t="n"/>
    </row>
    <row r="724" ht="16.5" customHeight="1" s="220">
      <c r="B724" s="216" t="n"/>
      <c r="C724" s="216" t="n"/>
      <c r="D724" s="216" t="n"/>
    </row>
    <row r="725" ht="16.5" customHeight="1" s="220">
      <c r="B725" s="216" t="n"/>
      <c r="C725" s="216" t="n"/>
      <c r="D725" s="216" t="n"/>
    </row>
    <row r="726" ht="16.5" customHeight="1" s="220">
      <c r="B726" s="216" t="n"/>
      <c r="C726" s="216" t="n"/>
      <c r="D726" s="216" t="n"/>
    </row>
    <row r="727" ht="16.5" customHeight="1" s="220">
      <c r="B727" s="216" t="n"/>
      <c r="C727" s="216" t="n"/>
      <c r="D727" s="216" t="n"/>
    </row>
    <row r="728" ht="16.5" customHeight="1" s="220">
      <c r="B728" s="216" t="n"/>
      <c r="C728" s="216" t="n"/>
      <c r="D728" s="216" t="n"/>
    </row>
    <row r="729" ht="16.5" customHeight="1" s="220">
      <c r="B729" s="216" t="n"/>
      <c r="C729" s="216" t="n"/>
      <c r="D729" s="216" t="n"/>
    </row>
    <row r="730" ht="16.5" customHeight="1" s="220">
      <c r="B730" s="216" t="n"/>
      <c r="C730" s="216" t="n"/>
      <c r="D730" s="216" t="n"/>
    </row>
    <row r="731" ht="16.5" customHeight="1" s="220">
      <c r="B731" s="216" t="n"/>
      <c r="C731" s="216" t="n"/>
      <c r="D731" s="216" t="n"/>
    </row>
    <row r="732" ht="16.5" customHeight="1" s="220">
      <c r="B732" s="216" t="n"/>
      <c r="C732" s="216" t="n"/>
      <c r="D732" s="216" t="n"/>
    </row>
    <row r="733" ht="16.5" customHeight="1" s="220">
      <c r="B733" s="216" t="n"/>
      <c r="C733" s="216" t="n"/>
      <c r="D733" s="216" t="n"/>
    </row>
    <row r="734" ht="16.5" customHeight="1" s="220">
      <c r="B734" s="216" t="n"/>
      <c r="C734" s="216" t="n"/>
      <c r="D734" s="216" t="n"/>
    </row>
    <row r="735" ht="16.5" customHeight="1" s="220">
      <c r="B735" s="216" t="n"/>
      <c r="C735" s="216" t="n"/>
      <c r="D735" s="216" t="n"/>
    </row>
    <row r="736" ht="16.5" customHeight="1" s="220">
      <c r="B736" s="216" t="n"/>
      <c r="C736" s="216" t="n"/>
      <c r="D736" s="216" t="n"/>
    </row>
    <row r="737" ht="16.5" customHeight="1" s="220">
      <c r="B737" s="216" t="n"/>
      <c r="C737" s="216" t="n"/>
      <c r="D737" s="216" t="n"/>
    </row>
    <row r="738" ht="16.5" customHeight="1" s="220">
      <c r="B738" s="216" t="n"/>
      <c r="C738" s="216" t="n"/>
      <c r="D738" s="216" t="n"/>
    </row>
    <row r="739" ht="16.5" customHeight="1" s="220">
      <c r="B739" s="216" t="n"/>
      <c r="C739" s="216" t="n"/>
      <c r="D739" s="216" t="n"/>
    </row>
    <row r="740" ht="16.5" customHeight="1" s="220">
      <c r="B740" s="216" t="n"/>
      <c r="C740" s="216" t="n"/>
      <c r="D740" s="216" t="n"/>
    </row>
    <row r="741" ht="16.5" customHeight="1" s="220">
      <c r="B741" s="216" t="n"/>
      <c r="C741" s="216" t="n"/>
      <c r="D741" s="216" t="n"/>
    </row>
    <row r="742" ht="16.5" customHeight="1" s="220">
      <c r="B742" s="216" t="n"/>
      <c r="C742" s="216" t="n"/>
      <c r="D742" s="216" t="n"/>
    </row>
    <row r="743" ht="16.5" customHeight="1" s="220">
      <c r="B743" s="216" t="n"/>
      <c r="C743" s="216" t="n"/>
      <c r="D743" s="216" t="n"/>
    </row>
    <row r="744" ht="16.5" customHeight="1" s="220">
      <c r="B744" s="216" t="n"/>
      <c r="C744" s="216" t="n"/>
      <c r="D744" s="216" t="n"/>
    </row>
    <row r="745" ht="16.5" customHeight="1" s="220">
      <c r="B745" s="216" t="n"/>
      <c r="C745" s="216" t="n"/>
      <c r="D745" s="216" t="n"/>
    </row>
    <row r="746" ht="16.5" customHeight="1" s="220">
      <c r="B746" s="216" t="n"/>
      <c r="C746" s="216" t="n"/>
      <c r="D746" s="216" t="n"/>
    </row>
    <row r="747" ht="16.5" customHeight="1" s="220">
      <c r="B747" s="216" t="n"/>
      <c r="C747" s="216" t="n"/>
      <c r="D747" s="216" t="n"/>
    </row>
    <row r="748" ht="16.5" customHeight="1" s="220">
      <c r="B748" s="216" t="n"/>
      <c r="C748" s="216" t="n"/>
      <c r="D748" s="216" t="n"/>
    </row>
    <row r="749" ht="16.5" customHeight="1" s="220">
      <c r="B749" s="216" t="n"/>
      <c r="C749" s="216" t="n"/>
      <c r="D749" s="216" t="n"/>
    </row>
    <row r="750" ht="16.5" customHeight="1" s="220">
      <c r="B750" s="216" t="n"/>
      <c r="C750" s="216" t="n"/>
      <c r="D750" s="216" t="n"/>
    </row>
    <row r="751" ht="16.5" customHeight="1" s="220">
      <c r="B751" s="216" t="n"/>
      <c r="C751" s="216" t="n"/>
      <c r="D751" s="216" t="n"/>
    </row>
    <row r="752" ht="16.5" customHeight="1" s="220">
      <c r="B752" s="216" t="n"/>
      <c r="C752" s="216" t="n"/>
      <c r="D752" s="216" t="n"/>
    </row>
    <row r="753" ht="16.5" customHeight="1" s="220">
      <c r="B753" s="216" t="n"/>
      <c r="C753" s="216" t="n"/>
      <c r="D753" s="216" t="n"/>
    </row>
    <row r="754" ht="16.5" customHeight="1" s="220">
      <c r="B754" s="216" t="n"/>
      <c r="C754" s="216" t="n"/>
      <c r="D754" s="216" t="n"/>
    </row>
    <row r="755" ht="16.5" customHeight="1" s="220">
      <c r="B755" s="216" t="n"/>
      <c r="C755" s="216" t="n"/>
      <c r="D755" s="216" t="n"/>
    </row>
    <row r="756" ht="16.5" customHeight="1" s="220">
      <c r="B756" s="216" t="n"/>
      <c r="C756" s="216" t="n"/>
      <c r="D756" s="216" t="n"/>
    </row>
    <row r="757" ht="16.5" customHeight="1" s="220">
      <c r="B757" s="216" t="n"/>
      <c r="C757" s="216" t="n"/>
      <c r="D757" s="216" t="n"/>
    </row>
    <row r="758" ht="16.5" customHeight="1" s="220">
      <c r="B758" s="216" t="n"/>
      <c r="C758" s="216" t="n"/>
      <c r="D758" s="216" t="n"/>
    </row>
    <row r="759" ht="16.5" customHeight="1" s="220">
      <c r="B759" s="216" t="n"/>
      <c r="C759" s="216" t="n"/>
      <c r="D759" s="216" t="n"/>
    </row>
    <row r="760" ht="16.5" customHeight="1" s="220">
      <c r="B760" s="216" t="n"/>
      <c r="C760" s="216" t="n"/>
      <c r="D760" s="216" t="n"/>
    </row>
    <row r="761" ht="16.5" customHeight="1" s="220">
      <c r="B761" s="216" t="n"/>
      <c r="C761" s="216" t="n"/>
      <c r="D761" s="216" t="n"/>
    </row>
    <row r="762" ht="16.5" customHeight="1" s="220">
      <c r="B762" s="216" t="n"/>
      <c r="C762" s="216" t="n"/>
      <c r="D762" s="216" t="n"/>
    </row>
    <row r="763" ht="16.5" customHeight="1" s="220">
      <c r="B763" s="216" t="n"/>
      <c r="C763" s="216" t="n"/>
      <c r="D763" s="216" t="n"/>
    </row>
    <row r="764" ht="16.5" customHeight="1" s="220">
      <c r="B764" s="216" t="n"/>
      <c r="C764" s="216" t="n"/>
      <c r="D764" s="216" t="n"/>
    </row>
    <row r="765" ht="16.5" customHeight="1" s="220">
      <c r="B765" s="216" t="n"/>
      <c r="C765" s="216" t="n"/>
      <c r="D765" s="216" t="n"/>
    </row>
    <row r="766" ht="16.5" customHeight="1" s="220">
      <c r="B766" s="216" t="n"/>
      <c r="C766" s="216" t="n"/>
      <c r="D766" s="216" t="n"/>
    </row>
    <row r="767" ht="16.5" customHeight="1" s="220">
      <c r="B767" s="216" t="n"/>
      <c r="C767" s="216" t="n"/>
      <c r="D767" s="216" t="n"/>
    </row>
    <row r="768" ht="16.5" customHeight="1" s="220">
      <c r="B768" s="216" t="n"/>
      <c r="C768" s="216" t="n"/>
      <c r="D768" s="216" t="n"/>
    </row>
    <row r="769" ht="16.5" customHeight="1" s="220">
      <c r="B769" s="216" t="n"/>
      <c r="C769" s="216" t="n"/>
      <c r="D769" s="216" t="n"/>
    </row>
    <row r="770" ht="16.5" customHeight="1" s="220">
      <c r="B770" s="216" t="n"/>
      <c r="C770" s="216" t="n"/>
      <c r="D770" s="216" t="n"/>
    </row>
    <row r="771" ht="16.5" customHeight="1" s="220">
      <c r="B771" s="216" t="n"/>
      <c r="C771" s="216" t="n"/>
      <c r="D771" s="216" t="n"/>
    </row>
    <row r="772" ht="16.5" customHeight="1" s="220">
      <c r="B772" s="216" t="n"/>
      <c r="C772" s="216" t="n"/>
      <c r="D772" s="216" t="n"/>
    </row>
    <row r="773" ht="16.5" customHeight="1" s="220">
      <c r="B773" s="216" t="n"/>
      <c r="C773" s="216" t="n"/>
      <c r="D773" s="216" t="n"/>
    </row>
    <row r="774" ht="16.5" customHeight="1" s="220">
      <c r="B774" s="216" t="n"/>
      <c r="C774" s="216" t="n"/>
      <c r="D774" s="216" t="n"/>
    </row>
    <row r="775" ht="16.5" customHeight="1" s="220">
      <c r="B775" s="216" t="n"/>
      <c r="C775" s="216" t="n"/>
      <c r="D775" s="216" t="n"/>
    </row>
    <row r="776" ht="16.5" customHeight="1" s="220">
      <c r="B776" s="216" t="n"/>
      <c r="C776" s="216" t="n"/>
      <c r="D776" s="216" t="n"/>
    </row>
    <row r="777" ht="16.5" customHeight="1" s="220">
      <c r="B777" s="216" t="n"/>
      <c r="C777" s="216" t="n"/>
      <c r="D777" s="216" t="n"/>
    </row>
    <row r="778" ht="16.5" customHeight="1" s="220">
      <c r="B778" s="216" t="n"/>
      <c r="C778" s="216" t="n"/>
      <c r="D778" s="216" t="n"/>
    </row>
    <row r="779" ht="16.5" customHeight="1" s="220">
      <c r="B779" s="216" t="n"/>
      <c r="C779" s="216" t="n"/>
      <c r="D779" s="216" t="n"/>
    </row>
    <row r="780" ht="16.5" customHeight="1" s="220">
      <c r="B780" s="216" t="n"/>
      <c r="C780" s="216" t="n"/>
      <c r="D780" s="216" t="n"/>
    </row>
    <row r="781" ht="16.5" customHeight="1" s="220">
      <c r="B781" s="216" t="n"/>
      <c r="C781" s="216" t="n"/>
      <c r="D781" s="216" t="n"/>
    </row>
    <row r="782" ht="16.5" customHeight="1" s="220">
      <c r="B782" s="216" t="n"/>
      <c r="C782" s="216" t="n"/>
      <c r="D782" s="216" t="n"/>
    </row>
    <row r="783" ht="16.5" customHeight="1" s="220">
      <c r="B783" s="216" t="n"/>
      <c r="C783" s="216" t="n"/>
      <c r="D783" s="216" t="n"/>
    </row>
    <row r="784" ht="16.5" customHeight="1" s="220">
      <c r="B784" s="216" t="n"/>
      <c r="C784" s="216" t="n"/>
      <c r="D784" s="216" t="n"/>
    </row>
    <row r="785" ht="16.5" customHeight="1" s="220">
      <c r="B785" s="216" t="n"/>
      <c r="C785" s="216" t="n"/>
      <c r="D785" s="216" t="n"/>
    </row>
    <row r="786" ht="16.5" customHeight="1" s="220">
      <c r="B786" s="216" t="n"/>
      <c r="C786" s="216" t="n"/>
      <c r="D786" s="216" t="n"/>
    </row>
    <row r="787" ht="16.5" customHeight="1" s="220">
      <c r="B787" s="216" t="n"/>
      <c r="C787" s="216" t="n"/>
      <c r="D787" s="216" t="n"/>
    </row>
    <row r="788" ht="16.5" customHeight="1" s="220">
      <c r="B788" s="216" t="n"/>
      <c r="C788" s="216" t="n"/>
      <c r="D788" s="216" t="n"/>
    </row>
    <row r="789" ht="16.5" customHeight="1" s="220">
      <c r="B789" s="216" t="n"/>
      <c r="C789" s="216" t="n"/>
      <c r="D789" s="216" t="n"/>
    </row>
    <row r="790" ht="16.5" customHeight="1" s="220">
      <c r="B790" s="216" t="n"/>
      <c r="C790" s="216" t="n"/>
      <c r="D790" s="216" t="n"/>
    </row>
    <row r="791" ht="16.5" customHeight="1" s="220">
      <c r="B791" s="216" t="n"/>
      <c r="C791" s="216" t="n"/>
      <c r="D791" s="216" t="n"/>
    </row>
    <row r="792" ht="16.5" customHeight="1" s="220">
      <c r="B792" s="216" t="n"/>
      <c r="C792" s="216" t="n"/>
      <c r="D792" s="216" t="n"/>
    </row>
    <row r="793" ht="16.5" customHeight="1" s="220">
      <c r="B793" s="216" t="n"/>
      <c r="C793" s="216" t="n"/>
      <c r="D793" s="216" t="n"/>
    </row>
    <row r="794" ht="16.5" customHeight="1" s="220">
      <c r="B794" s="216" t="n"/>
      <c r="C794" s="216" t="n"/>
      <c r="D794" s="216" t="n"/>
    </row>
    <row r="795" ht="16.5" customHeight="1" s="220">
      <c r="B795" s="216" t="n"/>
      <c r="C795" s="216" t="n"/>
      <c r="D795" s="216" t="n"/>
    </row>
    <row r="796" ht="16.5" customHeight="1" s="220">
      <c r="B796" s="216" t="n"/>
      <c r="C796" s="216" t="n"/>
      <c r="D796" s="216" t="n"/>
    </row>
    <row r="797" ht="16.5" customHeight="1" s="220">
      <c r="B797" s="216" t="n"/>
      <c r="C797" s="216" t="n"/>
      <c r="D797" s="216" t="n"/>
    </row>
    <row r="798" ht="16.5" customHeight="1" s="220">
      <c r="B798" s="216" t="n"/>
      <c r="C798" s="216" t="n"/>
      <c r="D798" s="216" t="n"/>
    </row>
    <row r="799" ht="16.5" customHeight="1" s="220">
      <c r="B799" s="216" t="n"/>
      <c r="C799" s="216" t="n"/>
      <c r="D799" s="216" t="n"/>
    </row>
    <row r="800" ht="16.5" customHeight="1" s="220">
      <c r="B800" s="216" t="n"/>
      <c r="C800" s="216" t="n"/>
      <c r="D800" s="216" t="n"/>
    </row>
    <row r="801" ht="16.5" customHeight="1" s="220">
      <c r="B801" s="216" t="n"/>
      <c r="C801" s="216" t="n"/>
      <c r="D801" s="216" t="n"/>
    </row>
    <row r="802" ht="16.5" customHeight="1" s="220">
      <c r="B802" s="216" t="n"/>
      <c r="C802" s="216" t="n"/>
      <c r="D802" s="216" t="n"/>
    </row>
    <row r="803" ht="16.5" customHeight="1" s="220">
      <c r="B803" s="216" t="n"/>
      <c r="C803" s="216" t="n"/>
      <c r="D803" s="216" t="n"/>
    </row>
    <row r="804" ht="16.5" customHeight="1" s="220">
      <c r="B804" s="216" t="n"/>
      <c r="C804" s="216" t="n"/>
      <c r="D804" s="216" t="n"/>
    </row>
    <row r="805" ht="16.5" customHeight="1" s="220">
      <c r="B805" s="216" t="n"/>
      <c r="C805" s="216" t="n"/>
      <c r="D805" s="216" t="n"/>
    </row>
    <row r="806" ht="16.5" customHeight="1" s="220">
      <c r="B806" s="216" t="n"/>
      <c r="C806" s="216" t="n"/>
      <c r="D806" s="216" t="n"/>
    </row>
    <row r="807" ht="16.5" customHeight="1" s="220">
      <c r="B807" s="216" t="n"/>
      <c r="C807" s="216" t="n"/>
      <c r="D807" s="216" t="n"/>
    </row>
    <row r="808" ht="16.5" customHeight="1" s="220">
      <c r="B808" s="216" t="n"/>
      <c r="C808" s="216" t="n"/>
      <c r="D808" s="216" t="n"/>
    </row>
    <row r="809" ht="16.5" customHeight="1" s="220">
      <c r="B809" s="216" t="n"/>
      <c r="C809" s="216" t="n"/>
      <c r="D809" s="216" t="n"/>
    </row>
    <row r="810" ht="16.5" customHeight="1" s="220">
      <c r="B810" s="216" t="n"/>
      <c r="C810" s="216" t="n"/>
      <c r="D810" s="216" t="n"/>
    </row>
    <row r="811" ht="16.5" customHeight="1" s="220">
      <c r="B811" s="216" t="n"/>
      <c r="C811" s="216" t="n"/>
      <c r="D811" s="216" t="n"/>
    </row>
    <row r="812" ht="16.5" customHeight="1" s="220">
      <c r="B812" s="216" t="n"/>
      <c r="C812" s="216" t="n"/>
      <c r="D812" s="216" t="n"/>
    </row>
    <row r="813" ht="16.5" customHeight="1" s="220">
      <c r="B813" s="216" t="n"/>
      <c r="C813" s="216" t="n"/>
      <c r="D813" s="216" t="n"/>
    </row>
    <row r="814" ht="16.5" customHeight="1" s="220">
      <c r="B814" s="216" t="n"/>
      <c r="C814" s="216" t="n"/>
      <c r="D814" s="216" t="n"/>
    </row>
    <row r="815" ht="16.5" customHeight="1" s="220">
      <c r="B815" s="216" t="n"/>
      <c r="C815" s="216" t="n"/>
      <c r="D815" s="216" t="n"/>
    </row>
    <row r="816" ht="16.5" customHeight="1" s="220">
      <c r="B816" s="216" t="n"/>
      <c r="C816" s="216" t="n"/>
      <c r="D816" s="216" t="n"/>
    </row>
    <row r="817" ht="16.5" customHeight="1" s="220">
      <c r="B817" s="216" t="n"/>
      <c r="C817" s="216" t="n"/>
      <c r="D817" s="216" t="n"/>
    </row>
    <row r="818" ht="16.5" customHeight="1" s="220">
      <c r="B818" s="216" t="n"/>
      <c r="C818" s="216" t="n"/>
      <c r="D818" s="216" t="n"/>
    </row>
    <row r="819" ht="16.5" customHeight="1" s="220">
      <c r="B819" s="216" t="n"/>
      <c r="C819" s="216" t="n"/>
      <c r="D819" s="216" t="n"/>
    </row>
    <row r="820" ht="16.5" customHeight="1" s="220">
      <c r="B820" s="216" t="n"/>
      <c r="C820" s="216" t="n"/>
      <c r="D820" s="216" t="n"/>
    </row>
    <row r="821" ht="16.5" customHeight="1" s="220">
      <c r="B821" s="216" t="n"/>
      <c r="C821" s="216" t="n"/>
      <c r="D821" s="216" t="n"/>
    </row>
    <row r="822" ht="16.5" customHeight="1" s="220">
      <c r="B822" s="216" t="n"/>
      <c r="C822" s="216" t="n"/>
      <c r="D822" s="216" t="n"/>
    </row>
    <row r="823" ht="16.5" customHeight="1" s="220">
      <c r="B823" s="216" t="n"/>
      <c r="C823" s="216" t="n"/>
      <c r="D823" s="216" t="n"/>
    </row>
    <row r="824" ht="16.5" customHeight="1" s="220">
      <c r="B824" s="216" t="n"/>
      <c r="C824" s="216" t="n"/>
      <c r="D824" s="216" t="n"/>
    </row>
    <row r="825" ht="16.5" customHeight="1" s="220">
      <c r="B825" s="216" t="n"/>
      <c r="C825" s="216" t="n"/>
      <c r="D825" s="216" t="n"/>
    </row>
    <row r="826" ht="16.5" customHeight="1" s="220">
      <c r="B826" s="216" t="n"/>
      <c r="C826" s="216" t="n"/>
      <c r="D826" s="216" t="n"/>
    </row>
    <row r="827" ht="16.5" customHeight="1" s="220">
      <c r="B827" s="216" t="n"/>
      <c r="C827" s="216" t="n"/>
      <c r="D827" s="216" t="n"/>
    </row>
    <row r="828" ht="16.5" customHeight="1" s="220">
      <c r="B828" s="216" t="n"/>
      <c r="C828" s="216" t="n"/>
      <c r="D828" s="216" t="n"/>
    </row>
    <row r="829" ht="16.5" customHeight="1" s="220">
      <c r="B829" s="216" t="n"/>
      <c r="C829" s="216" t="n"/>
      <c r="D829" s="216" t="n"/>
    </row>
    <row r="830" ht="16.5" customHeight="1" s="220">
      <c r="B830" s="216" t="n"/>
      <c r="C830" s="216" t="n"/>
      <c r="D830" s="216" t="n"/>
    </row>
    <row r="831" ht="16.5" customHeight="1" s="220">
      <c r="B831" s="216" t="n"/>
      <c r="C831" s="216" t="n"/>
      <c r="D831" s="216" t="n"/>
    </row>
    <row r="832" ht="16.5" customHeight="1" s="220">
      <c r="B832" s="216" t="n"/>
      <c r="C832" s="216" t="n"/>
      <c r="D832" s="216" t="n"/>
    </row>
    <row r="833" ht="16.5" customHeight="1" s="220">
      <c r="B833" s="216" t="n"/>
      <c r="C833" s="216" t="n"/>
      <c r="D833" s="216" t="n"/>
    </row>
    <row r="834" ht="16.5" customHeight="1" s="220">
      <c r="B834" s="216" t="n"/>
      <c r="C834" s="216" t="n"/>
      <c r="D834" s="216" t="n"/>
    </row>
    <row r="835" ht="16.5" customHeight="1" s="220">
      <c r="B835" s="216" t="n"/>
      <c r="C835" s="216" t="n"/>
      <c r="D835" s="216" t="n"/>
    </row>
    <row r="836" ht="16.5" customHeight="1" s="220">
      <c r="B836" s="216" t="n"/>
      <c r="C836" s="216" t="n"/>
      <c r="D836" s="216" t="n"/>
    </row>
    <row r="837" ht="16.5" customHeight="1" s="220">
      <c r="B837" s="216" t="n"/>
      <c r="C837" s="216" t="n"/>
      <c r="D837" s="216" t="n"/>
    </row>
    <row r="838" ht="16.5" customHeight="1" s="220">
      <c r="B838" s="216" t="n"/>
      <c r="C838" s="216" t="n"/>
      <c r="D838" s="216" t="n"/>
    </row>
    <row r="839" ht="16.5" customHeight="1" s="220">
      <c r="B839" s="216" t="n"/>
      <c r="C839" s="216" t="n"/>
      <c r="D839" s="216" t="n"/>
    </row>
    <row r="840" ht="16.5" customHeight="1" s="220">
      <c r="B840" s="216" t="n"/>
      <c r="C840" s="216" t="n"/>
      <c r="D840" s="216" t="n"/>
    </row>
    <row r="841" ht="16.5" customHeight="1" s="220">
      <c r="B841" s="216" t="n"/>
      <c r="C841" s="216" t="n"/>
      <c r="D841" s="216" t="n"/>
    </row>
    <row r="842" ht="16.5" customHeight="1" s="220">
      <c r="B842" s="216" t="n"/>
      <c r="C842" s="216" t="n"/>
      <c r="D842" s="216" t="n"/>
    </row>
    <row r="843" ht="16.5" customHeight="1" s="220">
      <c r="B843" s="216" t="n"/>
      <c r="C843" s="216" t="n"/>
      <c r="D843" s="216" t="n"/>
    </row>
    <row r="844" ht="16.5" customHeight="1" s="220">
      <c r="B844" s="216" t="n"/>
      <c r="C844" s="216" t="n"/>
      <c r="D844" s="216" t="n"/>
    </row>
    <row r="845" ht="16.5" customHeight="1" s="220">
      <c r="B845" s="216" t="n"/>
      <c r="C845" s="216" t="n"/>
      <c r="D845" s="216" t="n"/>
    </row>
    <row r="846" ht="16.5" customHeight="1" s="220">
      <c r="B846" s="216" t="n"/>
      <c r="C846" s="216" t="n"/>
      <c r="D846" s="216" t="n"/>
    </row>
    <row r="847" ht="16.5" customHeight="1" s="220">
      <c r="B847" s="216" t="n"/>
      <c r="C847" s="216" t="n"/>
      <c r="D847" s="216" t="n"/>
    </row>
    <row r="848" ht="16.5" customHeight="1" s="220">
      <c r="B848" s="216" t="n"/>
      <c r="C848" s="216" t="n"/>
      <c r="D848" s="216" t="n"/>
    </row>
    <row r="849" ht="16.5" customHeight="1" s="220">
      <c r="B849" s="216" t="n"/>
      <c r="C849" s="216" t="n"/>
      <c r="D849" s="216" t="n"/>
    </row>
    <row r="850" ht="16.5" customHeight="1" s="220">
      <c r="B850" s="216" t="n"/>
      <c r="C850" s="216" t="n"/>
      <c r="D850" s="216" t="n"/>
    </row>
    <row r="851" ht="16.5" customHeight="1" s="220">
      <c r="B851" s="216" t="n"/>
      <c r="C851" s="216" t="n"/>
      <c r="D851" s="216" t="n"/>
    </row>
    <row r="852" ht="16.5" customHeight="1" s="220">
      <c r="B852" s="216" t="n"/>
      <c r="C852" s="216" t="n"/>
      <c r="D852" s="216" t="n"/>
    </row>
    <row r="853" ht="16.5" customHeight="1" s="220">
      <c r="B853" s="216" t="n"/>
      <c r="C853" s="216" t="n"/>
      <c r="D853" s="216" t="n"/>
    </row>
    <row r="854" ht="16.5" customHeight="1" s="220">
      <c r="B854" s="216" t="n"/>
      <c r="C854" s="216" t="n"/>
      <c r="D854" s="216" t="n"/>
    </row>
    <row r="855" ht="16.5" customHeight="1" s="220">
      <c r="B855" s="216" t="n"/>
      <c r="C855" s="216" t="n"/>
      <c r="D855" s="216" t="n"/>
    </row>
    <row r="856" ht="16.5" customHeight="1" s="220">
      <c r="B856" s="216" t="n"/>
      <c r="C856" s="216" t="n"/>
      <c r="D856" s="216" t="n"/>
    </row>
    <row r="857" ht="16.5" customHeight="1" s="220">
      <c r="B857" s="216" t="n"/>
      <c r="C857" s="216" t="n"/>
      <c r="D857" s="216" t="n"/>
    </row>
    <row r="858" ht="16.5" customHeight="1" s="220">
      <c r="B858" s="216" t="n"/>
      <c r="C858" s="216" t="n"/>
      <c r="D858" s="216" t="n"/>
    </row>
    <row r="859" ht="16.5" customHeight="1" s="220">
      <c r="B859" s="216" t="n"/>
      <c r="C859" s="216" t="n"/>
      <c r="D859" s="216" t="n"/>
    </row>
    <row r="860" ht="16.5" customHeight="1" s="220">
      <c r="B860" s="216" t="n"/>
      <c r="C860" s="216" t="n"/>
      <c r="D860" s="216" t="n"/>
    </row>
    <row r="861" ht="16.5" customHeight="1" s="220">
      <c r="B861" s="216" t="n"/>
      <c r="C861" s="216" t="n"/>
      <c r="D861" s="216" t="n"/>
    </row>
    <row r="862" ht="16.5" customHeight="1" s="220">
      <c r="B862" s="216" t="n"/>
      <c r="C862" s="216" t="n"/>
      <c r="D862" s="216" t="n"/>
    </row>
    <row r="863" ht="16.5" customHeight="1" s="220">
      <c r="B863" s="216" t="n"/>
      <c r="C863" s="216" t="n"/>
      <c r="D863" s="216" t="n"/>
    </row>
    <row r="864" ht="16.5" customHeight="1" s="220">
      <c r="B864" s="216" t="n"/>
      <c r="C864" s="216" t="n"/>
      <c r="D864" s="216" t="n"/>
    </row>
    <row r="865" ht="16.5" customHeight="1" s="220">
      <c r="B865" s="216" t="n"/>
      <c r="C865" s="216" t="n"/>
      <c r="D865" s="216" t="n"/>
    </row>
    <row r="866" ht="16.5" customHeight="1" s="220">
      <c r="B866" s="216" t="n"/>
      <c r="C866" s="216" t="n"/>
      <c r="D866" s="216" t="n"/>
    </row>
    <row r="867" ht="16.5" customHeight="1" s="220">
      <c r="B867" s="216" t="n"/>
      <c r="C867" s="216" t="n"/>
      <c r="D867" s="216" t="n"/>
    </row>
    <row r="868" ht="16.5" customHeight="1" s="220">
      <c r="B868" s="216" t="n"/>
      <c r="C868" s="216" t="n"/>
      <c r="D868" s="216" t="n"/>
    </row>
    <row r="869" ht="16.5" customHeight="1" s="220">
      <c r="B869" s="216" t="n"/>
      <c r="C869" s="216" t="n"/>
      <c r="D869" s="216" t="n"/>
    </row>
    <row r="870" ht="16.5" customHeight="1" s="220">
      <c r="B870" s="216" t="n"/>
      <c r="C870" s="216" t="n"/>
      <c r="D870" s="216" t="n"/>
    </row>
    <row r="871" ht="16.5" customHeight="1" s="220">
      <c r="B871" s="216" t="n"/>
      <c r="C871" s="216" t="n"/>
      <c r="D871" s="216" t="n"/>
    </row>
    <row r="872" ht="16.5" customHeight="1" s="220">
      <c r="B872" s="216" t="n"/>
      <c r="C872" s="216" t="n"/>
      <c r="D872" s="216" t="n"/>
    </row>
    <row r="873" ht="16.5" customHeight="1" s="220">
      <c r="B873" s="216" t="n"/>
      <c r="C873" s="216" t="n"/>
      <c r="D873" s="216" t="n"/>
    </row>
    <row r="874" ht="16.5" customHeight="1" s="220">
      <c r="B874" s="216" t="n"/>
      <c r="C874" s="216" t="n"/>
      <c r="D874" s="216" t="n"/>
    </row>
    <row r="875" ht="16.5" customHeight="1" s="220">
      <c r="B875" s="216" t="n"/>
      <c r="C875" s="216" t="n"/>
      <c r="D875" s="216" t="n"/>
    </row>
    <row r="876" ht="16.5" customHeight="1" s="220">
      <c r="B876" s="216" t="n"/>
      <c r="C876" s="216" t="n"/>
      <c r="D876" s="216" t="n"/>
    </row>
    <row r="877" ht="16.5" customHeight="1" s="220">
      <c r="B877" s="216" t="n"/>
      <c r="C877" s="216" t="n"/>
      <c r="D877" s="216" t="n"/>
    </row>
    <row r="878" ht="16.5" customHeight="1" s="220">
      <c r="B878" s="216" t="n"/>
      <c r="C878" s="216" t="n"/>
      <c r="D878" s="216" t="n"/>
    </row>
    <row r="879" ht="16.5" customHeight="1" s="220">
      <c r="B879" s="216" t="n"/>
      <c r="C879" s="216" t="n"/>
      <c r="D879" s="216" t="n"/>
    </row>
    <row r="880" ht="16.5" customHeight="1" s="220">
      <c r="B880" s="216" t="n"/>
      <c r="C880" s="216" t="n"/>
      <c r="D880" s="216" t="n"/>
    </row>
    <row r="881" ht="16.5" customHeight="1" s="220">
      <c r="B881" s="216" t="n"/>
      <c r="C881" s="216" t="n"/>
      <c r="D881" s="216" t="n"/>
    </row>
    <row r="882" ht="16.5" customHeight="1" s="220">
      <c r="B882" s="216" t="n"/>
      <c r="C882" s="216" t="n"/>
      <c r="D882" s="216" t="n"/>
    </row>
    <row r="883" ht="16.5" customHeight="1" s="220">
      <c r="B883" s="216" t="n"/>
      <c r="C883" s="216" t="n"/>
      <c r="D883" s="216" t="n"/>
    </row>
    <row r="884" ht="16.5" customHeight="1" s="220">
      <c r="B884" s="216" t="n"/>
      <c r="C884" s="216" t="n"/>
      <c r="D884" s="216" t="n"/>
    </row>
    <row r="885" ht="16.5" customHeight="1" s="220">
      <c r="B885" s="216" t="n"/>
      <c r="C885" s="216" t="n"/>
      <c r="D885" s="216" t="n"/>
    </row>
    <row r="886" ht="16.5" customHeight="1" s="220">
      <c r="B886" s="216" t="n"/>
      <c r="C886" s="216" t="n"/>
      <c r="D886" s="216" t="n"/>
    </row>
    <row r="887" ht="16.5" customHeight="1" s="220">
      <c r="B887" s="216" t="n"/>
      <c r="C887" s="216" t="n"/>
      <c r="D887" s="216" t="n"/>
    </row>
    <row r="888" ht="16.5" customHeight="1" s="220">
      <c r="B888" s="216" t="n"/>
      <c r="C888" s="216" t="n"/>
      <c r="D888" s="216" t="n"/>
    </row>
    <row r="889" ht="16.5" customHeight="1" s="220">
      <c r="B889" s="216" t="n"/>
      <c r="C889" s="216" t="n"/>
      <c r="D889" s="216" t="n"/>
    </row>
    <row r="890" ht="16.5" customHeight="1" s="220">
      <c r="B890" s="216" t="n"/>
      <c r="C890" s="216" t="n"/>
      <c r="D890" s="216" t="n"/>
    </row>
    <row r="891" ht="16.5" customHeight="1" s="220">
      <c r="B891" s="216" t="n"/>
      <c r="C891" s="216" t="n"/>
      <c r="D891" s="216" t="n"/>
    </row>
    <row r="892" ht="16.5" customHeight="1" s="220">
      <c r="B892" s="216" t="n"/>
      <c r="C892" s="216" t="n"/>
      <c r="D892" s="216" t="n"/>
    </row>
    <row r="893" ht="16.5" customHeight="1" s="220">
      <c r="B893" s="216" t="n"/>
      <c r="C893" s="216" t="n"/>
      <c r="D893" s="216" t="n"/>
    </row>
    <row r="894" ht="16.5" customHeight="1" s="220">
      <c r="B894" s="216" t="n"/>
      <c r="C894" s="216" t="n"/>
      <c r="D894" s="216" t="n"/>
    </row>
    <row r="895" ht="16.5" customHeight="1" s="220">
      <c r="B895" s="216" t="n"/>
      <c r="C895" s="216" t="n"/>
      <c r="D895" s="216" t="n"/>
    </row>
    <row r="896" ht="16.5" customHeight="1" s="220">
      <c r="B896" s="216" t="n"/>
      <c r="C896" s="216" t="n"/>
      <c r="D896" s="216" t="n"/>
    </row>
    <row r="897" ht="16.5" customHeight="1" s="220">
      <c r="B897" s="216" t="n"/>
      <c r="C897" s="216" t="n"/>
      <c r="D897" s="216" t="n"/>
    </row>
    <row r="898" ht="16.5" customHeight="1" s="220">
      <c r="B898" s="216" t="n"/>
      <c r="C898" s="216" t="n"/>
      <c r="D898" s="216" t="n"/>
    </row>
    <row r="899" ht="16.5" customHeight="1" s="220">
      <c r="B899" s="216" t="n"/>
      <c r="C899" s="216" t="n"/>
      <c r="D899" s="216" t="n"/>
    </row>
    <row r="900" ht="16.5" customHeight="1" s="220">
      <c r="B900" s="216" t="n"/>
      <c r="C900" s="216" t="n"/>
      <c r="D900" s="216" t="n"/>
    </row>
    <row r="901" ht="16.5" customHeight="1" s="220">
      <c r="B901" s="216" t="n"/>
      <c r="C901" s="216" t="n"/>
      <c r="D901" s="216" t="n"/>
    </row>
    <row r="902" ht="16.5" customHeight="1" s="220">
      <c r="B902" s="216" t="n"/>
      <c r="C902" s="216" t="n"/>
      <c r="D902" s="216" t="n"/>
    </row>
    <row r="903" ht="16.5" customHeight="1" s="220">
      <c r="B903" s="216" t="n"/>
      <c r="C903" s="216" t="n"/>
      <c r="D903" s="216" t="n"/>
    </row>
    <row r="904" ht="16.5" customHeight="1" s="220">
      <c r="B904" s="216" t="n"/>
      <c r="C904" s="216" t="n"/>
      <c r="D904" s="216" t="n"/>
    </row>
    <row r="905" ht="16.5" customHeight="1" s="220">
      <c r="B905" s="216" t="n"/>
      <c r="C905" s="216" t="n"/>
      <c r="D905" s="216" t="n"/>
    </row>
    <row r="906" ht="16.5" customHeight="1" s="220">
      <c r="B906" s="216" t="n"/>
      <c r="C906" s="216" t="n"/>
      <c r="D906" s="216" t="n"/>
    </row>
    <row r="907" ht="16.5" customHeight="1" s="220">
      <c r="B907" s="216" t="n"/>
      <c r="C907" s="216" t="n"/>
      <c r="D907" s="216" t="n"/>
    </row>
    <row r="908" ht="16.5" customHeight="1" s="220">
      <c r="B908" s="216" t="n"/>
      <c r="C908" s="216" t="n"/>
      <c r="D908" s="216" t="n"/>
    </row>
    <row r="909" ht="16.5" customHeight="1" s="220">
      <c r="B909" s="216" t="n"/>
      <c r="C909" s="216" t="n"/>
      <c r="D909" s="216" t="n"/>
    </row>
    <row r="910" ht="16.5" customHeight="1" s="220">
      <c r="B910" s="216" t="n"/>
      <c r="C910" s="216" t="n"/>
      <c r="D910" s="216" t="n"/>
    </row>
    <row r="911" ht="16.5" customHeight="1" s="220">
      <c r="B911" s="216" t="n"/>
      <c r="C911" s="216" t="n"/>
      <c r="D911" s="216" t="n"/>
    </row>
    <row r="912" ht="16.5" customHeight="1" s="220">
      <c r="B912" s="216" t="n"/>
      <c r="C912" s="216" t="n"/>
      <c r="D912" s="216" t="n"/>
    </row>
    <row r="913" ht="16.5" customHeight="1" s="220">
      <c r="B913" s="216" t="n"/>
      <c r="C913" s="216" t="n"/>
      <c r="D913" s="216" t="n"/>
    </row>
    <row r="914" ht="16.5" customHeight="1" s="220">
      <c r="B914" s="216" t="n"/>
      <c r="C914" s="216" t="n"/>
      <c r="D914" s="216" t="n"/>
    </row>
    <row r="915" ht="16.5" customHeight="1" s="220">
      <c r="B915" s="216" t="n"/>
      <c r="C915" s="216" t="n"/>
      <c r="D915" s="216" t="n"/>
    </row>
    <row r="916" ht="16.5" customHeight="1" s="220">
      <c r="B916" s="216" t="n"/>
      <c r="C916" s="216" t="n"/>
      <c r="D916" s="216" t="n"/>
    </row>
    <row r="917" ht="16.5" customHeight="1" s="220">
      <c r="B917" s="216" t="n"/>
      <c r="C917" s="216" t="n"/>
      <c r="D917" s="216" t="n"/>
    </row>
    <row r="918" ht="16.5" customHeight="1" s="220">
      <c r="B918" s="216" t="n"/>
      <c r="C918" s="216" t="n"/>
      <c r="D918" s="216" t="n"/>
    </row>
    <row r="919" ht="16.5" customHeight="1" s="220">
      <c r="B919" s="216" t="n"/>
      <c r="C919" s="216" t="n"/>
      <c r="D919" s="216" t="n"/>
    </row>
    <row r="920" ht="16.5" customHeight="1" s="220">
      <c r="B920" s="216" t="n"/>
      <c r="C920" s="216" t="n"/>
      <c r="D920" s="216" t="n"/>
    </row>
    <row r="921" ht="16.5" customHeight="1" s="220">
      <c r="B921" s="216" t="n"/>
      <c r="C921" s="216" t="n"/>
      <c r="D921" s="216" t="n"/>
    </row>
    <row r="922" ht="16.5" customHeight="1" s="220">
      <c r="B922" s="216" t="n"/>
      <c r="C922" s="216" t="n"/>
      <c r="D922" s="216" t="n"/>
    </row>
    <row r="923" ht="16.5" customHeight="1" s="220">
      <c r="B923" s="216" t="n"/>
      <c r="C923" s="216" t="n"/>
      <c r="D923" s="216" t="n"/>
    </row>
    <row r="924" ht="16.5" customHeight="1" s="220">
      <c r="B924" s="216" t="n"/>
      <c r="C924" s="216" t="n"/>
      <c r="D924" s="216" t="n"/>
    </row>
    <row r="925" ht="16.5" customHeight="1" s="220">
      <c r="B925" s="216" t="n"/>
      <c r="C925" s="216" t="n"/>
      <c r="D925" s="216" t="n"/>
    </row>
    <row r="926" ht="16.5" customHeight="1" s="220">
      <c r="B926" s="216" t="n"/>
      <c r="C926" s="216" t="n"/>
      <c r="D926" s="216" t="n"/>
    </row>
    <row r="927" ht="16.5" customHeight="1" s="220">
      <c r="B927" s="216" t="n"/>
      <c r="C927" s="216" t="n"/>
      <c r="D927" s="216" t="n"/>
    </row>
    <row r="928" ht="16.5" customHeight="1" s="220">
      <c r="B928" s="216" t="n"/>
      <c r="C928" s="216" t="n"/>
      <c r="D928" s="216" t="n"/>
    </row>
    <row r="929" ht="16.5" customHeight="1" s="220">
      <c r="B929" s="216" t="n"/>
      <c r="C929" s="216" t="n"/>
      <c r="D929" s="216" t="n"/>
    </row>
    <row r="930" ht="16.5" customHeight="1" s="220">
      <c r="B930" s="216" t="n"/>
      <c r="C930" s="216" t="n"/>
      <c r="D930" s="216" t="n"/>
    </row>
    <row r="931" ht="16.5" customHeight="1" s="220">
      <c r="B931" s="216" t="n"/>
      <c r="C931" s="216" t="n"/>
      <c r="D931" s="216" t="n"/>
    </row>
    <row r="932" ht="16.5" customHeight="1" s="220">
      <c r="B932" s="216" t="n"/>
      <c r="C932" s="216" t="n"/>
      <c r="D932" s="216" t="n"/>
    </row>
    <row r="933" ht="16.5" customHeight="1" s="220">
      <c r="B933" s="216" t="n"/>
      <c r="C933" s="216" t="n"/>
      <c r="D933" s="216" t="n"/>
    </row>
    <row r="934" ht="16.5" customHeight="1" s="220">
      <c r="B934" s="216" t="n"/>
      <c r="C934" s="216" t="n"/>
      <c r="D934" s="216" t="n"/>
    </row>
    <row r="935" ht="16.5" customHeight="1" s="220">
      <c r="B935" s="216" t="n"/>
      <c r="C935" s="216" t="n"/>
      <c r="D935" s="216" t="n"/>
    </row>
    <row r="936" ht="16.5" customHeight="1" s="220">
      <c r="B936" s="216" t="n"/>
      <c r="C936" s="216" t="n"/>
      <c r="D936" s="216" t="n"/>
    </row>
    <row r="937" ht="16.5" customHeight="1" s="220">
      <c r="B937" s="216" t="n"/>
      <c r="C937" s="216" t="n"/>
      <c r="D937" s="216" t="n"/>
    </row>
    <row r="938" ht="16.5" customHeight="1" s="220">
      <c r="B938" s="216" t="n"/>
      <c r="C938" s="216" t="n"/>
      <c r="D938" s="216" t="n"/>
    </row>
    <row r="939" ht="16.5" customHeight="1" s="220">
      <c r="B939" s="216" t="n"/>
      <c r="C939" s="216" t="n"/>
      <c r="D939" s="216" t="n"/>
    </row>
    <row r="940" ht="16.5" customHeight="1" s="220">
      <c r="B940" s="216" t="n"/>
      <c r="C940" s="216" t="n"/>
      <c r="D940" s="216" t="n"/>
    </row>
    <row r="941" ht="16.5" customHeight="1" s="220">
      <c r="B941" s="216" t="n"/>
      <c r="C941" s="216" t="n"/>
      <c r="D941" s="216" t="n"/>
    </row>
    <row r="942" ht="16.5" customHeight="1" s="220">
      <c r="B942" s="216" t="n"/>
      <c r="C942" s="216" t="n"/>
      <c r="D942" s="216" t="n"/>
    </row>
    <row r="943" ht="16.5" customHeight="1" s="220">
      <c r="B943" s="216" t="n"/>
      <c r="C943" s="216" t="n"/>
      <c r="D943" s="216" t="n"/>
    </row>
    <row r="944" ht="16.5" customHeight="1" s="220">
      <c r="B944" s="216" t="n"/>
      <c r="C944" s="216" t="n"/>
      <c r="D944" s="216" t="n"/>
    </row>
    <row r="945" ht="16.5" customHeight="1" s="220">
      <c r="B945" s="216" t="n"/>
      <c r="C945" s="216" t="n"/>
      <c r="D945" s="216" t="n"/>
    </row>
    <row r="946" ht="16.5" customHeight="1" s="220">
      <c r="B946" s="216" t="n"/>
      <c r="C946" s="216" t="n"/>
      <c r="D946" s="216" t="n"/>
    </row>
    <row r="947" ht="16.5" customHeight="1" s="220">
      <c r="B947" s="216" t="n"/>
      <c r="C947" s="216" t="n"/>
      <c r="D947" s="216" t="n"/>
    </row>
    <row r="948" ht="16.5" customHeight="1" s="220">
      <c r="B948" s="216" t="n"/>
      <c r="C948" s="216" t="n"/>
      <c r="D948" s="216" t="n"/>
    </row>
    <row r="949" ht="16.5" customHeight="1" s="220">
      <c r="B949" s="216" t="n"/>
      <c r="C949" s="216" t="n"/>
      <c r="D949" s="216" t="n"/>
    </row>
    <row r="950" ht="16.5" customHeight="1" s="220">
      <c r="B950" s="216" t="n"/>
      <c r="C950" s="216" t="n"/>
      <c r="D950" s="216" t="n"/>
    </row>
    <row r="951" ht="16.5" customHeight="1" s="220">
      <c r="B951" s="216" t="n"/>
      <c r="C951" s="216" t="n"/>
      <c r="D951" s="216" t="n"/>
    </row>
    <row r="952" ht="16.5" customHeight="1" s="220">
      <c r="B952" s="216" t="n"/>
      <c r="C952" s="216" t="n"/>
      <c r="D952" s="216" t="n"/>
    </row>
    <row r="953" ht="16.5" customHeight="1" s="220">
      <c r="B953" s="216" t="n"/>
      <c r="C953" s="216" t="n"/>
      <c r="D953" s="216" t="n"/>
    </row>
    <row r="954" ht="16.5" customHeight="1" s="220">
      <c r="B954" s="216" t="n"/>
      <c r="C954" s="216" t="n"/>
      <c r="D954" s="216" t="n"/>
    </row>
    <row r="955" ht="16.5" customHeight="1" s="220">
      <c r="B955" s="216" t="n"/>
      <c r="C955" s="216" t="n"/>
      <c r="D955" s="216" t="n"/>
    </row>
    <row r="956" ht="16.5" customHeight="1" s="220">
      <c r="B956" s="216" t="n"/>
      <c r="C956" s="216" t="n"/>
      <c r="D956" s="216" t="n"/>
    </row>
    <row r="957" ht="16.5" customHeight="1" s="220">
      <c r="B957" s="216" t="n"/>
      <c r="C957" s="216" t="n"/>
      <c r="D957" s="216" t="n"/>
    </row>
    <row r="958" ht="16.5" customHeight="1" s="220">
      <c r="B958" s="216" t="n"/>
      <c r="C958" s="216" t="n"/>
      <c r="D958" s="216" t="n"/>
    </row>
    <row r="959" ht="16.5" customHeight="1" s="220">
      <c r="B959" s="216" t="n"/>
      <c r="C959" s="216" t="n"/>
      <c r="D959" s="216" t="n"/>
    </row>
    <row r="960" ht="16.5" customHeight="1" s="220">
      <c r="B960" s="216" t="n"/>
      <c r="C960" s="216" t="n"/>
      <c r="D960" s="216" t="n"/>
    </row>
    <row r="961" ht="16.5" customHeight="1" s="220">
      <c r="B961" s="216" t="n"/>
      <c r="C961" s="216" t="n"/>
      <c r="D961" s="216" t="n"/>
    </row>
    <row r="962" ht="16.5" customHeight="1" s="220">
      <c r="B962" s="216" t="n"/>
      <c r="C962" s="216" t="n"/>
      <c r="D962" s="216" t="n"/>
    </row>
    <row r="963" ht="16.5" customHeight="1" s="220">
      <c r="B963" s="216" t="n"/>
      <c r="C963" s="216" t="n"/>
      <c r="D963" s="216" t="n"/>
    </row>
    <row r="964" ht="16.5" customHeight="1" s="220">
      <c r="B964" s="216" t="n"/>
      <c r="C964" s="216" t="n"/>
      <c r="D964" s="216" t="n"/>
    </row>
    <row r="965" ht="16.5" customHeight="1" s="220">
      <c r="B965" s="216" t="n"/>
      <c r="C965" s="216" t="n"/>
      <c r="D965" s="216" t="n"/>
    </row>
    <row r="966" ht="16.5" customHeight="1" s="220">
      <c r="B966" s="216" t="n"/>
      <c r="C966" s="216" t="n"/>
      <c r="D966" s="216" t="n"/>
    </row>
    <row r="967" ht="16.5" customHeight="1" s="220">
      <c r="B967" s="216" t="n"/>
      <c r="C967" s="216" t="n"/>
      <c r="D967" s="216" t="n"/>
    </row>
    <row r="968" ht="16.5" customHeight="1" s="220">
      <c r="B968" s="216" t="n"/>
      <c r="C968" s="216" t="n"/>
      <c r="D968" s="216" t="n"/>
    </row>
    <row r="969" ht="16.5" customHeight="1" s="220">
      <c r="B969" s="216" t="n"/>
      <c r="C969" s="216" t="n"/>
      <c r="D969" s="216" t="n"/>
    </row>
    <row r="970" ht="16.5" customHeight="1" s="220">
      <c r="B970" s="216" t="n"/>
      <c r="C970" s="216" t="n"/>
      <c r="D970" s="216" t="n"/>
    </row>
    <row r="971" ht="16.5" customHeight="1" s="220">
      <c r="B971" s="216" t="n"/>
      <c r="C971" s="216" t="n"/>
      <c r="D971" s="216" t="n"/>
    </row>
    <row r="972" ht="16.5" customHeight="1" s="220">
      <c r="B972" s="216" t="n"/>
      <c r="C972" s="216" t="n"/>
      <c r="D972" s="216" t="n"/>
    </row>
    <row r="973" ht="16.5" customHeight="1" s="220">
      <c r="B973" s="216" t="n"/>
      <c r="C973" s="216" t="n"/>
      <c r="D973" s="216" t="n"/>
    </row>
    <row r="974" ht="16.5" customHeight="1" s="220">
      <c r="B974" s="216" t="n"/>
      <c r="C974" s="216" t="n"/>
      <c r="D974" s="216" t="n"/>
    </row>
    <row r="975" ht="16.5" customHeight="1" s="220">
      <c r="B975" s="216" t="n"/>
      <c r="C975" s="216" t="n"/>
      <c r="D975" s="216" t="n"/>
    </row>
    <row r="976" ht="16.5" customHeight="1" s="220">
      <c r="B976" s="216" t="n"/>
      <c r="C976" s="216" t="n"/>
      <c r="D976" s="216" t="n"/>
    </row>
    <row r="977" ht="16.5" customHeight="1" s="220">
      <c r="B977" s="216" t="n"/>
      <c r="C977" s="216" t="n"/>
      <c r="D977" s="216" t="n"/>
    </row>
    <row r="978" ht="16.5" customHeight="1" s="220">
      <c r="B978" s="216" t="n"/>
      <c r="C978" s="216" t="n"/>
      <c r="D978" s="216" t="n"/>
    </row>
    <row r="979" ht="16.5" customHeight="1" s="220">
      <c r="B979" s="216" t="n"/>
      <c r="C979" s="216" t="n"/>
      <c r="D979" s="216" t="n"/>
    </row>
    <row r="980" ht="16.5" customHeight="1" s="220">
      <c r="B980" s="216" t="n"/>
      <c r="C980" s="216" t="n"/>
      <c r="D980" s="216" t="n"/>
    </row>
    <row r="981" ht="16.5" customHeight="1" s="220">
      <c r="B981" s="216" t="n"/>
      <c r="C981" s="216" t="n"/>
      <c r="D981" s="216" t="n"/>
    </row>
    <row r="982" ht="16.5" customHeight="1" s="220">
      <c r="B982" s="216" t="n"/>
      <c r="C982" s="216" t="n"/>
      <c r="D982" s="216" t="n"/>
    </row>
    <row r="983" ht="16.5" customHeight="1" s="220">
      <c r="B983" s="216" t="n"/>
      <c r="C983" s="216" t="n"/>
      <c r="D983" s="216" t="n"/>
    </row>
    <row r="984" ht="16.5" customHeight="1" s="220">
      <c r="B984" s="216" t="n"/>
      <c r="C984" s="216" t="n"/>
      <c r="D984" s="216" t="n"/>
    </row>
    <row r="985" ht="16.5" customHeight="1" s="220">
      <c r="B985" s="216" t="n"/>
      <c r="C985" s="216" t="n"/>
      <c r="D985" s="216" t="n"/>
    </row>
    <row r="986" ht="16.5" customHeight="1" s="220">
      <c r="B986" s="216" t="n"/>
      <c r="C986" s="216" t="n"/>
      <c r="D986" s="216" t="n"/>
    </row>
    <row r="987" ht="16.5" customHeight="1" s="220">
      <c r="B987" s="216" t="n"/>
      <c r="C987" s="216" t="n"/>
      <c r="D987" s="216" t="n"/>
    </row>
    <row r="988" ht="16.5" customHeight="1" s="220">
      <c r="B988" s="216" t="n"/>
      <c r="C988" s="216" t="n"/>
      <c r="D988" s="216" t="n"/>
    </row>
    <row r="989" ht="16.5" customHeight="1" s="220">
      <c r="B989" s="216" t="n"/>
      <c r="C989" s="216" t="n"/>
      <c r="D989" s="216" t="n"/>
    </row>
    <row r="990" ht="16.5" customHeight="1" s="220">
      <c r="B990" s="216" t="n"/>
      <c r="C990" s="216" t="n"/>
      <c r="D990" s="216" t="n"/>
    </row>
    <row r="991" ht="16.5" customHeight="1" s="220">
      <c r="B991" s="216" t="n"/>
      <c r="C991" s="216" t="n"/>
      <c r="D991" s="216" t="n"/>
    </row>
    <row r="992" ht="16.5" customHeight="1" s="220">
      <c r="B992" s="216" t="n"/>
      <c r="C992" s="216" t="n"/>
      <c r="D992" s="216" t="n"/>
    </row>
    <row r="993" ht="16.5" customHeight="1" s="220">
      <c r="B993" s="216" t="n"/>
      <c r="C993" s="216" t="n"/>
      <c r="D993" s="216" t="n"/>
    </row>
    <row r="994" ht="16.5" customHeight="1" s="220">
      <c r="B994" s="216" t="n"/>
      <c r="C994" s="216" t="n"/>
      <c r="D994" s="216" t="n"/>
    </row>
    <row r="995" ht="16.5" customHeight="1" s="220">
      <c r="B995" s="216" t="n"/>
      <c r="C995" s="216" t="n"/>
      <c r="D995" s="216" t="n"/>
    </row>
    <row r="996" ht="16.5" customHeight="1" s="220">
      <c r="B996" s="216" t="n"/>
      <c r="C996" s="216" t="n"/>
      <c r="D996" s="216" t="n"/>
    </row>
    <row r="997" ht="16.5" customHeight="1" s="220">
      <c r="B997" s="216" t="n"/>
      <c r="C997" s="216" t="n"/>
      <c r="D997" s="216" t="n"/>
    </row>
    <row r="998" ht="16.5" customHeight="1" s="220">
      <c r="B998" s="216" t="n"/>
      <c r="C998" s="216" t="n"/>
      <c r="D998" s="216" t="n"/>
    </row>
    <row r="999" ht="16.5" customHeight="1" s="220">
      <c r="B999" s="216" t="n"/>
      <c r="C999" s="216" t="n"/>
      <c r="D999" s="216" t="n"/>
    </row>
    <row r="1000" ht="16.5" customHeight="1" s="220">
      <c r="B1000" s="216" t="n"/>
      <c r="C1000" s="216" t="n"/>
      <c r="D1000" s="216" t="n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tabColor rgb="FFFFCC00"/>
    <outlinePr summaryBelow="1" summaryRight="1"/>
    <pageSetUpPr/>
  </sheetPr>
  <dimension ref="B1:D32"/>
  <sheetViews>
    <sheetView workbookViewId="0">
      <selection activeCell="A1" sqref="A1"/>
    </sheetView>
  </sheetViews>
  <sheetFormatPr baseColWidth="8" defaultColWidth="12.63" defaultRowHeight="15" customHeight="1"/>
  <cols>
    <col width="9" customWidth="1" style="220" min="1" max="1"/>
    <col width="19.5" customWidth="1" style="220" min="2" max="2"/>
    <col width="10.13" customWidth="1" style="220" min="3" max="3"/>
    <col width="6.63" customWidth="1" style="220" min="4" max="4"/>
    <col width="8" customWidth="1" style="220" min="5" max="26"/>
  </cols>
  <sheetData>
    <row r="1" ht="16.5" customHeight="1" s="220">
      <c r="B1" s="211" t="inlineStr">
        <is>
          <t>Range</t>
        </is>
      </c>
      <c r="C1" s="211" t="inlineStr">
        <is>
          <t>Tier</t>
        </is>
      </c>
      <c r="D1" s="211" t="inlineStr">
        <is>
          <t>Comm</t>
        </is>
      </c>
    </row>
    <row r="2" ht="16.5" customHeight="1" s="220">
      <c r="B2" s="212" t="inlineStr">
        <is>
          <t>$80,000 - $89,999</t>
        </is>
      </c>
      <c r="C2" s="213" t="n">
        <v>80000</v>
      </c>
      <c r="D2" s="214" t="n">
        <v>0.05</v>
      </c>
    </row>
    <row r="3" ht="16.5" customHeight="1" s="220">
      <c r="B3" s="212" t="inlineStr">
        <is>
          <t>$90,000 - $99,999</t>
        </is>
      </c>
      <c r="C3" s="213" t="n">
        <v>90000</v>
      </c>
      <c r="D3" s="214" t="n">
        <v>0.1</v>
      </c>
    </row>
    <row r="4" ht="16.5" customHeight="1" s="220">
      <c r="B4" s="212" t="inlineStr">
        <is>
          <t>$100,000 - $109,999</t>
        </is>
      </c>
      <c r="C4" s="213" t="n">
        <v>100000</v>
      </c>
      <c r="D4" s="214" t="n">
        <v>0.15</v>
      </c>
    </row>
    <row r="5" ht="16.5" customHeight="1" s="220">
      <c r="B5" s="212" t="inlineStr">
        <is>
          <t>$110,000 - $119,999</t>
        </is>
      </c>
      <c r="C5" s="213" t="n">
        <v>110000</v>
      </c>
      <c r="D5" s="214" t="n">
        <v>0.2</v>
      </c>
    </row>
    <row r="6" ht="16.5" customHeight="1" s="220">
      <c r="B6" s="212" t="inlineStr">
        <is>
          <t>$120,000 - $129,999</t>
        </is>
      </c>
      <c r="C6" s="213" t="n">
        <v>120000</v>
      </c>
      <c r="D6" s="214" t="n">
        <v>0.25</v>
      </c>
    </row>
    <row r="7" ht="16.5" customHeight="1" s="220">
      <c r="B7" s="212" t="inlineStr">
        <is>
          <t>$130,000 - $139,999</t>
        </is>
      </c>
      <c r="C7" s="213" t="n">
        <v>130000</v>
      </c>
      <c r="D7" s="214" t="n">
        <v>0.3</v>
      </c>
    </row>
    <row r="8" ht="16.5" customHeight="1" s="220">
      <c r="B8" s="212" t="inlineStr">
        <is>
          <t>$140,000 - $149,999</t>
        </is>
      </c>
      <c r="C8" s="213" t="n">
        <v>140000</v>
      </c>
      <c r="D8" s="214" t="n">
        <v>0.35</v>
      </c>
    </row>
    <row r="9" ht="16.5" customHeight="1" s="220">
      <c r="B9" s="212" t="inlineStr">
        <is>
          <t>$150,000 - $159,999</t>
        </is>
      </c>
      <c r="C9" s="213" t="n">
        <v>150000</v>
      </c>
      <c r="D9" s="214" t="n">
        <v>0.4</v>
      </c>
    </row>
    <row r="10" ht="16.5" customHeight="1" s="220">
      <c r="B10" s="212" t="inlineStr">
        <is>
          <t>$160,000 - $169,999</t>
        </is>
      </c>
      <c r="C10" s="213" t="n">
        <v>160000</v>
      </c>
      <c r="D10" s="214" t="n">
        <v>0.45</v>
      </c>
    </row>
    <row r="11" ht="16.5" customHeight="1" s="220">
      <c r="B11" s="212" t="inlineStr">
        <is>
          <t>$170,000 - $179,999</t>
        </is>
      </c>
      <c r="C11" s="213" t="n">
        <v>170000</v>
      </c>
      <c r="D11" s="214" t="n">
        <v>0.5</v>
      </c>
    </row>
    <row r="12" ht="16.5" customHeight="1" s="220">
      <c r="B12" s="212" t="inlineStr">
        <is>
          <t>$180,000 - $189,999</t>
        </is>
      </c>
      <c r="C12" s="213" t="n">
        <v>180000</v>
      </c>
      <c r="D12" s="214" t="n">
        <v>0.55</v>
      </c>
    </row>
    <row r="13" ht="16.5" customHeight="1" s="220">
      <c r="B13" s="212" t="inlineStr">
        <is>
          <t>$190,000 - $199,999</t>
        </is>
      </c>
      <c r="C13" s="213" t="n">
        <v>190000</v>
      </c>
      <c r="D13" s="214" t="n">
        <v>0.6</v>
      </c>
    </row>
    <row r="14" ht="16.5" customHeight="1" s="220">
      <c r="B14" s="212" t="inlineStr">
        <is>
          <t>$200,000 - $209,999</t>
        </is>
      </c>
      <c r="C14" s="213" t="n">
        <v>200000</v>
      </c>
      <c r="D14" s="214" t="n">
        <v>0.65</v>
      </c>
    </row>
    <row r="15" ht="16.5" customHeight="1" s="220">
      <c r="B15" s="212" t="inlineStr">
        <is>
          <t>$210,000 - $219,999</t>
        </is>
      </c>
      <c r="C15" s="213" t="n">
        <v>210000</v>
      </c>
      <c r="D15" s="214" t="n">
        <v>0.7</v>
      </c>
    </row>
    <row r="16" ht="16.5" customHeight="1" s="220">
      <c r="B16" s="212" t="inlineStr">
        <is>
          <t>$220,000 - $229,999</t>
        </is>
      </c>
      <c r="C16" s="213" t="n">
        <v>220000</v>
      </c>
      <c r="D16" s="214" t="n">
        <v>0.75</v>
      </c>
    </row>
    <row r="17" ht="16.5" customHeight="1" s="220">
      <c r="B17" s="212" t="inlineStr">
        <is>
          <t>$230,000 - $239,999</t>
        </is>
      </c>
      <c r="C17" s="213" t="n">
        <v>230000</v>
      </c>
      <c r="D17" s="214" t="n">
        <v>0.8</v>
      </c>
    </row>
    <row r="18" ht="16.5" customHeight="1" s="220">
      <c r="B18" s="212" t="inlineStr">
        <is>
          <t>$240,000 - $249,999</t>
        </is>
      </c>
      <c r="C18" s="213" t="n">
        <v>240000</v>
      </c>
      <c r="D18" s="214" t="n">
        <v>0.85</v>
      </c>
    </row>
    <row r="19" ht="16.5" customHeight="1" s="220">
      <c r="B19" s="212" t="inlineStr">
        <is>
          <t>$250,000 - $259,999</t>
        </is>
      </c>
      <c r="C19" s="215" t="n">
        <v>250000</v>
      </c>
      <c r="D19" s="214" t="n">
        <v>0.9</v>
      </c>
    </row>
    <row r="20" ht="16.5" customHeight="1" s="220">
      <c r="B20" s="212" t="inlineStr">
        <is>
          <t>$260,000 - $269,999</t>
        </is>
      </c>
      <c r="C20" s="215" t="n">
        <v>260000</v>
      </c>
      <c r="D20" s="214" t="n">
        <v>0.95</v>
      </c>
    </row>
    <row r="21" ht="16.5" customHeight="1" s="220">
      <c r="B21" s="212" t="inlineStr">
        <is>
          <t>$270,000 - $279,999</t>
        </is>
      </c>
      <c r="C21" s="215" t="n">
        <v>270000</v>
      </c>
      <c r="D21" s="214" t="n">
        <v>1</v>
      </c>
    </row>
    <row r="22" ht="16.5" customHeight="1" s="220">
      <c r="B22" s="212" t="inlineStr">
        <is>
          <t>$280,000 - $289,999</t>
        </is>
      </c>
      <c r="C22" s="215" t="n">
        <v>280000</v>
      </c>
      <c r="D22" s="214" t="n">
        <v>1.05</v>
      </c>
    </row>
    <row r="23" ht="16.5" customHeight="1" s="220">
      <c r="B23" s="212" t="inlineStr">
        <is>
          <t>$290,000 - $299,999</t>
        </is>
      </c>
      <c r="C23" s="215" t="n">
        <v>290000</v>
      </c>
      <c r="D23" s="214" t="n">
        <v>1.1</v>
      </c>
    </row>
    <row r="24" ht="16.5" customHeight="1" s="220">
      <c r="B24" s="212" t="inlineStr">
        <is>
          <t>$300,000 - $309,999</t>
        </is>
      </c>
      <c r="C24" s="215" t="n">
        <v>300000</v>
      </c>
      <c r="D24" s="214" t="n">
        <v>1.15</v>
      </c>
    </row>
    <row r="25" ht="16.5" customHeight="1" s="220">
      <c r="B25" s="212" t="inlineStr">
        <is>
          <t>$310,000 - $319,999</t>
        </is>
      </c>
      <c r="C25" s="215" t="n">
        <v>310000</v>
      </c>
      <c r="D25" s="214" t="n">
        <v>1.2</v>
      </c>
    </row>
    <row r="26" ht="16.5" customHeight="1" s="220">
      <c r="B26" s="212" t="inlineStr">
        <is>
          <t>$320,000 - $329,999</t>
        </is>
      </c>
      <c r="C26" s="215" t="n">
        <v>320000</v>
      </c>
      <c r="D26" s="214" t="n">
        <v>1.25</v>
      </c>
    </row>
    <row r="27" ht="16.5" customHeight="1" s="220">
      <c r="B27" s="212" t="inlineStr">
        <is>
          <t>$330,000 - $339,999</t>
        </is>
      </c>
      <c r="C27" s="215" t="n">
        <v>330000</v>
      </c>
      <c r="D27" s="214" t="n">
        <v>1.3</v>
      </c>
    </row>
    <row r="28" ht="16.5" customHeight="1" s="220">
      <c r="B28" s="212" t="inlineStr">
        <is>
          <t>$340,000 - $349,999</t>
        </is>
      </c>
      <c r="C28" s="215" t="n">
        <v>340000</v>
      </c>
      <c r="D28" s="214" t="n">
        <v>1.35</v>
      </c>
    </row>
    <row r="29" ht="16.5" customHeight="1" s="220">
      <c r="B29" s="212" t="inlineStr">
        <is>
          <t>$350,000 - $359,999</t>
        </is>
      </c>
      <c r="C29" s="215" t="n">
        <v>350000</v>
      </c>
      <c r="D29" s="214" t="n">
        <v>1.4</v>
      </c>
    </row>
    <row r="30" ht="16.5" customHeight="1" s="220">
      <c r="B30" s="212" t="n"/>
      <c r="C30" s="215" t="n"/>
      <c r="D30" s="214" t="n">
        <v>1.45</v>
      </c>
    </row>
    <row r="31" ht="16.5" customHeight="1" s="220">
      <c r="B31" s="212" t="n"/>
      <c r="C31" s="215" t="n"/>
    </row>
    <row r="32" ht="16.5" customHeight="1" s="220">
      <c r="B32" s="216" t="n"/>
      <c r="C32" s="217" t="n"/>
    </row>
    <row r="33" ht="16.5" customHeight="1" s="220"/>
    <row r="34" ht="16.5" customHeight="1" s="220"/>
    <row r="35" ht="16.5" customHeight="1" s="220"/>
    <row r="36" ht="16.5" customHeight="1" s="220"/>
    <row r="37" ht="16.5" customHeight="1" s="220"/>
    <row r="38" ht="16.5" customHeight="1" s="220"/>
    <row r="39" ht="16.5" customHeight="1" s="220"/>
    <row r="40" ht="16.5" customHeight="1" s="220"/>
    <row r="41" ht="16.5" customHeight="1" s="220"/>
    <row r="42" ht="16.5" customHeight="1" s="220"/>
    <row r="43" ht="16.5" customHeight="1" s="220"/>
    <row r="44" ht="16.5" customHeight="1" s="220"/>
    <row r="45" ht="16.5" customHeight="1" s="220"/>
    <row r="46" ht="16.5" customHeight="1" s="220"/>
    <row r="47" ht="16.5" customHeight="1" s="220"/>
    <row r="48" ht="16.5" customHeight="1" s="220"/>
    <row r="49" ht="16.5" customHeight="1" s="220"/>
    <row r="50" ht="16.5" customHeight="1" s="220"/>
    <row r="51" ht="16.5" customHeight="1" s="220"/>
    <row r="52" ht="16.5" customHeight="1" s="220"/>
    <row r="53" ht="16.5" customHeight="1" s="220"/>
    <row r="54" ht="16.5" customHeight="1" s="220"/>
    <row r="55" ht="16.5" customHeight="1" s="220"/>
    <row r="56" ht="16.5" customHeight="1" s="220"/>
    <row r="57" ht="16.5" customHeight="1" s="220"/>
    <row r="58" ht="16.5" customHeight="1" s="220"/>
    <row r="59" ht="16.5" customHeight="1" s="220"/>
    <row r="60" ht="16.5" customHeight="1" s="220"/>
    <row r="61" ht="16.5" customHeight="1" s="220"/>
    <row r="62" ht="16.5" customHeight="1" s="220"/>
    <row r="63" ht="16.5" customHeight="1" s="220"/>
    <row r="64" ht="16.5" customHeight="1" s="220"/>
    <row r="65" ht="16.5" customHeight="1" s="220"/>
    <row r="66" ht="16.5" customHeight="1" s="220"/>
    <row r="67" ht="16.5" customHeight="1" s="220"/>
    <row r="68" ht="16.5" customHeight="1" s="220"/>
    <row r="69" ht="16.5" customHeight="1" s="220"/>
    <row r="70" ht="16.5" customHeight="1" s="220"/>
    <row r="71" ht="16.5" customHeight="1" s="220"/>
    <row r="72" ht="16.5" customHeight="1" s="220"/>
    <row r="73" ht="16.5" customHeight="1" s="220"/>
    <row r="74" ht="16.5" customHeight="1" s="220"/>
    <row r="75" ht="16.5" customHeight="1" s="220"/>
    <row r="76" ht="16.5" customHeight="1" s="220"/>
    <row r="77" ht="16.5" customHeight="1" s="220"/>
    <row r="78" ht="16.5" customHeight="1" s="220"/>
    <row r="79" ht="16.5" customHeight="1" s="220"/>
    <row r="80" ht="16.5" customHeight="1" s="220"/>
    <row r="81" ht="16.5" customHeight="1" s="220"/>
    <row r="82" ht="16.5" customHeight="1" s="220"/>
    <row r="83" ht="16.5" customHeight="1" s="220"/>
    <row r="84" ht="16.5" customHeight="1" s="220"/>
    <row r="85" ht="16.5" customHeight="1" s="220"/>
    <row r="86" ht="16.5" customHeight="1" s="220"/>
    <row r="87" ht="16.5" customHeight="1" s="220"/>
    <row r="88" ht="16.5" customHeight="1" s="220"/>
    <row r="89" ht="16.5" customHeight="1" s="220"/>
    <row r="90" ht="16.5" customHeight="1" s="220"/>
    <row r="91" ht="16.5" customHeight="1" s="220"/>
    <row r="92" ht="16.5" customHeight="1" s="220"/>
    <row r="93" ht="16.5" customHeight="1" s="220"/>
    <row r="94" ht="16.5" customHeight="1" s="220"/>
    <row r="95" ht="16.5" customHeight="1" s="220"/>
    <row r="96" ht="16.5" customHeight="1" s="220"/>
    <row r="97" ht="16.5" customHeight="1" s="220"/>
    <row r="98" ht="16.5" customHeight="1" s="220"/>
    <row r="99" ht="16.5" customHeight="1" s="220"/>
    <row r="100" ht="16.5" customHeight="1" s="220"/>
    <row r="101" ht="16.5" customHeight="1" s="220"/>
    <row r="102" ht="16.5" customHeight="1" s="220"/>
    <row r="103" ht="16.5" customHeight="1" s="220"/>
    <row r="104" ht="16.5" customHeight="1" s="220"/>
    <row r="105" ht="16.5" customHeight="1" s="220"/>
    <row r="106" ht="16.5" customHeight="1" s="220"/>
    <row r="107" ht="16.5" customHeight="1" s="220"/>
    <row r="108" ht="16.5" customHeight="1" s="220"/>
    <row r="109" ht="16.5" customHeight="1" s="220"/>
    <row r="110" ht="16.5" customHeight="1" s="220"/>
    <row r="111" ht="16.5" customHeight="1" s="220"/>
    <row r="112" ht="16.5" customHeight="1" s="220"/>
    <row r="113" ht="16.5" customHeight="1" s="220"/>
    <row r="114" ht="16.5" customHeight="1" s="220"/>
    <row r="115" ht="16.5" customHeight="1" s="220"/>
    <row r="116" ht="16.5" customHeight="1" s="220"/>
    <row r="117" ht="16.5" customHeight="1" s="220"/>
    <row r="118" ht="16.5" customHeight="1" s="220"/>
    <row r="119" ht="16.5" customHeight="1" s="220"/>
    <row r="120" ht="16.5" customHeight="1" s="220"/>
    <row r="121" ht="16.5" customHeight="1" s="220"/>
    <row r="122" ht="16.5" customHeight="1" s="220"/>
    <row r="123" ht="16.5" customHeight="1" s="220"/>
    <row r="124" ht="16.5" customHeight="1" s="220"/>
    <row r="125" ht="16.5" customHeight="1" s="220"/>
    <row r="126" ht="16.5" customHeight="1" s="220"/>
    <row r="127" ht="16.5" customHeight="1" s="220"/>
    <row r="128" ht="16.5" customHeight="1" s="220"/>
    <row r="129" ht="16.5" customHeight="1" s="220"/>
    <row r="130" ht="16.5" customHeight="1" s="220"/>
    <row r="131" ht="16.5" customHeight="1" s="220"/>
    <row r="132" ht="16.5" customHeight="1" s="220"/>
    <row r="133" ht="16.5" customHeight="1" s="220"/>
    <row r="134" ht="16.5" customHeight="1" s="220"/>
    <row r="135" ht="16.5" customHeight="1" s="220"/>
    <row r="136" ht="16.5" customHeight="1" s="220"/>
    <row r="137" ht="16.5" customHeight="1" s="220"/>
    <row r="138" ht="16.5" customHeight="1" s="220"/>
    <row r="139" ht="16.5" customHeight="1" s="220"/>
    <row r="140" ht="16.5" customHeight="1" s="220"/>
    <row r="141" ht="16.5" customHeight="1" s="220"/>
    <row r="142" ht="16.5" customHeight="1" s="220"/>
    <row r="143" ht="16.5" customHeight="1" s="220"/>
    <row r="144" ht="16.5" customHeight="1" s="220"/>
    <row r="145" ht="16.5" customHeight="1" s="220"/>
    <row r="146" ht="16.5" customHeight="1" s="220"/>
    <row r="147" ht="16.5" customHeight="1" s="220"/>
    <row r="148" ht="16.5" customHeight="1" s="220"/>
    <row r="149" ht="16.5" customHeight="1" s="220"/>
    <row r="150" ht="16.5" customHeight="1" s="220"/>
    <row r="151" ht="16.5" customHeight="1" s="220"/>
    <row r="152" ht="16.5" customHeight="1" s="220"/>
    <row r="153" ht="16.5" customHeight="1" s="220"/>
    <row r="154" ht="16.5" customHeight="1" s="220"/>
    <row r="155" ht="16.5" customHeight="1" s="220"/>
    <row r="156" ht="16.5" customHeight="1" s="220"/>
    <row r="157" ht="16.5" customHeight="1" s="220"/>
    <row r="158" ht="16.5" customHeight="1" s="220"/>
    <row r="159" ht="16.5" customHeight="1" s="220"/>
    <row r="160" ht="16.5" customHeight="1" s="220"/>
    <row r="161" ht="16.5" customHeight="1" s="220"/>
    <row r="162" ht="16.5" customHeight="1" s="220"/>
    <row r="163" ht="16.5" customHeight="1" s="220"/>
    <row r="164" ht="16.5" customHeight="1" s="220"/>
    <row r="165" ht="16.5" customHeight="1" s="220"/>
    <row r="166" ht="16.5" customHeight="1" s="220"/>
    <row r="167" ht="16.5" customHeight="1" s="220"/>
    <row r="168" ht="16.5" customHeight="1" s="220"/>
    <row r="169" ht="16.5" customHeight="1" s="220"/>
    <row r="170" ht="16.5" customHeight="1" s="220"/>
    <row r="171" ht="16.5" customHeight="1" s="220"/>
    <row r="172" ht="16.5" customHeight="1" s="220"/>
    <row r="173" ht="16.5" customHeight="1" s="220"/>
    <row r="174" ht="16.5" customHeight="1" s="220"/>
    <row r="175" ht="16.5" customHeight="1" s="220"/>
    <row r="176" ht="16.5" customHeight="1" s="220"/>
    <row r="177" ht="16.5" customHeight="1" s="220"/>
    <row r="178" ht="16.5" customHeight="1" s="220"/>
    <row r="179" ht="16.5" customHeight="1" s="220"/>
    <row r="180" ht="16.5" customHeight="1" s="220"/>
    <row r="181" ht="16.5" customHeight="1" s="220"/>
    <row r="182" ht="16.5" customHeight="1" s="220"/>
    <row r="183" ht="16.5" customHeight="1" s="220"/>
    <row r="184" ht="16.5" customHeight="1" s="220"/>
    <row r="185" ht="16.5" customHeight="1" s="220"/>
    <row r="186" ht="16.5" customHeight="1" s="220"/>
    <row r="187" ht="16.5" customHeight="1" s="220"/>
    <row r="188" ht="16.5" customHeight="1" s="220"/>
    <row r="189" ht="16.5" customHeight="1" s="220"/>
    <row r="190" ht="16.5" customHeight="1" s="220"/>
    <row r="191" ht="16.5" customHeight="1" s="220"/>
    <row r="192" ht="16.5" customHeight="1" s="220"/>
    <row r="193" ht="16.5" customHeight="1" s="220"/>
    <row r="194" ht="16.5" customHeight="1" s="220"/>
    <row r="195" ht="16.5" customHeight="1" s="220"/>
    <row r="196" ht="16.5" customHeight="1" s="220"/>
    <row r="197" ht="16.5" customHeight="1" s="220"/>
    <row r="198" ht="16.5" customHeight="1" s="220"/>
    <row r="199" ht="16.5" customHeight="1" s="220"/>
    <row r="200" ht="16.5" customHeight="1" s="220"/>
    <row r="201" ht="16.5" customHeight="1" s="220"/>
    <row r="202" ht="16.5" customHeight="1" s="220"/>
    <row r="203" ht="16.5" customHeight="1" s="220"/>
    <row r="204" ht="16.5" customHeight="1" s="220"/>
    <row r="205" ht="16.5" customHeight="1" s="220"/>
    <row r="206" ht="16.5" customHeight="1" s="220"/>
    <row r="207" ht="16.5" customHeight="1" s="220"/>
    <row r="208" ht="16.5" customHeight="1" s="220"/>
    <row r="209" ht="16.5" customHeight="1" s="220"/>
    <row r="210" ht="16.5" customHeight="1" s="220"/>
    <row r="211" ht="16.5" customHeight="1" s="220"/>
    <row r="212" ht="16.5" customHeight="1" s="220"/>
    <row r="213" ht="16.5" customHeight="1" s="220"/>
    <row r="214" ht="16.5" customHeight="1" s="220"/>
    <row r="215" ht="16.5" customHeight="1" s="220"/>
    <row r="216" ht="16.5" customHeight="1" s="220"/>
    <row r="217" ht="16.5" customHeight="1" s="220"/>
    <row r="218" ht="16.5" customHeight="1" s="220"/>
    <row r="219" ht="16.5" customHeight="1" s="220"/>
    <row r="220" ht="16.5" customHeight="1" s="220"/>
    <row r="221" ht="16.5" customHeight="1" s="220"/>
    <row r="222" ht="16.5" customHeight="1" s="220"/>
    <row r="223" ht="16.5" customHeight="1" s="220"/>
    <row r="224" ht="16.5" customHeight="1" s="220"/>
    <row r="225" ht="16.5" customHeight="1" s="220"/>
    <row r="226" ht="16.5" customHeight="1" s="220"/>
    <row r="227" ht="16.5" customHeight="1" s="220"/>
    <row r="228" ht="16.5" customHeight="1" s="220"/>
    <row r="229" ht="16.5" customHeight="1" s="220"/>
    <row r="230" ht="16.5" customHeight="1" s="220"/>
    <row r="231" ht="16.5" customHeight="1" s="220"/>
    <row r="232" ht="16.5" customHeight="1" s="220"/>
    <row r="233" ht="16.5" customHeight="1" s="220"/>
    <row r="234" ht="16.5" customHeight="1" s="220"/>
    <row r="235" ht="16.5" customHeight="1" s="220"/>
    <row r="236" ht="16.5" customHeight="1" s="220"/>
    <row r="237" ht="16.5" customHeight="1" s="220"/>
    <row r="238" ht="16.5" customHeight="1" s="220"/>
    <row r="239" ht="16.5" customHeight="1" s="220"/>
    <row r="240" ht="16.5" customHeight="1" s="220"/>
    <row r="241" ht="16.5" customHeight="1" s="220"/>
    <row r="242" ht="16.5" customHeight="1" s="220"/>
    <row r="243" ht="16.5" customHeight="1" s="220"/>
    <row r="244" ht="16.5" customHeight="1" s="220"/>
    <row r="245" ht="16.5" customHeight="1" s="220"/>
    <row r="246" ht="16.5" customHeight="1" s="220"/>
    <row r="247" ht="16.5" customHeight="1" s="220"/>
    <row r="248" ht="16.5" customHeight="1" s="220"/>
    <row r="249" ht="16.5" customHeight="1" s="220"/>
    <row r="250" ht="16.5" customHeight="1" s="220"/>
    <row r="251" ht="16.5" customHeight="1" s="220"/>
    <row r="252" ht="16.5" customHeight="1" s="220"/>
    <row r="253" ht="16.5" customHeight="1" s="220"/>
    <row r="254" ht="16.5" customHeight="1" s="220"/>
    <row r="255" ht="16.5" customHeight="1" s="220"/>
    <row r="256" ht="16.5" customHeight="1" s="220"/>
    <row r="257" ht="16.5" customHeight="1" s="220"/>
    <row r="258" ht="16.5" customHeight="1" s="220"/>
    <row r="259" ht="16.5" customHeight="1" s="220"/>
    <row r="260" ht="16.5" customHeight="1" s="220"/>
    <row r="261" ht="16.5" customHeight="1" s="220"/>
    <row r="262" ht="16.5" customHeight="1" s="220"/>
    <row r="263" ht="16.5" customHeight="1" s="220"/>
    <row r="264" ht="16.5" customHeight="1" s="220"/>
    <row r="265" ht="16.5" customHeight="1" s="220"/>
    <row r="266" ht="16.5" customHeight="1" s="220"/>
    <row r="267" ht="16.5" customHeight="1" s="220"/>
    <row r="268" ht="16.5" customHeight="1" s="220"/>
    <row r="269" ht="16.5" customHeight="1" s="220"/>
    <row r="270" ht="16.5" customHeight="1" s="220"/>
    <row r="271" ht="16.5" customHeight="1" s="220"/>
    <row r="272" ht="16.5" customHeight="1" s="220"/>
    <row r="273" ht="16.5" customHeight="1" s="220"/>
    <row r="274" ht="16.5" customHeight="1" s="220"/>
    <row r="275" ht="16.5" customHeight="1" s="220"/>
    <row r="276" ht="16.5" customHeight="1" s="220"/>
    <row r="277" ht="16.5" customHeight="1" s="220"/>
    <row r="278" ht="16.5" customHeight="1" s="220"/>
    <row r="279" ht="16.5" customHeight="1" s="220"/>
    <row r="280" ht="16.5" customHeight="1" s="220"/>
    <row r="281" ht="16.5" customHeight="1" s="220"/>
    <row r="282" ht="16.5" customHeight="1" s="220"/>
    <row r="283" ht="16.5" customHeight="1" s="220"/>
    <row r="284" ht="16.5" customHeight="1" s="220"/>
    <row r="285" ht="16.5" customHeight="1" s="220"/>
    <row r="286" ht="16.5" customHeight="1" s="220"/>
    <row r="287" ht="16.5" customHeight="1" s="220"/>
    <row r="288" ht="16.5" customHeight="1" s="220"/>
    <row r="289" ht="16.5" customHeight="1" s="220"/>
    <row r="290" ht="16.5" customHeight="1" s="220"/>
    <row r="291" ht="16.5" customHeight="1" s="220"/>
    <row r="292" ht="16.5" customHeight="1" s="220"/>
    <row r="293" ht="16.5" customHeight="1" s="220"/>
    <row r="294" ht="16.5" customHeight="1" s="220"/>
    <row r="295" ht="16.5" customHeight="1" s="220"/>
    <row r="296" ht="16.5" customHeight="1" s="220"/>
    <row r="297" ht="16.5" customHeight="1" s="220"/>
    <row r="298" ht="16.5" customHeight="1" s="220"/>
    <row r="299" ht="16.5" customHeight="1" s="220"/>
    <row r="300" ht="16.5" customHeight="1" s="220"/>
    <row r="301" ht="16.5" customHeight="1" s="220"/>
    <row r="302" ht="16.5" customHeight="1" s="220"/>
    <row r="303" ht="16.5" customHeight="1" s="220"/>
    <row r="304" ht="16.5" customHeight="1" s="220"/>
    <row r="305" ht="16.5" customHeight="1" s="220"/>
    <row r="306" ht="16.5" customHeight="1" s="220"/>
    <row r="307" ht="16.5" customHeight="1" s="220"/>
    <row r="308" ht="16.5" customHeight="1" s="220"/>
    <row r="309" ht="16.5" customHeight="1" s="220"/>
    <row r="310" ht="16.5" customHeight="1" s="220"/>
    <row r="311" ht="16.5" customHeight="1" s="220"/>
    <row r="312" ht="16.5" customHeight="1" s="220"/>
    <row r="313" ht="16.5" customHeight="1" s="220"/>
    <row r="314" ht="16.5" customHeight="1" s="220"/>
    <row r="315" ht="16.5" customHeight="1" s="220"/>
    <row r="316" ht="16.5" customHeight="1" s="220"/>
    <row r="317" ht="16.5" customHeight="1" s="220"/>
    <row r="318" ht="16.5" customHeight="1" s="220"/>
    <row r="319" ht="16.5" customHeight="1" s="220"/>
    <row r="320" ht="16.5" customHeight="1" s="220"/>
    <row r="321" ht="16.5" customHeight="1" s="220"/>
    <row r="322" ht="16.5" customHeight="1" s="220"/>
    <row r="323" ht="16.5" customHeight="1" s="220"/>
    <row r="324" ht="16.5" customHeight="1" s="220"/>
    <row r="325" ht="16.5" customHeight="1" s="220"/>
    <row r="326" ht="16.5" customHeight="1" s="220"/>
    <row r="327" ht="16.5" customHeight="1" s="220"/>
    <row r="328" ht="16.5" customHeight="1" s="220"/>
    <row r="329" ht="16.5" customHeight="1" s="220"/>
    <row r="330" ht="16.5" customHeight="1" s="220"/>
    <row r="331" ht="16.5" customHeight="1" s="220"/>
    <row r="332" ht="16.5" customHeight="1" s="220"/>
    <row r="333" ht="16.5" customHeight="1" s="220"/>
    <row r="334" ht="16.5" customHeight="1" s="220"/>
    <row r="335" ht="16.5" customHeight="1" s="220"/>
    <row r="336" ht="16.5" customHeight="1" s="220"/>
    <row r="337" ht="16.5" customHeight="1" s="220"/>
    <row r="338" ht="16.5" customHeight="1" s="220"/>
    <row r="339" ht="16.5" customHeight="1" s="220"/>
    <row r="340" ht="16.5" customHeight="1" s="220"/>
    <row r="341" ht="16.5" customHeight="1" s="220"/>
    <row r="342" ht="16.5" customHeight="1" s="220"/>
    <row r="343" ht="16.5" customHeight="1" s="220"/>
    <row r="344" ht="16.5" customHeight="1" s="220"/>
    <row r="345" ht="16.5" customHeight="1" s="220"/>
    <row r="346" ht="16.5" customHeight="1" s="220"/>
    <row r="347" ht="16.5" customHeight="1" s="220"/>
    <row r="348" ht="16.5" customHeight="1" s="220"/>
    <row r="349" ht="16.5" customHeight="1" s="220"/>
    <row r="350" ht="16.5" customHeight="1" s="220"/>
    <row r="351" ht="16.5" customHeight="1" s="220"/>
    <row r="352" ht="16.5" customHeight="1" s="220"/>
    <row r="353" ht="16.5" customHeight="1" s="220"/>
    <row r="354" ht="16.5" customHeight="1" s="220"/>
    <row r="355" ht="16.5" customHeight="1" s="220"/>
    <row r="356" ht="16.5" customHeight="1" s="220"/>
    <row r="357" ht="16.5" customHeight="1" s="220"/>
    <row r="358" ht="16.5" customHeight="1" s="220"/>
    <row r="359" ht="16.5" customHeight="1" s="220"/>
    <row r="360" ht="16.5" customHeight="1" s="220"/>
    <row r="361" ht="16.5" customHeight="1" s="220"/>
    <row r="362" ht="16.5" customHeight="1" s="220"/>
    <row r="363" ht="16.5" customHeight="1" s="220"/>
    <row r="364" ht="16.5" customHeight="1" s="220"/>
    <row r="365" ht="16.5" customHeight="1" s="220"/>
    <row r="366" ht="16.5" customHeight="1" s="220"/>
    <row r="367" ht="16.5" customHeight="1" s="220"/>
    <row r="368" ht="16.5" customHeight="1" s="220"/>
    <row r="369" ht="16.5" customHeight="1" s="220"/>
    <row r="370" ht="16.5" customHeight="1" s="220"/>
    <row r="371" ht="16.5" customHeight="1" s="220"/>
    <row r="372" ht="16.5" customHeight="1" s="220"/>
    <row r="373" ht="16.5" customHeight="1" s="220"/>
    <row r="374" ht="16.5" customHeight="1" s="220"/>
    <row r="375" ht="16.5" customHeight="1" s="220"/>
    <row r="376" ht="16.5" customHeight="1" s="220"/>
    <row r="377" ht="16.5" customHeight="1" s="220"/>
    <row r="378" ht="16.5" customHeight="1" s="220"/>
    <row r="379" ht="16.5" customHeight="1" s="220"/>
    <row r="380" ht="16.5" customHeight="1" s="220"/>
    <row r="381" ht="16.5" customHeight="1" s="220"/>
    <row r="382" ht="16.5" customHeight="1" s="220"/>
    <row r="383" ht="16.5" customHeight="1" s="220"/>
    <row r="384" ht="16.5" customHeight="1" s="220"/>
    <row r="385" ht="16.5" customHeight="1" s="220"/>
    <row r="386" ht="16.5" customHeight="1" s="220"/>
    <row r="387" ht="16.5" customHeight="1" s="220"/>
    <row r="388" ht="16.5" customHeight="1" s="220"/>
    <row r="389" ht="16.5" customHeight="1" s="220"/>
    <row r="390" ht="16.5" customHeight="1" s="220"/>
    <row r="391" ht="16.5" customHeight="1" s="220"/>
    <row r="392" ht="16.5" customHeight="1" s="220"/>
    <row r="393" ht="16.5" customHeight="1" s="220"/>
    <row r="394" ht="16.5" customHeight="1" s="220"/>
    <row r="395" ht="16.5" customHeight="1" s="220"/>
    <row r="396" ht="16.5" customHeight="1" s="220"/>
    <row r="397" ht="16.5" customHeight="1" s="220"/>
    <row r="398" ht="16.5" customHeight="1" s="220"/>
    <row r="399" ht="16.5" customHeight="1" s="220"/>
    <row r="400" ht="16.5" customHeight="1" s="220"/>
    <row r="401" ht="16.5" customHeight="1" s="220"/>
    <row r="402" ht="16.5" customHeight="1" s="220"/>
    <row r="403" ht="16.5" customHeight="1" s="220"/>
    <row r="404" ht="16.5" customHeight="1" s="220"/>
    <row r="405" ht="16.5" customHeight="1" s="220"/>
    <row r="406" ht="16.5" customHeight="1" s="220"/>
    <row r="407" ht="16.5" customHeight="1" s="220"/>
    <row r="408" ht="16.5" customHeight="1" s="220"/>
    <row r="409" ht="16.5" customHeight="1" s="220"/>
    <row r="410" ht="16.5" customHeight="1" s="220"/>
    <row r="411" ht="16.5" customHeight="1" s="220"/>
    <row r="412" ht="16.5" customHeight="1" s="220"/>
    <row r="413" ht="16.5" customHeight="1" s="220"/>
    <row r="414" ht="16.5" customHeight="1" s="220"/>
    <row r="415" ht="16.5" customHeight="1" s="220"/>
    <row r="416" ht="16.5" customHeight="1" s="220"/>
    <row r="417" ht="16.5" customHeight="1" s="220"/>
    <row r="418" ht="16.5" customHeight="1" s="220"/>
    <row r="419" ht="16.5" customHeight="1" s="220"/>
    <row r="420" ht="16.5" customHeight="1" s="220"/>
    <row r="421" ht="16.5" customHeight="1" s="220"/>
    <row r="422" ht="16.5" customHeight="1" s="220"/>
    <row r="423" ht="16.5" customHeight="1" s="220"/>
    <row r="424" ht="16.5" customHeight="1" s="220"/>
    <row r="425" ht="16.5" customHeight="1" s="220"/>
    <row r="426" ht="16.5" customHeight="1" s="220"/>
    <row r="427" ht="16.5" customHeight="1" s="220"/>
    <row r="428" ht="16.5" customHeight="1" s="220"/>
    <row r="429" ht="16.5" customHeight="1" s="220"/>
    <row r="430" ht="16.5" customHeight="1" s="220"/>
    <row r="431" ht="16.5" customHeight="1" s="220"/>
    <row r="432" ht="16.5" customHeight="1" s="220"/>
    <row r="433" ht="16.5" customHeight="1" s="220"/>
    <row r="434" ht="16.5" customHeight="1" s="220"/>
    <row r="435" ht="16.5" customHeight="1" s="220"/>
    <row r="436" ht="16.5" customHeight="1" s="220"/>
    <row r="437" ht="16.5" customHeight="1" s="220"/>
    <row r="438" ht="16.5" customHeight="1" s="220"/>
    <row r="439" ht="16.5" customHeight="1" s="220"/>
    <row r="440" ht="16.5" customHeight="1" s="220"/>
    <row r="441" ht="16.5" customHeight="1" s="220"/>
    <row r="442" ht="16.5" customHeight="1" s="220"/>
    <row r="443" ht="16.5" customHeight="1" s="220"/>
    <row r="444" ht="16.5" customHeight="1" s="220"/>
    <row r="445" ht="16.5" customHeight="1" s="220"/>
    <row r="446" ht="16.5" customHeight="1" s="220"/>
    <row r="447" ht="16.5" customHeight="1" s="220"/>
    <row r="448" ht="16.5" customHeight="1" s="220"/>
    <row r="449" ht="16.5" customHeight="1" s="220"/>
    <row r="450" ht="16.5" customHeight="1" s="220"/>
    <row r="451" ht="16.5" customHeight="1" s="220"/>
    <row r="452" ht="16.5" customHeight="1" s="220"/>
    <row r="453" ht="16.5" customHeight="1" s="220"/>
    <row r="454" ht="16.5" customHeight="1" s="220"/>
    <row r="455" ht="16.5" customHeight="1" s="220"/>
    <row r="456" ht="16.5" customHeight="1" s="220"/>
    <row r="457" ht="16.5" customHeight="1" s="220"/>
    <row r="458" ht="16.5" customHeight="1" s="220"/>
    <row r="459" ht="16.5" customHeight="1" s="220"/>
    <row r="460" ht="16.5" customHeight="1" s="220"/>
    <row r="461" ht="16.5" customHeight="1" s="220"/>
    <row r="462" ht="16.5" customHeight="1" s="220"/>
    <row r="463" ht="16.5" customHeight="1" s="220"/>
    <row r="464" ht="16.5" customHeight="1" s="220"/>
    <row r="465" ht="16.5" customHeight="1" s="220"/>
    <row r="466" ht="16.5" customHeight="1" s="220"/>
    <row r="467" ht="16.5" customHeight="1" s="220"/>
    <row r="468" ht="16.5" customHeight="1" s="220"/>
    <row r="469" ht="16.5" customHeight="1" s="220"/>
    <row r="470" ht="16.5" customHeight="1" s="220"/>
    <row r="471" ht="16.5" customHeight="1" s="220"/>
    <row r="472" ht="16.5" customHeight="1" s="220"/>
    <row r="473" ht="16.5" customHeight="1" s="220"/>
    <row r="474" ht="16.5" customHeight="1" s="220"/>
    <row r="475" ht="16.5" customHeight="1" s="220"/>
    <row r="476" ht="16.5" customHeight="1" s="220"/>
    <row r="477" ht="16.5" customHeight="1" s="220"/>
    <row r="478" ht="16.5" customHeight="1" s="220"/>
    <row r="479" ht="16.5" customHeight="1" s="220"/>
    <row r="480" ht="16.5" customHeight="1" s="220"/>
    <row r="481" ht="16.5" customHeight="1" s="220"/>
    <row r="482" ht="16.5" customHeight="1" s="220"/>
    <row r="483" ht="16.5" customHeight="1" s="220"/>
    <row r="484" ht="16.5" customHeight="1" s="220"/>
    <row r="485" ht="16.5" customHeight="1" s="220"/>
    <row r="486" ht="16.5" customHeight="1" s="220"/>
    <row r="487" ht="16.5" customHeight="1" s="220"/>
    <row r="488" ht="16.5" customHeight="1" s="220"/>
    <row r="489" ht="16.5" customHeight="1" s="220"/>
    <row r="490" ht="16.5" customHeight="1" s="220"/>
    <row r="491" ht="16.5" customHeight="1" s="220"/>
    <row r="492" ht="16.5" customHeight="1" s="220"/>
    <row r="493" ht="16.5" customHeight="1" s="220"/>
    <row r="494" ht="16.5" customHeight="1" s="220"/>
    <row r="495" ht="16.5" customHeight="1" s="220"/>
    <row r="496" ht="16.5" customHeight="1" s="220"/>
    <row r="497" ht="16.5" customHeight="1" s="220"/>
    <row r="498" ht="16.5" customHeight="1" s="220"/>
    <row r="499" ht="16.5" customHeight="1" s="220"/>
    <row r="500" ht="16.5" customHeight="1" s="220"/>
    <row r="501" ht="16.5" customHeight="1" s="220"/>
    <row r="502" ht="16.5" customHeight="1" s="220"/>
    <row r="503" ht="16.5" customHeight="1" s="220"/>
    <row r="504" ht="16.5" customHeight="1" s="220"/>
    <row r="505" ht="16.5" customHeight="1" s="220"/>
    <row r="506" ht="16.5" customHeight="1" s="220"/>
    <row r="507" ht="16.5" customHeight="1" s="220"/>
    <row r="508" ht="16.5" customHeight="1" s="220"/>
    <row r="509" ht="16.5" customHeight="1" s="220"/>
    <row r="510" ht="16.5" customHeight="1" s="220"/>
    <row r="511" ht="16.5" customHeight="1" s="220"/>
    <row r="512" ht="16.5" customHeight="1" s="220"/>
    <row r="513" ht="16.5" customHeight="1" s="220"/>
    <row r="514" ht="16.5" customHeight="1" s="220"/>
    <row r="515" ht="16.5" customHeight="1" s="220"/>
    <row r="516" ht="16.5" customHeight="1" s="220"/>
    <row r="517" ht="16.5" customHeight="1" s="220"/>
    <row r="518" ht="16.5" customHeight="1" s="220"/>
    <row r="519" ht="16.5" customHeight="1" s="220"/>
    <row r="520" ht="16.5" customHeight="1" s="220"/>
    <row r="521" ht="16.5" customHeight="1" s="220"/>
    <row r="522" ht="16.5" customHeight="1" s="220"/>
    <row r="523" ht="16.5" customHeight="1" s="220"/>
    <row r="524" ht="16.5" customHeight="1" s="220"/>
    <row r="525" ht="16.5" customHeight="1" s="220"/>
    <row r="526" ht="16.5" customHeight="1" s="220"/>
    <row r="527" ht="16.5" customHeight="1" s="220"/>
    <row r="528" ht="16.5" customHeight="1" s="220"/>
    <row r="529" ht="16.5" customHeight="1" s="220"/>
    <row r="530" ht="16.5" customHeight="1" s="220"/>
    <row r="531" ht="16.5" customHeight="1" s="220"/>
    <row r="532" ht="16.5" customHeight="1" s="220"/>
    <row r="533" ht="16.5" customHeight="1" s="220"/>
    <row r="534" ht="16.5" customHeight="1" s="220"/>
    <row r="535" ht="16.5" customHeight="1" s="220"/>
    <row r="536" ht="16.5" customHeight="1" s="220"/>
    <row r="537" ht="16.5" customHeight="1" s="220"/>
    <row r="538" ht="16.5" customHeight="1" s="220"/>
    <row r="539" ht="16.5" customHeight="1" s="220"/>
    <row r="540" ht="16.5" customHeight="1" s="220"/>
    <row r="541" ht="16.5" customHeight="1" s="220"/>
    <row r="542" ht="16.5" customHeight="1" s="220"/>
    <row r="543" ht="16.5" customHeight="1" s="220"/>
    <row r="544" ht="16.5" customHeight="1" s="220"/>
    <row r="545" ht="16.5" customHeight="1" s="220"/>
    <row r="546" ht="16.5" customHeight="1" s="220"/>
    <row r="547" ht="16.5" customHeight="1" s="220"/>
    <row r="548" ht="16.5" customHeight="1" s="220"/>
    <row r="549" ht="16.5" customHeight="1" s="220"/>
    <row r="550" ht="16.5" customHeight="1" s="220"/>
    <row r="551" ht="16.5" customHeight="1" s="220"/>
    <row r="552" ht="16.5" customHeight="1" s="220"/>
    <row r="553" ht="16.5" customHeight="1" s="220"/>
    <row r="554" ht="16.5" customHeight="1" s="220"/>
    <row r="555" ht="16.5" customHeight="1" s="220"/>
    <row r="556" ht="16.5" customHeight="1" s="220"/>
    <row r="557" ht="16.5" customHeight="1" s="220"/>
    <row r="558" ht="16.5" customHeight="1" s="220"/>
    <row r="559" ht="16.5" customHeight="1" s="220"/>
    <row r="560" ht="16.5" customHeight="1" s="220"/>
    <row r="561" ht="16.5" customHeight="1" s="220"/>
    <row r="562" ht="16.5" customHeight="1" s="220"/>
    <row r="563" ht="16.5" customHeight="1" s="220"/>
    <row r="564" ht="16.5" customHeight="1" s="220"/>
    <row r="565" ht="16.5" customHeight="1" s="220"/>
    <row r="566" ht="16.5" customHeight="1" s="220"/>
    <row r="567" ht="16.5" customHeight="1" s="220"/>
    <row r="568" ht="16.5" customHeight="1" s="220"/>
    <row r="569" ht="16.5" customHeight="1" s="220"/>
    <row r="570" ht="16.5" customHeight="1" s="220"/>
    <row r="571" ht="16.5" customHeight="1" s="220"/>
    <row r="572" ht="16.5" customHeight="1" s="220"/>
    <row r="573" ht="16.5" customHeight="1" s="220"/>
    <row r="574" ht="16.5" customHeight="1" s="220"/>
    <row r="575" ht="16.5" customHeight="1" s="220"/>
    <row r="576" ht="16.5" customHeight="1" s="220"/>
    <row r="577" ht="16.5" customHeight="1" s="220"/>
    <row r="578" ht="16.5" customHeight="1" s="220"/>
    <row r="579" ht="16.5" customHeight="1" s="220"/>
    <row r="580" ht="16.5" customHeight="1" s="220"/>
    <row r="581" ht="16.5" customHeight="1" s="220"/>
    <row r="582" ht="16.5" customHeight="1" s="220"/>
    <row r="583" ht="16.5" customHeight="1" s="220"/>
    <row r="584" ht="16.5" customHeight="1" s="220"/>
    <row r="585" ht="16.5" customHeight="1" s="220"/>
    <row r="586" ht="16.5" customHeight="1" s="220"/>
    <row r="587" ht="16.5" customHeight="1" s="220"/>
    <row r="588" ht="16.5" customHeight="1" s="220"/>
    <row r="589" ht="16.5" customHeight="1" s="220"/>
    <row r="590" ht="16.5" customHeight="1" s="220"/>
    <row r="591" ht="16.5" customHeight="1" s="220"/>
    <row r="592" ht="16.5" customHeight="1" s="220"/>
    <row r="593" ht="16.5" customHeight="1" s="220"/>
    <row r="594" ht="16.5" customHeight="1" s="220"/>
    <row r="595" ht="16.5" customHeight="1" s="220"/>
    <row r="596" ht="16.5" customHeight="1" s="220"/>
    <row r="597" ht="16.5" customHeight="1" s="220"/>
    <row r="598" ht="16.5" customHeight="1" s="220"/>
    <row r="599" ht="16.5" customHeight="1" s="220"/>
    <row r="600" ht="16.5" customHeight="1" s="220"/>
    <row r="601" ht="16.5" customHeight="1" s="220"/>
    <row r="602" ht="16.5" customHeight="1" s="220"/>
    <row r="603" ht="16.5" customHeight="1" s="220"/>
    <row r="604" ht="16.5" customHeight="1" s="220"/>
    <row r="605" ht="16.5" customHeight="1" s="220"/>
    <row r="606" ht="16.5" customHeight="1" s="220"/>
    <row r="607" ht="16.5" customHeight="1" s="220"/>
    <row r="608" ht="16.5" customHeight="1" s="220"/>
    <row r="609" ht="16.5" customHeight="1" s="220"/>
    <row r="610" ht="16.5" customHeight="1" s="220"/>
    <row r="611" ht="16.5" customHeight="1" s="220"/>
    <row r="612" ht="16.5" customHeight="1" s="220"/>
    <row r="613" ht="16.5" customHeight="1" s="220"/>
    <row r="614" ht="16.5" customHeight="1" s="220"/>
    <row r="615" ht="16.5" customHeight="1" s="220"/>
    <row r="616" ht="16.5" customHeight="1" s="220"/>
    <row r="617" ht="16.5" customHeight="1" s="220"/>
    <row r="618" ht="16.5" customHeight="1" s="220"/>
    <row r="619" ht="16.5" customHeight="1" s="220"/>
    <row r="620" ht="16.5" customHeight="1" s="220"/>
    <row r="621" ht="16.5" customHeight="1" s="220"/>
    <row r="622" ht="16.5" customHeight="1" s="220"/>
    <row r="623" ht="16.5" customHeight="1" s="220"/>
    <row r="624" ht="16.5" customHeight="1" s="220"/>
    <row r="625" ht="16.5" customHeight="1" s="220"/>
    <row r="626" ht="16.5" customHeight="1" s="220"/>
    <row r="627" ht="16.5" customHeight="1" s="220"/>
    <row r="628" ht="16.5" customHeight="1" s="220"/>
    <row r="629" ht="16.5" customHeight="1" s="220"/>
    <row r="630" ht="16.5" customHeight="1" s="220"/>
    <row r="631" ht="16.5" customHeight="1" s="220"/>
    <row r="632" ht="16.5" customHeight="1" s="220"/>
    <row r="633" ht="16.5" customHeight="1" s="220"/>
    <row r="634" ht="16.5" customHeight="1" s="220"/>
    <row r="635" ht="16.5" customHeight="1" s="220"/>
    <row r="636" ht="16.5" customHeight="1" s="220"/>
    <row r="637" ht="16.5" customHeight="1" s="220"/>
    <row r="638" ht="16.5" customHeight="1" s="220"/>
    <row r="639" ht="16.5" customHeight="1" s="220"/>
    <row r="640" ht="16.5" customHeight="1" s="220"/>
    <row r="641" ht="16.5" customHeight="1" s="220"/>
    <row r="642" ht="16.5" customHeight="1" s="220"/>
    <row r="643" ht="16.5" customHeight="1" s="220"/>
    <row r="644" ht="16.5" customHeight="1" s="220"/>
    <row r="645" ht="16.5" customHeight="1" s="220"/>
    <row r="646" ht="16.5" customHeight="1" s="220"/>
    <row r="647" ht="16.5" customHeight="1" s="220"/>
    <row r="648" ht="16.5" customHeight="1" s="220"/>
    <row r="649" ht="16.5" customHeight="1" s="220"/>
    <row r="650" ht="16.5" customHeight="1" s="220"/>
    <row r="651" ht="16.5" customHeight="1" s="220"/>
    <row r="652" ht="16.5" customHeight="1" s="220"/>
    <row r="653" ht="16.5" customHeight="1" s="220"/>
    <row r="654" ht="16.5" customHeight="1" s="220"/>
    <row r="655" ht="16.5" customHeight="1" s="220"/>
    <row r="656" ht="16.5" customHeight="1" s="220"/>
    <row r="657" ht="16.5" customHeight="1" s="220"/>
    <row r="658" ht="16.5" customHeight="1" s="220"/>
    <row r="659" ht="16.5" customHeight="1" s="220"/>
    <row r="660" ht="16.5" customHeight="1" s="220"/>
    <row r="661" ht="16.5" customHeight="1" s="220"/>
    <row r="662" ht="16.5" customHeight="1" s="220"/>
    <row r="663" ht="16.5" customHeight="1" s="220"/>
    <row r="664" ht="16.5" customHeight="1" s="220"/>
    <row r="665" ht="16.5" customHeight="1" s="220"/>
    <row r="666" ht="16.5" customHeight="1" s="220"/>
    <row r="667" ht="16.5" customHeight="1" s="220"/>
    <row r="668" ht="16.5" customHeight="1" s="220"/>
    <row r="669" ht="16.5" customHeight="1" s="220"/>
    <row r="670" ht="16.5" customHeight="1" s="220"/>
    <row r="671" ht="16.5" customHeight="1" s="220"/>
    <row r="672" ht="16.5" customHeight="1" s="220"/>
    <row r="673" ht="16.5" customHeight="1" s="220"/>
    <row r="674" ht="16.5" customHeight="1" s="220"/>
    <row r="675" ht="16.5" customHeight="1" s="220"/>
    <row r="676" ht="16.5" customHeight="1" s="220"/>
    <row r="677" ht="16.5" customHeight="1" s="220"/>
    <row r="678" ht="16.5" customHeight="1" s="220"/>
    <row r="679" ht="16.5" customHeight="1" s="220"/>
    <row r="680" ht="16.5" customHeight="1" s="220"/>
    <row r="681" ht="16.5" customHeight="1" s="220"/>
    <row r="682" ht="16.5" customHeight="1" s="220"/>
    <row r="683" ht="16.5" customHeight="1" s="220"/>
    <row r="684" ht="16.5" customHeight="1" s="220"/>
    <row r="685" ht="16.5" customHeight="1" s="220"/>
    <row r="686" ht="16.5" customHeight="1" s="220"/>
    <row r="687" ht="16.5" customHeight="1" s="220"/>
    <row r="688" ht="16.5" customHeight="1" s="220"/>
    <row r="689" ht="16.5" customHeight="1" s="220"/>
    <row r="690" ht="16.5" customHeight="1" s="220"/>
    <row r="691" ht="16.5" customHeight="1" s="220"/>
    <row r="692" ht="16.5" customHeight="1" s="220"/>
    <row r="693" ht="16.5" customHeight="1" s="220"/>
    <row r="694" ht="16.5" customHeight="1" s="220"/>
    <row r="695" ht="16.5" customHeight="1" s="220"/>
    <row r="696" ht="16.5" customHeight="1" s="220"/>
    <row r="697" ht="16.5" customHeight="1" s="220"/>
    <row r="698" ht="16.5" customHeight="1" s="220"/>
    <row r="699" ht="16.5" customHeight="1" s="220"/>
    <row r="700" ht="16.5" customHeight="1" s="220"/>
    <row r="701" ht="16.5" customHeight="1" s="220"/>
    <row r="702" ht="16.5" customHeight="1" s="220"/>
    <row r="703" ht="16.5" customHeight="1" s="220"/>
    <row r="704" ht="16.5" customHeight="1" s="220"/>
    <row r="705" ht="16.5" customHeight="1" s="220"/>
    <row r="706" ht="16.5" customHeight="1" s="220"/>
    <row r="707" ht="16.5" customHeight="1" s="220"/>
    <row r="708" ht="16.5" customHeight="1" s="220"/>
    <row r="709" ht="16.5" customHeight="1" s="220"/>
    <row r="710" ht="16.5" customHeight="1" s="220"/>
    <row r="711" ht="16.5" customHeight="1" s="220"/>
    <row r="712" ht="16.5" customHeight="1" s="220"/>
    <row r="713" ht="16.5" customHeight="1" s="220"/>
    <row r="714" ht="16.5" customHeight="1" s="220"/>
    <row r="715" ht="16.5" customHeight="1" s="220"/>
    <row r="716" ht="16.5" customHeight="1" s="220"/>
    <row r="717" ht="16.5" customHeight="1" s="220"/>
    <row r="718" ht="16.5" customHeight="1" s="220"/>
    <row r="719" ht="16.5" customHeight="1" s="220"/>
    <row r="720" ht="16.5" customHeight="1" s="220"/>
    <row r="721" ht="16.5" customHeight="1" s="220"/>
    <row r="722" ht="16.5" customHeight="1" s="220"/>
    <row r="723" ht="16.5" customHeight="1" s="220"/>
    <row r="724" ht="16.5" customHeight="1" s="220"/>
    <row r="725" ht="16.5" customHeight="1" s="220"/>
    <row r="726" ht="16.5" customHeight="1" s="220"/>
    <row r="727" ht="16.5" customHeight="1" s="220"/>
    <row r="728" ht="16.5" customHeight="1" s="220"/>
    <row r="729" ht="16.5" customHeight="1" s="220"/>
    <row r="730" ht="16.5" customHeight="1" s="220"/>
    <row r="731" ht="16.5" customHeight="1" s="220"/>
    <row r="732" ht="16.5" customHeight="1" s="220"/>
    <row r="733" ht="16.5" customHeight="1" s="220"/>
    <row r="734" ht="16.5" customHeight="1" s="220"/>
    <row r="735" ht="16.5" customHeight="1" s="220"/>
    <row r="736" ht="16.5" customHeight="1" s="220"/>
    <row r="737" ht="16.5" customHeight="1" s="220"/>
    <row r="738" ht="16.5" customHeight="1" s="220"/>
    <row r="739" ht="16.5" customHeight="1" s="220"/>
    <row r="740" ht="16.5" customHeight="1" s="220"/>
    <row r="741" ht="16.5" customHeight="1" s="220"/>
    <row r="742" ht="16.5" customHeight="1" s="220"/>
    <row r="743" ht="16.5" customHeight="1" s="220"/>
    <row r="744" ht="16.5" customHeight="1" s="220"/>
    <row r="745" ht="16.5" customHeight="1" s="220"/>
    <row r="746" ht="16.5" customHeight="1" s="220"/>
    <row r="747" ht="16.5" customHeight="1" s="220"/>
    <row r="748" ht="16.5" customHeight="1" s="220"/>
    <row r="749" ht="16.5" customHeight="1" s="220"/>
    <row r="750" ht="16.5" customHeight="1" s="220"/>
    <row r="751" ht="16.5" customHeight="1" s="220"/>
    <row r="752" ht="16.5" customHeight="1" s="220"/>
    <row r="753" ht="16.5" customHeight="1" s="220"/>
    <row r="754" ht="16.5" customHeight="1" s="220"/>
    <row r="755" ht="16.5" customHeight="1" s="220"/>
    <row r="756" ht="16.5" customHeight="1" s="220"/>
    <row r="757" ht="16.5" customHeight="1" s="220"/>
    <row r="758" ht="16.5" customHeight="1" s="220"/>
    <row r="759" ht="16.5" customHeight="1" s="220"/>
    <row r="760" ht="16.5" customHeight="1" s="220"/>
    <row r="761" ht="16.5" customHeight="1" s="220"/>
    <row r="762" ht="16.5" customHeight="1" s="220"/>
    <row r="763" ht="16.5" customHeight="1" s="220"/>
    <row r="764" ht="16.5" customHeight="1" s="220"/>
    <row r="765" ht="16.5" customHeight="1" s="220"/>
    <row r="766" ht="16.5" customHeight="1" s="220"/>
    <row r="767" ht="16.5" customHeight="1" s="220"/>
    <row r="768" ht="16.5" customHeight="1" s="220"/>
    <row r="769" ht="16.5" customHeight="1" s="220"/>
    <row r="770" ht="16.5" customHeight="1" s="220"/>
    <row r="771" ht="16.5" customHeight="1" s="220"/>
    <row r="772" ht="16.5" customHeight="1" s="220"/>
    <row r="773" ht="16.5" customHeight="1" s="220"/>
    <row r="774" ht="16.5" customHeight="1" s="220"/>
    <row r="775" ht="16.5" customHeight="1" s="220"/>
    <row r="776" ht="16.5" customHeight="1" s="220"/>
    <row r="777" ht="16.5" customHeight="1" s="220"/>
    <row r="778" ht="16.5" customHeight="1" s="220"/>
    <row r="779" ht="16.5" customHeight="1" s="220"/>
    <row r="780" ht="16.5" customHeight="1" s="220"/>
    <row r="781" ht="16.5" customHeight="1" s="220"/>
    <row r="782" ht="16.5" customHeight="1" s="220"/>
    <row r="783" ht="16.5" customHeight="1" s="220"/>
    <row r="784" ht="16.5" customHeight="1" s="220"/>
    <row r="785" ht="16.5" customHeight="1" s="220"/>
    <row r="786" ht="16.5" customHeight="1" s="220"/>
    <row r="787" ht="16.5" customHeight="1" s="220"/>
    <row r="788" ht="16.5" customHeight="1" s="220"/>
    <row r="789" ht="16.5" customHeight="1" s="220"/>
    <row r="790" ht="16.5" customHeight="1" s="220"/>
    <row r="791" ht="16.5" customHeight="1" s="220"/>
    <row r="792" ht="16.5" customHeight="1" s="220"/>
    <row r="793" ht="16.5" customHeight="1" s="220"/>
    <row r="794" ht="16.5" customHeight="1" s="220"/>
    <row r="795" ht="16.5" customHeight="1" s="220"/>
    <row r="796" ht="16.5" customHeight="1" s="220"/>
    <row r="797" ht="16.5" customHeight="1" s="220"/>
    <row r="798" ht="16.5" customHeight="1" s="220"/>
    <row r="799" ht="16.5" customHeight="1" s="220"/>
    <row r="800" ht="16.5" customHeight="1" s="220"/>
    <row r="801" ht="16.5" customHeight="1" s="220"/>
    <row r="802" ht="16.5" customHeight="1" s="220"/>
    <row r="803" ht="16.5" customHeight="1" s="220"/>
    <row r="804" ht="16.5" customHeight="1" s="220"/>
    <row r="805" ht="16.5" customHeight="1" s="220"/>
    <row r="806" ht="16.5" customHeight="1" s="220"/>
    <row r="807" ht="16.5" customHeight="1" s="220"/>
    <row r="808" ht="16.5" customHeight="1" s="220"/>
    <row r="809" ht="16.5" customHeight="1" s="220"/>
    <row r="810" ht="16.5" customHeight="1" s="220"/>
    <row r="811" ht="16.5" customHeight="1" s="220"/>
    <row r="812" ht="16.5" customHeight="1" s="220"/>
    <row r="813" ht="16.5" customHeight="1" s="220"/>
    <row r="814" ht="16.5" customHeight="1" s="220"/>
    <row r="815" ht="16.5" customHeight="1" s="220"/>
    <row r="816" ht="16.5" customHeight="1" s="220"/>
    <row r="817" ht="16.5" customHeight="1" s="220"/>
    <row r="818" ht="16.5" customHeight="1" s="220"/>
    <row r="819" ht="16.5" customHeight="1" s="220"/>
    <row r="820" ht="16.5" customHeight="1" s="220"/>
    <row r="821" ht="16.5" customHeight="1" s="220"/>
    <row r="822" ht="16.5" customHeight="1" s="220"/>
    <row r="823" ht="16.5" customHeight="1" s="220"/>
    <row r="824" ht="16.5" customHeight="1" s="220"/>
    <row r="825" ht="16.5" customHeight="1" s="220"/>
    <row r="826" ht="16.5" customHeight="1" s="220"/>
    <row r="827" ht="16.5" customHeight="1" s="220"/>
    <row r="828" ht="16.5" customHeight="1" s="220"/>
    <row r="829" ht="16.5" customHeight="1" s="220"/>
    <row r="830" ht="16.5" customHeight="1" s="220"/>
    <row r="831" ht="16.5" customHeight="1" s="220"/>
    <row r="832" ht="16.5" customHeight="1" s="220"/>
    <row r="833" ht="16.5" customHeight="1" s="220"/>
    <row r="834" ht="16.5" customHeight="1" s="220"/>
    <row r="835" ht="16.5" customHeight="1" s="220"/>
    <row r="836" ht="16.5" customHeight="1" s="220"/>
    <row r="837" ht="16.5" customHeight="1" s="220"/>
    <row r="838" ht="16.5" customHeight="1" s="220"/>
    <row r="839" ht="16.5" customHeight="1" s="220"/>
    <row r="840" ht="16.5" customHeight="1" s="220"/>
    <row r="841" ht="16.5" customHeight="1" s="220"/>
    <row r="842" ht="16.5" customHeight="1" s="220"/>
    <row r="843" ht="16.5" customHeight="1" s="220"/>
    <row r="844" ht="16.5" customHeight="1" s="220"/>
    <row r="845" ht="16.5" customHeight="1" s="220"/>
    <row r="846" ht="16.5" customHeight="1" s="220"/>
    <row r="847" ht="16.5" customHeight="1" s="220"/>
    <row r="848" ht="16.5" customHeight="1" s="220"/>
    <row r="849" ht="16.5" customHeight="1" s="220"/>
    <row r="850" ht="16.5" customHeight="1" s="220"/>
    <row r="851" ht="16.5" customHeight="1" s="220"/>
    <row r="852" ht="16.5" customHeight="1" s="220"/>
    <row r="853" ht="16.5" customHeight="1" s="220"/>
    <row r="854" ht="16.5" customHeight="1" s="220"/>
    <row r="855" ht="16.5" customHeight="1" s="220"/>
    <row r="856" ht="16.5" customHeight="1" s="220"/>
    <row r="857" ht="16.5" customHeight="1" s="220"/>
    <row r="858" ht="16.5" customHeight="1" s="220"/>
    <row r="859" ht="16.5" customHeight="1" s="220"/>
    <row r="860" ht="16.5" customHeight="1" s="220"/>
    <row r="861" ht="16.5" customHeight="1" s="220"/>
    <row r="862" ht="16.5" customHeight="1" s="220"/>
    <row r="863" ht="16.5" customHeight="1" s="220"/>
    <row r="864" ht="16.5" customHeight="1" s="220"/>
    <row r="865" ht="16.5" customHeight="1" s="220"/>
    <row r="866" ht="16.5" customHeight="1" s="220"/>
    <row r="867" ht="16.5" customHeight="1" s="220"/>
    <row r="868" ht="16.5" customHeight="1" s="220"/>
    <row r="869" ht="16.5" customHeight="1" s="220"/>
    <row r="870" ht="16.5" customHeight="1" s="220"/>
    <row r="871" ht="16.5" customHeight="1" s="220"/>
    <row r="872" ht="16.5" customHeight="1" s="220"/>
    <row r="873" ht="16.5" customHeight="1" s="220"/>
    <row r="874" ht="16.5" customHeight="1" s="220"/>
    <row r="875" ht="16.5" customHeight="1" s="220"/>
    <row r="876" ht="16.5" customHeight="1" s="220"/>
    <row r="877" ht="16.5" customHeight="1" s="220"/>
    <row r="878" ht="16.5" customHeight="1" s="220"/>
    <row r="879" ht="16.5" customHeight="1" s="220"/>
    <row r="880" ht="16.5" customHeight="1" s="220"/>
    <row r="881" ht="16.5" customHeight="1" s="220"/>
    <row r="882" ht="16.5" customHeight="1" s="220"/>
    <row r="883" ht="16.5" customHeight="1" s="220"/>
    <row r="884" ht="16.5" customHeight="1" s="220"/>
    <row r="885" ht="16.5" customHeight="1" s="220"/>
    <row r="886" ht="16.5" customHeight="1" s="220"/>
    <row r="887" ht="16.5" customHeight="1" s="220"/>
    <row r="888" ht="16.5" customHeight="1" s="220"/>
    <row r="889" ht="16.5" customHeight="1" s="220"/>
    <row r="890" ht="16.5" customHeight="1" s="220"/>
    <row r="891" ht="16.5" customHeight="1" s="220"/>
    <row r="892" ht="16.5" customHeight="1" s="220"/>
    <row r="893" ht="16.5" customHeight="1" s="220"/>
    <row r="894" ht="16.5" customHeight="1" s="220"/>
    <row r="895" ht="16.5" customHeight="1" s="220"/>
    <row r="896" ht="16.5" customHeight="1" s="220"/>
    <row r="897" ht="16.5" customHeight="1" s="220"/>
    <row r="898" ht="16.5" customHeight="1" s="220"/>
    <row r="899" ht="16.5" customHeight="1" s="220"/>
    <row r="900" ht="16.5" customHeight="1" s="220"/>
    <row r="901" ht="16.5" customHeight="1" s="220"/>
    <row r="902" ht="16.5" customHeight="1" s="220"/>
    <row r="903" ht="16.5" customHeight="1" s="220"/>
    <row r="904" ht="16.5" customHeight="1" s="220"/>
    <row r="905" ht="16.5" customHeight="1" s="220"/>
    <row r="906" ht="16.5" customHeight="1" s="220"/>
    <row r="907" ht="16.5" customHeight="1" s="220"/>
    <row r="908" ht="16.5" customHeight="1" s="220"/>
    <row r="909" ht="16.5" customHeight="1" s="220"/>
    <row r="910" ht="16.5" customHeight="1" s="220"/>
    <row r="911" ht="16.5" customHeight="1" s="220"/>
    <row r="912" ht="16.5" customHeight="1" s="220"/>
    <row r="913" ht="16.5" customHeight="1" s="220"/>
    <row r="914" ht="16.5" customHeight="1" s="220"/>
    <row r="915" ht="16.5" customHeight="1" s="220"/>
    <row r="916" ht="16.5" customHeight="1" s="220"/>
    <row r="917" ht="16.5" customHeight="1" s="220"/>
    <row r="918" ht="16.5" customHeight="1" s="220"/>
    <row r="919" ht="16.5" customHeight="1" s="220"/>
    <row r="920" ht="16.5" customHeight="1" s="220"/>
    <row r="921" ht="16.5" customHeight="1" s="220"/>
    <row r="922" ht="16.5" customHeight="1" s="220"/>
    <row r="923" ht="16.5" customHeight="1" s="220"/>
    <row r="924" ht="16.5" customHeight="1" s="220"/>
    <row r="925" ht="16.5" customHeight="1" s="220"/>
    <row r="926" ht="16.5" customHeight="1" s="220"/>
    <row r="927" ht="16.5" customHeight="1" s="220"/>
    <row r="928" ht="16.5" customHeight="1" s="220"/>
    <row r="929" ht="16.5" customHeight="1" s="220"/>
    <row r="930" ht="16.5" customHeight="1" s="220"/>
    <row r="931" ht="16.5" customHeight="1" s="220"/>
    <row r="932" ht="16.5" customHeight="1" s="220"/>
    <row r="933" ht="16.5" customHeight="1" s="220"/>
    <row r="934" ht="16.5" customHeight="1" s="220"/>
    <row r="935" ht="16.5" customHeight="1" s="220"/>
    <row r="936" ht="16.5" customHeight="1" s="220"/>
    <row r="937" ht="16.5" customHeight="1" s="220"/>
    <row r="938" ht="16.5" customHeight="1" s="220"/>
    <row r="939" ht="16.5" customHeight="1" s="220"/>
    <row r="940" ht="16.5" customHeight="1" s="220"/>
    <row r="941" ht="16.5" customHeight="1" s="220"/>
    <row r="942" ht="16.5" customHeight="1" s="220"/>
    <row r="943" ht="16.5" customHeight="1" s="220"/>
    <row r="944" ht="16.5" customHeight="1" s="220"/>
    <row r="945" ht="16.5" customHeight="1" s="220"/>
    <row r="946" ht="16.5" customHeight="1" s="220"/>
    <row r="947" ht="16.5" customHeight="1" s="220"/>
    <row r="948" ht="16.5" customHeight="1" s="220"/>
    <row r="949" ht="16.5" customHeight="1" s="220"/>
    <row r="950" ht="16.5" customHeight="1" s="220"/>
    <row r="951" ht="16.5" customHeight="1" s="220"/>
    <row r="952" ht="16.5" customHeight="1" s="220"/>
    <row r="953" ht="16.5" customHeight="1" s="220"/>
    <row r="954" ht="16.5" customHeight="1" s="220"/>
    <row r="955" ht="16.5" customHeight="1" s="220"/>
    <row r="956" ht="16.5" customHeight="1" s="220"/>
    <row r="957" ht="16.5" customHeight="1" s="220"/>
    <row r="958" ht="16.5" customHeight="1" s="220"/>
    <row r="959" ht="16.5" customHeight="1" s="220"/>
    <row r="960" ht="16.5" customHeight="1" s="220"/>
    <row r="961" ht="16.5" customHeight="1" s="220"/>
    <row r="962" ht="16.5" customHeight="1" s="220"/>
    <row r="963" ht="16.5" customHeight="1" s="220"/>
    <row r="964" ht="16.5" customHeight="1" s="220"/>
    <row r="965" ht="16.5" customHeight="1" s="220"/>
    <row r="966" ht="16.5" customHeight="1" s="220"/>
    <row r="967" ht="16.5" customHeight="1" s="220"/>
    <row r="968" ht="16.5" customHeight="1" s="220"/>
    <row r="969" ht="16.5" customHeight="1" s="220"/>
    <row r="970" ht="16.5" customHeight="1" s="220"/>
    <row r="971" ht="16.5" customHeight="1" s="220"/>
    <row r="972" ht="16.5" customHeight="1" s="220"/>
    <row r="973" ht="16.5" customHeight="1" s="220"/>
    <row r="974" ht="16.5" customHeight="1" s="220"/>
    <row r="975" ht="16.5" customHeight="1" s="220"/>
    <row r="976" ht="16.5" customHeight="1" s="220"/>
    <row r="977" ht="16.5" customHeight="1" s="220"/>
    <row r="978" ht="16.5" customHeight="1" s="220"/>
    <row r="979" ht="16.5" customHeight="1" s="220"/>
    <row r="980" ht="16.5" customHeight="1" s="220"/>
    <row r="981" ht="16.5" customHeight="1" s="220"/>
    <row r="982" ht="16.5" customHeight="1" s="220"/>
    <row r="983" ht="16.5" customHeight="1" s="220"/>
    <row r="984" ht="16.5" customHeight="1" s="220"/>
    <row r="985" ht="16.5" customHeight="1" s="220"/>
    <row r="986" ht="16.5" customHeight="1" s="220"/>
    <row r="987" ht="16.5" customHeight="1" s="220"/>
    <row r="988" ht="16.5" customHeight="1" s="220"/>
    <row r="989" ht="16.5" customHeight="1" s="220"/>
    <row r="990" ht="16.5" customHeight="1" s="220"/>
    <row r="991" ht="16.5" customHeight="1" s="220"/>
    <row r="992" ht="16.5" customHeight="1" s="220"/>
    <row r="993" ht="16.5" customHeight="1" s="220"/>
    <row r="994" ht="16.5" customHeight="1" s="220"/>
    <row r="995" ht="16.5" customHeight="1" s="220"/>
    <row r="996" ht="16.5" customHeight="1" s="220"/>
    <row r="997" ht="16.5" customHeight="1" s="220"/>
    <row r="998" ht="16.5" customHeight="1" s="220"/>
    <row r="999" ht="16.5" customHeight="1" s="220"/>
    <row r="1000" ht="16.5" customHeight="1" s="220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tabColor rgb="FFFFCC00"/>
    <outlinePr summaryBelow="1" summaryRight="1"/>
    <pageSetUpPr/>
  </sheetPr>
  <dimension ref="B1:D27"/>
  <sheetViews>
    <sheetView workbookViewId="0">
      <selection activeCell="A1" sqref="A1"/>
    </sheetView>
  </sheetViews>
  <sheetFormatPr baseColWidth="8" defaultColWidth="12.63" defaultRowHeight="15" customHeight="1"/>
  <cols>
    <col width="9" customWidth="1" style="220" min="1" max="1"/>
    <col width="19.5" customWidth="1" style="220" min="2" max="2"/>
    <col width="10.13" customWidth="1" style="220" min="3" max="3"/>
    <col width="6.63" customWidth="1" style="220" min="4" max="4"/>
    <col width="8" customWidth="1" style="220" min="5" max="26"/>
  </cols>
  <sheetData>
    <row r="1" ht="16.5" customHeight="1" s="220">
      <c r="B1" s="211" t="inlineStr">
        <is>
          <t>Range</t>
        </is>
      </c>
      <c r="C1" s="211" t="inlineStr">
        <is>
          <t>Tier</t>
        </is>
      </c>
      <c r="D1" s="211" t="inlineStr">
        <is>
          <t>Comm</t>
        </is>
      </c>
    </row>
    <row r="2" ht="16.5" customHeight="1" s="220">
      <c r="B2" s="212" t="inlineStr">
        <is>
          <t>$150,000 - $159,999</t>
        </is>
      </c>
      <c r="C2" s="213" t="n">
        <v>150000</v>
      </c>
      <c r="D2" s="218" t="n">
        <v>0.025</v>
      </c>
    </row>
    <row r="3" ht="16.5" customHeight="1" s="220">
      <c r="B3" s="212" t="inlineStr">
        <is>
          <t>$160,000 - $169,999</t>
        </is>
      </c>
      <c r="C3" s="213" t="n">
        <v>160000</v>
      </c>
      <c r="D3" s="214" t="n">
        <v>0.05</v>
      </c>
    </row>
    <row r="4" ht="16.5" customHeight="1" s="220">
      <c r="B4" s="212" t="inlineStr">
        <is>
          <t>$170,000 - $179,999</t>
        </is>
      </c>
      <c r="C4" s="213" t="n">
        <v>170000</v>
      </c>
      <c r="D4" s="218" t="n">
        <v>0.075</v>
      </c>
    </row>
    <row r="5" ht="16.5" customHeight="1" s="220">
      <c r="B5" s="212" t="inlineStr">
        <is>
          <t>$180,000 - $189,999</t>
        </is>
      </c>
      <c r="C5" s="213" t="n">
        <v>180000</v>
      </c>
      <c r="D5" s="214" t="n">
        <v>0.1</v>
      </c>
    </row>
    <row r="6" ht="16.5" customHeight="1" s="220">
      <c r="B6" s="212" t="inlineStr">
        <is>
          <t>$190,000 - $199,999</t>
        </is>
      </c>
      <c r="C6" s="213" t="n">
        <v>190000</v>
      </c>
      <c r="D6" s="218" t="n">
        <v>0.125</v>
      </c>
    </row>
    <row r="7" ht="16.5" customHeight="1" s="220">
      <c r="B7" s="212" t="inlineStr">
        <is>
          <t>$200,000 - $209,999</t>
        </is>
      </c>
      <c r="C7" s="213" t="n">
        <v>200000</v>
      </c>
      <c r="D7" s="214" t="n">
        <v>0.15</v>
      </c>
    </row>
    <row r="8" ht="16.5" customHeight="1" s="220">
      <c r="B8" s="212" t="inlineStr">
        <is>
          <t>$210,000 - $219,999</t>
        </is>
      </c>
      <c r="C8" s="213" t="n">
        <v>210000</v>
      </c>
      <c r="D8" s="214" t="n">
        <v>0.15</v>
      </c>
    </row>
    <row r="9" ht="16.5" customHeight="1" s="220">
      <c r="B9" s="212" t="inlineStr">
        <is>
          <t>$220,000 - $229,999</t>
        </is>
      </c>
      <c r="C9" s="213" t="n">
        <v>220000</v>
      </c>
      <c r="D9" s="214" t="n">
        <v>0.15</v>
      </c>
    </row>
    <row r="10" ht="16.5" customHeight="1" s="220">
      <c r="B10" s="212" t="inlineStr">
        <is>
          <t>$230,000 - $239,999</t>
        </is>
      </c>
      <c r="C10" s="213" t="n">
        <v>230000</v>
      </c>
      <c r="D10" s="214" t="n">
        <v>0.15</v>
      </c>
    </row>
    <row r="11" ht="16.5" customHeight="1" s="220">
      <c r="B11" s="212" t="inlineStr">
        <is>
          <t>$240,000 - $249,999</t>
        </is>
      </c>
      <c r="C11" s="213" t="n">
        <v>240000</v>
      </c>
      <c r="D11" s="214" t="n">
        <v>0.15</v>
      </c>
    </row>
    <row r="12" ht="16.5" customHeight="1" s="220">
      <c r="B12" s="212" t="inlineStr">
        <is>
          <t>$250,000 - $259,999</t>
        </is>
      </c>
      <c r="C12" s="215" t="n">
        <v>250000</v>
      </c>
      <c r="D12" s="214" t="n">
        <v>0.15</v>
      </c>
    </row>
    <row r="13" ht="16.5" customHeight="1" s="220">
      <c r="B13" s="212" t="inlineStr">
        <is>
          <t>$260,000 - $269,999</t>
        </is>
      </c>
      <c r="C13" s="215" t="n">
        <v>260000</v>
      </c>
      <c r="D13" s="214" t="n">
        <v>0.15</v>
      </c>
    </row>
    <row r="14" ht="16.5" customHeight="1" s="220">
      <c r="B14" s="212" t="inlineStr">
        <is>
          <t>$270,000 - $279,999</t>
        </is>
      </c>
      <c r="C14" s="215" t="n">
        <v>270000</v>
      </c>
      <c r="D14" s="214" t="n">
        <v>0.15</v>
      </c>
    </row>
    <row r="15" ht="16.5" customHeight="1" s="220">
      <c r="B15" s="212" t="inlineStr">
        <is>
          <t>$280,000 - $289,999</t>
        </is>
      </c>
      <c r="C15" s="215" t="n">
        <v>280000</v>
      </c>
      <c r="D15" s="214" t="n">
        <v>0.15</v>
      </c>
    </row>
    <row r="16" ht="16.5" customHeight="1" s="220">
      <c r="B16" s="212" t="inlineStr">
        <is>
          <t>$290,000 - $299,999</t>
        </is>
      </c>
      <c r="C16" s="215" t="n">
        <v>290000</v>
      </c>
      <c r="D16" s="214" t="n">
        <v>0.15</v>
      </c>
    </row>
    <row r="17" ht="16.5" customHeight="1" s="220">
      <c r="B17" s="212" t="inlineStr">
        <is>
          <t>$300,000 - $309,999</t>
        </is>
      </c>
      <c r="C17" s="215" t="n">
        <v>300000</v>
      </c>
      <c r="D17" s="214" t="n">
        <v>0.15</v>
      </c>
    </row>
    <row r="18" ht="16.5" customHeight="1" s="220">
      <c r="B18" s="212" t="inlineStr">
        <is>
          <t>$310,000 - $319,999</t>
        </is>
      </c>
      <c r="C18" s="215" t="n">
        <v>310000</v>
      </c>
      <c r="D18" s="214" t="n">
        <v>0.15</v>
      </c>
    </row>
    <row r="19" ht="16.5" customHeight="1" s="220">
      <c r="B19" s="212" t="inlineStr">
        <is>
          <t>$320,000 - $329,999</t>
        </is>
      </c>
      <c r="C19" s="215" t="n">
        <v>320000</v>
      </c>
      <c r="D19" s="214" t="n">
        <v>0.15</v>
      </c>
    </row>
    <row r="20" ht="16.5" customHeight="1" s="220">
      <c r="B20" s="212" t="inlineStr">
        <is>
          <t>$330,000 - $339,999</t>
        </is>
      </c>
      <c r="C20" s="215" t="n">
        <v>330000</v>
      </c>
      <c r="D20" s="214" t="n">
        <v>0.15</v>
      </c>
    </row>
    <row r="21" ht="16.5" customHeight="1" s="220">
      <c r="B21" s="212" t="inlineStr">
        <is>
          <t>$340,000 - $349,999</t>
        </is>
      </c>
      <c r="C21" s="215" t="n">
        <v>340000</v>
      </c>
      <c r="D21" s="214" t="n">
        <v>0.15</v>
      </c>
    </row>
    <row r="22" ht="16.5" customHeight="1" s="220">
      <c r="B22" s="212" t="inlineStr">
        <is>
          <t>$350,000 - $359,999</t>
        </is>
      </c>
      <c r="C22" s="215" t="n">
        <v>350000</v>
      </c>
      <c r="D22" s="214" t="n">
        <v>0.15</v>
      </c>
    </row>
    <row r="23" ht="16.5" customHeight="1" s="220">
      <c r="D23" s="214" t="n">
        <v>0.15</v>
      </c>
    </row>
    <row r="24" ht="16.5" customHeight="1" s="220">
      <c r="D24" s="214" t="n">
        <v>0.15</v>
      </c>
    </row>
    <row r="25" ht="16.5" customHeight="1" s="220">
      <c r="B25" s="212" t="n"/>
      <c r="C25" s="215" t="n"/>
      <c r="D25" s="214" t="n">
        <v>0.15</v>
      </c>
    </row>
    <row r="26" ht="16.5" customHeight="1" s="220">
      <c r="B26" s="212" t="n"/>
      <c r="C26" s="215" t="n"/>
      <c r="D26" s="214" t="n">
        <v>0.15</v>
      </c>
    </row>
    <row r="27" ht="16.5" customHeight="1" s="220">
      <c r="B27" s="216" t="n"/>
      <c r="C27" s="217" t="n"/>
    </row>
    <row r="28" ht="16.5" customHeight="1" s="220"/>
    <row r="29" ht="16.5" customHeight="1" s="220"/>
    <row r="30" ht="16.5" customHeight="1" s="220"/>
    <row r="31" ht="16.5" customHeight="1" s="220"/>
    <row r="32" ht="16.5" customHeight="1" s="220"/>
    <row r="33" ht="16.5" customHeight="1" s="220"/>
    <row r="34" ht="16.5" customHeight="1" s="220"/>
    <row r="35" ht="16.5" customHeight="1" s="220"/>
    <row r="36" ht="16.5" customHeight="1" s="220"/>
    <row r="37" ht="16.5" customHeight="1" s="220"/>
    <row r="38" ht="16.5" customHeight="1" s="220"/>
    <row r="39" ht="16.5" customHeight="1" s="220"/>
    <row r="40" ht="16.5" customHeight="1" s="220"/>
    <row r="41" ht="16.5" customHeight="1" s="220"/>
    <row r="42" ht="16.5" customHeight="1" s="220"/>
    <row r="43" ht="16.5" customHeight="1" s="220"/>
    <row r="44" ht="16.5" customHeight="1" s="220"/>
    <row r="45" ht="16.5" customHeight="1" s="220"/>
    <row r="46" ht="16.5" customHeight="1" s="220"/>
    <row r="47" ht="16.5" customHeight="1" s="220"/>
    <row r="48" ht="16.5" customHeight="1" s="220"/>
    <row r="49" ht="16.5" customHeight="1" s="220"/>
    <row r="50" ht="16.5" customHeight="1" s="220"/>
    <row r="51" ht="16.5" customHeight="1" s="220"/>
    <row r="52" ht="16.5" customHeight="1" s="220"/>
    <row r="53" ht="16.5" customHeight="1" s="220"/>
    <row r="54" ht="16.5" customHeight="1" s="220"/>
    <row r="55" ht="16.5" customHeight="1" s="220"/>
    <row r="56" ht="16.5" customHeight="1" s="220"/>
    <row r="57" ht="16.5" customHeight="1" s="220"/>
    <row r="58" ht="16.5" customHeight="1" s="220"/>
    <row r="59" ht="16.5" customHeight="1" s="220"/>
    <row r="60" ht="16.5" customHeight="1" s="220"/>
    <row r="61" ht="16.5" customHeight="1" s="220"/>
    <row r="62" ht="16.5" customHeight="1" s="220"/>
    <row r="63" ht="16.5" customHeight="1" s="220"/>
    <row r="64" ht="16.5" customHeight="1" s="220"/>
    <row r="65" ht="16.5" customHeight="1" s="220"/>
    <row r="66" ht="16.5" customHeight="1" s="220"/>
    <row r="67" ht="16.5" customHeight="1" s="220"/>
    <row r="68" ht="16.5" customHeight="1" s="220"/>
    <row r="69" ht="16.5" customHeight="1" s="220"/>
    <row r="70" ht="16.5" customHeight="1" s="220"/>
    <row r="71" ht="16.5" customHeight="1" s="220"/>
    <row r="72" ht="16.5" customHeight="1" s="220"/>
    <row r="73" ht="16.5" customHeight="1" s="220"/>
    <row r="74" ht="16.5" customHeight="1" s="220"/>
    <row r="75" ht="16.5" customHeight="1" s="220"/>
    <row r="76" ht="16.5" customHeight="1" s="220"/>
    <row r="77" ht="16.5" customHeight="1" s="220"/>
    <row r="78" ht="16.5" customHeight="1" s="220"/>
    <row r="79" ht="16.5" customHeight="1" s="220"/>
    <row r="80" ht="16.5" customHeight="1" s="220"/>
    <row r="81" ht="16.5" customHeight="1" s="220"/>
    <row r="82" ht="16.5" customHeight="1" s="220"/>
    <row r="83" ht="16.5" customHeight="1" s="220"/>
    <row r="84" ht="16.5" customHeight="1" s="220"/>
    <row r="85" ht="16.5" customHeight="1" s="220"/>
    <row r="86" ht="16.5" customHeight="1" s="220"/>
    <row r="87" ht="16.5" customHeight="1" s="220"/>
    <row r="88" ht="16.5" customHeight="1" s="220"/>
    <row r="89" ht="16.5" customHeight="1" s="220"/>
    <row r="90" ht="16.5" customHeight="1" s="220"/>
    <row r="91" ht="16.5" customHeight="1" s="220"/>
    <row r="92" ht="16.5" customHeight="1" s="220"/>
    <row r="93" ht="16.5" customHeight="1" s="220"/>
    <row r="94" ht="16.5" customHeight="1" s="220"/>
    <row r="95" ht="16.5" customHeight="1" s="220"/>
    <row r="96" ht="16.5" customHeight="1" s="220"/>
    <row r="97" ht="16.5" customHeight="1" s="220"/>
    <row r="98" ht="16.5" customHeight="1" s="220"/>
    <row r="99" ht="16.5" customHeight="1" s="220"/>
    <row r="100" ht="16.5" customHeight="1" s="220"/>
    <row r="101" ht="16.5" customHeight="1" s="220"/>
    <row r="102" ht="16.5" customHeight="1" s="220"/>
    <row r="103" ht="16.5" customHeight="1" s="220"/>
    <row r="104" ht="16.5" customHeight="1" s="220"/>
    <row r="105" ht="16.5" customHeight="1" s="220"/>
    <row r="106" ht="16.5" customHeight="1" s="220"/>
    <row r="107" ht="16.5" customHeight="1" s="220"/>
    <row r="108" ht="16.5" customHeight="1" s="220"/>
    <row r="109" ht="16.5" customHeight="1" s="220"/>
    <row r="110" ht="16.5" customHeight="1" s="220"/>
    <row r="111" ht="16.5" customHeight="1" s="220"/>
    <row r="112" ht="16.5" customHeight="1" s="220"/>
    <row r="113" ht="16.5" customHeight="1" s="220"/>
    <row r="114" ht="16.5" customHeight="1" s="220"/>
    <row r="115" ht="16.5" customHeight="1" s="220"/>
    <row r="116" ht="16.5" customHeight="1" s="220"/>
    <row r="117" ht="16.5" customHeight="1" s="220"/>
    <row r="118" ht="16.5" customHeight="1" s="220"/>
    <row r="119" ht="16.5" customHeight="1" s="220"/>
    <row r="120" ht="16.5" customHeight="1" s="220"/>
    <row r="121" ht="16.5" customHeight="1" s="220"/>
    <row r="122" ht="16.5" customHeight="1" s="220"/>
    <row r="123" ht="16.5" customHeight="1" s="220"/>
    <row r="124" ht="16.5" customHeight="1" s="220"/>
    <row r="125" ht="16.5" customHeight="1" s="220"/>
    <row r="126" ht="16.5" customHeight="1" s="220"/>
    <row r="127" ht="16.5" customHeight="1" s="220"/>
    <row r="128" ht="16.5" customHeight="1" s="220"/>
    <row r="129" ht="16.5" customHeight="1" s="220"/>
    <row r="130" ht="16.5" customHeight="1" s="220"/>
    <row r="131" ht="16.5" customHeight="1" s="220"/>
    <row r="132" ht="16.5" customHeight="1" s="220"/>
    <row r="133" ht="16.5" customHeight="1" s="220"/>
    <row r="134" ht="16.5" customHeight="1" s="220"/>
    <row r="135" ht="16.5" customHeight="1" s="220"/>
    <row r="136" ht="16.5" customHeight="1" s="220"/>
    <row r="137" ht="16.5" customHeight="1" s="220"/>
    <row r="138" ht="16.5" customHeight="1" s="220"/>
    <row r="139" ht="16.5" customHeight="1" s="220"/>
    <row r="140" ht="16.5" customHeight="1" s="220"/>
    <row r="141" ht="16.5" customHeight="1" s="220"/>
    <row r="142" ht="16.5" customHeight="1" s="220"/>
    <row r="143" ht="16.5" customHeight="1" s="220"/>
    <row r="144" ht="16.5" customHeight="1" s="220"/>
    <row r="145" ht="16.5" customHeight="1" s="220"/>
    <row r="146" ht="16.5" customHeight="1" s="220"/>
    <row r="147" ht="16.5" customHeight="1" s="220"/>
    <row r="148" ht="16.5" customHeight="1" s="220"/>
    <row r="149" ht="16.5" customHeight="1" s="220"/>
    <row r="150" ht="16.5" customHeight="1" s="220"/>
    <row r="151" ht="16.5" customHeight="1" s="220"/>
    <row r="152" ht="16.5" customHeight="1" s="220"/>
    <row r="153" ht="16.5" customHeight="1" s="220"/>
    <row r="154" ht="16.5" customHeight="1" s="220"/>
    <row r="155" ht="16.5" customHeight="1" s="220"/>
    <row r="156" ht="16.5" customHeight="1" s="220"/>
    <row r="157" ht="16.5" customHeight="1" s="220"/>
    <row r="158" ht="16.5" customHeight="1" s="220"/>
    <row r="159" ht="16.5" customHeight="1" s="220"/>
    <row r="160" ht="16.5" customHeight="1" s="220"/>
    <row r="161" ht="16.5" customHeight="1" s="220"/>
    <row r="162" ht="16.5" customHeight="1" s="220"/>
    <row r="163" ht="16.5" customHeight="1" s="220"/>
    <row r="164" ht="16.5" customHeight="1" s="220"/>
    <row r="165" ht="16.5" customHeight="1" s="220"/>
    <row r="166" ht="16.5" customHeight="1" s="220"/>
    <row r="167" ht="16.5" customHeight="1" s="220"/>
    <row r="168" ht="16.5" customHeight="1" s="220"/>
    <row r="169" ht="16.5" customHeight="1" s="220"/>
    <row r="170" ht="16.5" customHeight="1" s="220"/>
    <row r="171" ht="16.5" customHeight="1" s="220"/>
    <row r="172" ht="16.5" customHeight="1" s="220"/>
    <row r="173" ht="16.5" customHeight="1" s="220"/>
    <row r="174" ht="16.5" customHeight="1" s="220"/>
    <row r="175" ht="16.5" customHeight="1" s="220"/>
    <row r="176" ht="16.5" customHeight="1" s="220"/>
    <row r="177" ht="16.5" customHeight="1" s="220"/>
    <row r="178" ht="16.5" customHeight="1" s="220"/>
    <row r="179" ht="16.5" customHeight="1" s="220"/>
    <row r="180" ht="16.5" customHeight="1" s="220"/>
    <row r="181" ht="16.5" customHeight="1" s="220"/>
    <row r="182" ht="16.5" customHeight="1" s="220"/>
    <row r="183" ht="16.5" customHeight="1" s="220"/>
    <row r="184" ht="16.5" customHeight="1" s="220"/>
    <row r="185" ht="16.5" customHeight="1" s="220"/>
    <row r="186" ht="16.5" customHeight="1" s="220"/>
    <row r="187" ht="16.5" customHeight="1" s="220"/>
    <row r="188" ht="16.5" customHeight="1" s="220"/>
    <row r="189" ht="16.5" customHeight="1" s="220"/>
    <row r="190" ht="16.5" customHeight="1" s="220"/>
    <row r="191" ht="16.5" customHeight="1" s="220"/>
    <row r="192" ht="16.5" customHeight="1" s="220"/>
    <row r="193" ht="16.5" customHeight="1" s="220"/>
    <row r="194" ht="16.5" customHeight="1" s="220"/>
    <row r="195" ht="16.5" customHeight="1" s="220"/>
    <row r="196" ht="16.5" customHeight="1" s="220"/>
    <row r="197" ht="16.5" customHeight="1" s="220"/>
    <row r="198" ht="16.5" customHeight="1" s="220"/>
    <row r="199" ht="16.5" customHeight="1" s="220"/>
    <row r="200" ht="16.5" customHeight="1" s="220"/>
    <row r="201" ht="16.5" customHeight="1" s="220"/>
    <row r="202" ht="16.5" customHeight="1" s="220"/>
    <row r="203" ht="16.5" customHeight="1" s="220"/>
    <row r="204" ht="16.5" customHeight="1" s="220"/>
    <row r="205" ht="16.5" customHeight="1" s="220"/>
    <row r="206" ht="16.5" customHeight="1" s="220"/>
    <row r="207" ht="16.5" customHeight="1" s="220"/>
    <row r="208" ht="16.5" customHeight="1" s="220"/>
    <row r="209" ht="16.5" customHeight="1" s="220"/>
    <row r="210" ht="16.5" customHeight="1" s="220"/>
    <row r="211" ht="16.5" customHeight="1" s="220"/>
    <row r="212" ht="16.5" customHeight="1" s="220"/>
    <row r="213" ht="16.5" customHeight="1" s="220"/>
    <row r="214" ht="16.5" customHeight="1" s="220"/>
    <row r="215" ht="16.5" customHeight="1" s="220"/>
    <row r="216" ht="16.5" customHeight="1" s="220"/>
    <row r="217" ht="16.5" customHeight="1" s="220"/>
    <row r="218" ht="16.5" customHeight="1" s="220"/>
    <row r="219" ht="16.5" customHeight="1" s="220"/>
    <row r="220" ht="16.5" customHeight="1" s="220"/>
    <row r="221" ht="16.5" customHeight="1" s="220"/>
    <row r="222" ht="16.5" customHeight="1" s="220"/>
    <row r="223" ht="16.5" customHeight="1" s="220"/>
    <row r="224" ht="16.5" customHeight="1" s="220"/>
    <row r="225" ht="16.5" customHeight="1" s="220"/>
    <row r="226" ht="16.5" customHeight="1" s="220"/>
    <row r="227" ht="16.5" customHeight="1" s="220"/>
    <row r="228" ht="16.5" customHeight="1" s="220"/>
    <row r="229" ht="16.5" customHeight="1" s="220"/>
    <row r="230" ht="16.5" customHeight="1" s="220"/>
    <row r="231" ht="16.5" customHeight="1" s="220"/>
    <row r="232" ht="16.5" customHeight="1" s="220"/>
    <row r="233" ht="16.5" customHeight="1" s="220"/>
    <row r="234" ht="16.5" customHeight="1" s="220"/>
    <row r="235" ht="16.5" customHeight="1" s="220"/>
    <row r="236" ht="16.5" customHeight="1" s="220"/>
    <row r="237" ht="16.5" customHeight="1" s="220"/>
    <row r="238" ht="16.5" customHeight="1" s="220"/>
    <row r="239" ht="16.5" customHeight="1" s="220"/>
    <row r="240" ht="16.5" customHeight="1" s="220"/>
    <row r="241" ht="16.5" customHeight="1" s="220"/>
    <row r="242" ht="16.5" customHeight="1" s="220"/>
    <row r="243" ht="16.5" customHeight="1" s="220"/>
    <row r="244" ht="16.5" customHeight="1" s="220"/>
    <row r="245" ht="16.5" customHeight="1" s="220"/>
    <row r="246" ht="16.5" customHeight="1" s="220"/>
    <row r="247" ht="16.5" customHeight="1" s="220"/>
    <row r="248" ht="16.5" customHeight="1" s="220"/>
    <row r="249" ht="16.5" customHeight="1" s="220"/>
    <row r="250" ht="16.5" customHeight="1" s="220"/>
    <row r="251" ht="16.5" customHeight="1" s="220"/>
    <row r="252" ht="16.5" customHeight="1" s="220"/>
    <row r="253" ht="16.5" customHeight="1" s="220"/>
    <row r="254" ht="16.5" customHeight="1" s="220"/>
    <row r="255" ht="16.5" customHeight="1" s="220"/>
    <row r="256" ht="16.5" customHeight="1" s="220"/>
    <row r="257" ht="16.5" customHeight="1" s="220"/>
    <row r="258" ht="16.5" customHeight="1" s="220"/>
    <row r="259" ht="16.5" customHeight="1" s="220"/>
    <row r="260" ht="16.5" customHeight="1" s="220"/>
    <row r="261" ht="16.5" customHeight="1" s="220"/>
    <row r="262" ht="16.5" customHeight="1" s="220"/>
    <row r="263" ht="16.5" customHeight="1" s="220"/>
    <row r="264" ht="16.5" customHeight="1" s="220"/>
    <row r="265" ht="16.5" customHeight="1" s="220"/>
    <row r="266" ht="16.5" customHeight="1" s="220"/>
    <row r="267" ht="16.5" customHeight="1" s="220"/>
    <row r="268" ht="16.5" customHeight="1" s="220"/>
    <row r="269" ht="16.5" customHeight="1" s="220"/>
    <row r="270" ht="16.5" customHeight="1" s="220"/>
    <row r="271" ht="16.5" customHeight="1" s="220"/>
    <row r="272" ht="16.5" customHeight="1" s="220"/>
    <row r="273" ht="16.5" customHeight="1" s="220"/>
    <row r="274" ht="16.5" customHeight="1" s="220"/>
    <row r="275" ht="16.5" customHeight="1" s="220"/>
    <row r="276" ht="16.5" customHeight="1" s="220"/>
    <row r="277" ht="16.5" customHeight="1" s="220"/>
    <row r="278" ht="16.5" customHeight="1" s="220"/>
    <row r="279" ht="16.5" customHeight="1" s="220"/>
    <row r="280" ht="16.5" customHeight="1" s="220"/>
    <row r="281" ht="16.5" customHeight="1" s="220"/>
    <row r="282" ht="16.5" customHeight="1" s="220"/>
    <row r="283" ht="16.5" customHeight="1" s="220"/>
    <row r="284" ht="16.5" customHeight="1" s="220"/>
    <row r="285" ht="16.5" customHeight="1" s="220"/>
    <row r="286" ht="16.5" customHeight="1" s="220"/>
    <row r="287" ht="16.5" customHeight="1" s="220"/>
    <row r="288" ht="16.5" customHeight="1" s="220"/>
    <row r="289" ht="16.5" customHeight="1" s="220"/>
    <row r="290" ht="16.5" customHeight="1" s="220"/>
    <row r="291" ht="16.5" customHeight="1" s="220"/>
    <row r="292" ht="16.5" customHeight="1" s="220"/>
    <row r="293" ht="16.5" customHeight="1" s="220"/>
    <row r="294" ht="16.5" customHeight="1" s="220"/>
    <row r="295" ht="16.5" customHeight="1" s="220"/>
    <row r="296" ht="16.5" customHeight="1" s="220"/>
    <row r="297" ht="16.5" customHeight="1" s="220"/>
    <row r="298" ht="16.5" customHeight="1" s="220"/>
    <row r="299" ht="16.5" customHeight="1" s="220"/>
    <row r="300" ht="16.5" customHeight="1" s="220"/>
    <row r="301" ht="16.5" customHeight="1" s="220"/>
    <row r="302" ht="16.5" customHeight="1" s="220"/>
    <row r="303" ht="16.5" customHeight="1" s="220"/>
    <row r="304" ht="16.5" customHeight="1" s="220"/>
    <row r="305" ht="16.5" customHeight="1" s="220"/>
    <row r="306" ht="16.5" customHeight="1" s="220"/>
    <row r="307" ht="16.5" customHeight="1" s="220"/>
    <row r="308" ht="16.5" customHeight="1" s="220"/>
    <row r="309" ht="16.5" customHeight="1" s="220"/>
    <row r="310" ht="16.5" customHeight="1" s="220"/>
    <row r="311" ht="16.5" customHeight="1" s="220"/>
    <row r="312" ht="16.5" customHeight="1" s="220"/>
    <row r="313" ht="16.5" customHeight="1" s="220"/>
    <row r="314" ht="16.5" customHeight="1" s="220"/>
    <row r="315" ht="16.5" customHeight="1" s="220"/>
    <row r="316" ht="16.5" customHeight="1" s="220"/>
    <row r="317" ht="16.5" customHeight="1" s="220"/>
    <row r="318" ht="16.5" customHeight="1" s="220"/>
    <row r="319" ht="16.5" customHeight="1" s="220"/>
    <row r="320" ht="16.5" customHeight="1" s="220"/>
    <row r="321" ht="16.5" customHeight="1" s="220"/>
    <row r="322" ht="16.5" customHeight="1" s="220"/>
    <row r="323" ht="16.5" customHeight="1" s="220"/>
    <row r="324" ht="16.5" customHeight="1" s="220"/>
    <row r="325" ht="16.5" customHeight="1" s="220"/>
    <row r="326" ht="16.5" customHeight="1" s="220"/>
    <row r="327" ht="16.5" customHeight="1" s="220"/>
    <row r="328" ht="16.5" customHeight="1" s="220"/>
    <row r="329" ht="16.5" customHeight="1" s="220"/>
    <row r="330" ht="16.5" customHeight="1" s="220"/>
    <row r="331" ht="16.5" customHeight="1" s="220"/>
    <row r="332" ht="16.5" customHeight="1" s="220"/>
    <row r="333" ht="16.5" customHeight="1" s="220"/>
    <row r="334" ht="16.5" customHeight="1" s="220"/>
    <row r="335" ht="16.5" customHeight="1" s="220"/>
    <row r="336" ht="16.5" customHeight="1" s="220"/>
    <row r="337" ht="16.5" customHeight="1" s="220"/>
    <row r="338" ht="16.5" customHeight="1" s="220"/>
    <row r="339" ht="16.5" customHeight="1" s="220"/>
    <row r="340" ht="16.5" customHeight="1" s="220"/>
    <row r="341" ht="16.5" customHeight="1" s="220"/>
    <row r="342" ht="16.5" customHeight="1" s="220"/>
    <row r="343" ht="16.5" customHeight="1" s="220"/>
    <row r="344" ht="16.5" customHeight="1" s="220"/>
    <row r="345" ht="16.5" customHeight="1" s="220"/>
    <row r="346" ht="16.5" customHeight="1" s="220"/>
    <row r="347" ht="16.5" customHeight="1" s="220"/>
    <row r="348" ht="16.5" customHeight="1" s="220"/>
    <row r="349" ht="16.5" customHeight="1" s="220"/>
    <row r="350" ht="16.5" customHeight="1" s="220"/>
    <row r="351" ht="16.5" customHeight="1" s="220"/>
    <row r="352" ht="16.5" customHeight="1" s="220"/>
    <row r="353" ht="16.5" customHeight="1" s="220"/>
    <row r="354" ht="16.5" customHeight="1" s="220"/>
    <row r="355" ht="16.5" customHeight="1" s="220"/>
    <row r="356" ht="16.5" customHeight="1" s="220"/>
    <row r="357" ht="16.5" customHeight="1" s="220"/>
    <row r="358" ht="16.5" customHeight="1" s="220"/>
    <row r="359" ht="16.5" customHeight="1" s="220"/>
    <row r="360" ht="16.5" customHeight="1" s="220"/>
    <row r="361" ht="16.5" customHeight="1" s="220"/>
    <row r="362" ht="16.5" customHeight="1" s="220"/>
    <row r="363" ht="16.5" customHeight="1" s="220"/>
    <row r="364" ht="16.5" customHeight="1" s="220"/>
    <row r="365" ht="16.5" customHeight="1" s="220"/>
    <row r="366" ht="16.5" customHeight="1" s="220"/>
    <row r="367" ht="16.5" customHeight="1" s="220"/>
    <row r="368" ht="16.5" customHeight="1" s="220"/>
    <row r="369" ht="16.5" customHeight="1" s="220"/>
    <row r="370" ht="16.5" customHeight="1" s="220"/>
    <row r="371" ht="16.5" customHeight="1" s="220"/>
    <row r="372" ht="16.5" customHeight="1" s="220"/>
    <row r="373" ht="16.5" customHeight="1" s="220"/>
    <row r="374" ht="16.5" customHeight="1" s="220"/>
    <row r="375" ht="16.5" customHeight="1" s="220"/>
    <row r="376" ht="16.5" customHeight="1" s="220"/>
    <row r="377" ht="16.5" customHeight="1" s="220"/>
    <row r="378" ht="16.5" customHeight="1" s="220"/>
    <row r="379" ht="16.5" customHeight="1" s="220"/>
    <row r="380" ht="16.5" customHeight="1" s="220"/>
    <row r="381" ht="16.5" customHeight="1" s="220"/>
    <row r="382" ht="16.5" customHeight="1" s="220"/>
    <row r="383" ht="16.5" customHeight="1" s="220"/>
    <row r="384" ht="16.5" customHeight="1" s="220"/>
    <row r="385" ht="16.5" customHeight="1" s="220"/>
    <row r="386" ht="16.5" customHeight="1" s="220"/>
    <row r="387" ht="16.5" customHeight="1" s="220"/>
    <row r="388" ht="16.5" customHeight="1" s="220"/>
    <row r="389" ht="16.5" customHeight="1" s="220"/>
    <row r="390" ht="16.5" customHeight="1" s="220"/>
    <row r="391" ht="16.5" customHeight="1" s="220"/>
    <row r="392" ht="16.5" customHeight="1" s="220"/>
    <row r="393" ht="16.5" customHeight="1" s="220"/>
    <row r="394" ht="16.5" customHeight="1" s="220"/>
    <row r="395" ht="16.5" customHeight="1" s="220"/>
    <row r="396" ht="16.5" customHeight="1" s="220"/>
    <row r="397" ht="16.5" customHeight="1" s="220"/>
    <row r="398" ht="16.5" customHeight="1" s="220"/>
    <row r="399" ht="16.5" customHeight="1" s="220"/>
    <row r="400" ht="16.5" customHeight="1" s="220"/>
    <row r="401" ht="16.5" customHeight="1" s="220"/>
    <row r="402" ht="16.5" customHeight="1" s="220"/>
    <row r="403" ht="16.5" customHeight="1" s="220"/>
    <row r="404" ht="16.5" customHeight="1" s="220"/>
    <row r="405" ht="16.5" customHeight="1" s="220"/>
    <row r="406" ht="16.5" customHeight="1" s="220"/>
    <row r="407" ht="16.5" customHeight="1" s="220"/>
    <row r="408" ht="16.5" customHeight="1" s="220"/>
    <row r="409" ht="16.5" customHeight="1" s="220"/>
    <row r="410" ht="16.5" customHeight="1" s="220"/>
    <row r="411" ht="16.5" customHeight="1" s="220"/>
    <row r="412" ht="16.5" customHeight="1" s="220"/>
    <row r="413" ht="16.5" customHeight="1" s="220"/>
    <row r="414" ht="16.5" customHeight="1" s="220"/>
    <row r="415" ht="16.5" customHeight="1" s="220"/>
    <row r="416" ht="16.5" customHeight="1" s="220"/>
    <row r="417" ht="16.5" customHeight="1" s="220"/>
    <row r="418" ht="16.5" customHeight="1" s="220"/>
    <row r="419" ht="16.5" customHeight="1" s="220"/>
    <row r="420" ht="16.5" customHeight="1" s="220"/>
    <row r="421" ht="16.5" customHeight="1" s="220"/>
    <row r="422" ht="16.5" customHeight="1" s="220"/>
    <row r="423" ht="16.5" customHeight="1" s="220"/>
    <row r="424" ht="16.5" customHeight="1" s="220"/>
    <row r="425" ht="16.5" customHeight="1" s="220"/>
    <row r="426" ht="16.5" customHeight="1" s="220"/>
    <row r="427" ht="16.5" customHeight="1" s="220"/>
    <row r="428" ht="16.5" customHeight="1" s="220"/>
    <row r="429" ht="16.5" customHeight="1" s="220"/>
    <row r="430" ht="16.5" customHeight="1" s="220"/>
    <row r="431" ht="16.5" customHeight="1" s="220"/>
    <row r="432" ht="16.5" customHeight="1" s="220"/>
    <row r="433" ht="16.5" customHeight="1" s="220"/>
    <row r="434" ht="16.5" customHeight="1" s="220"/>
    <row r="435" ht="16.5" customHeight="1" s="220"/>
    <row r="436" ht="16.5" customHeight="1" s="220"/>
    <row r="437" ht="16.5" customHeight="1" s="220"/>
    <row r="438" ht="16.5" customHeight="1" s="220"/>
    <row r="439" ht="16.5" customHeight="1" s="220"/>
    <row r="440" ht="16.5" customHeight="1" s="220"/>
    <row r="441" ht="16.5" customHeight="1" s="220"/>
    <row r="442" ht="16.5" customHeight="1" s="220"/>
    <row r="443" ht="16.5" customHeight="1" s="220"/>
    <row r="444" ht="16.5" customHeight="1" s="220"/>
    <row r="445" ht="16.5" customHeight="1" s="220"/>
    <row r="446" ht="16.5" customHeight="1" s="220"/>
    <row r="447" ht="16.5" customHeight="1" s="220"/>
    <row r="448" ht="16.5" customHeight="1" s="220"/>
    <row r="449" ht="16.5" customHeight="1" s="220"/>
    <row r="450" ht="16.5" customHeight="1" s="220"/>
    <row r="451" ht="16.5" customHeight="1" s="220"/>
    <row r="452" ht="16.5" customHeight="1" s="220"/>
    <row r="453" ht="16.5" customHeight="1" s="220"/>
    <row r="454" ht="16.5" customHeight="1" s="220"/>
    <row r="455" ht="16.5" customHeight="1" s="220"/>
    <row r="456" ht="16.5" customHeight="1" s="220"/>
    <row r="457" ht="16.5" customHeight="1" s="220"/>
    <row r="458" ht="16.5" customHeight="1" s="220"/>
    <row r="459" ht="16.5" customHeight="1" s="220"/>
    <row r="460" ht="16.5" customHeight="1" s="220"/>
    <row r="461" ht="16.5" customHeight="1" s="220"/>
    <row r="462" ht="16.5" customHeight="1" s="220"/>
    <row r="463" ht="16.5" customHeight="1" s="220"/>
    <row r="464" ht="16.5" customHeight="1" s="220"/>
    <row r="465" ht="16.5" customHeight="1" s="220"/>
    <row r="466" ht="16.5" customHeight="1" s="220"/>
    <row r="467" ht="16.5" customHeight="1" s="220"/>
    <row r="468" ht="16.5" customHeight="1" s="220"/>
    <row r="469" ht="16.5" customHeight="1" s="220"/>
    <row r="470" ht="16.5" customHeight="1" s="220"/>
    <row r="471" ht="16.5" customHeight="1" s="220"/>
    <row r="472" ht="16.5" customHeight="1" s="220"/>
    <row r="473" ht="16.5" customHeight="1" s="220"/>
    <row r="474" ht="16.5" customHeight="1" s="220"/>
    <row r="475" ht="16.5" customHeight="1" s="220"/>
    <row r="476" ht="16.5" customHeight="1" s="220"/>
    <row r="477" ht="16.5" customHeight="1" s="220"/>
    <row r="478" ht="16.5" customHeight="1" s="220"/>
    <row r="479" ht="16.5" customHeight="1" s="220"/>
    <row r="480" ht="16.5" customHeight="1" s="220"/>
    <row r="481" ht="16.5" customHeight="1" s="220"/>
    <row r="482" ht="16.5" customHeight="1" s="220"/>
    <row r="483" ht="16.5" customHeight="1" s="220"/>
    <row r="484" ht="16.5" customHeight="1" s="220"/>
    <row r="485" ht="16.5" customHeight="1" s="220"/>
    <row r="486" ht="16.5" customHeight="1" s="220"/>
    <row r="487" ht="16.5" customHeight="1" s="220"/>
    <row r="488" ht="16.5" customHeight="1" s="220"/>
    <row r="489" ht="16.5" customHeight="1" s="220"/>
    <row r="490" ht="16.5" customHeight="1" s="220"/>
    <row r="491" ht="16.5" customHeight="1" s="220"/>
    <row r="492" ht="16.5" customHeight="1" s="220"/>
    <row r="493" ht="16.5" customHeight="1" s="220"/>
    <row r="494" ht="16.5" customHeight="1" s="220"/>
    <row r="495" ht="16.5" customHeight="1" s="220"/>
    <row r="496" ht="16.5" customHeight="1" s="220"/>
    <row r="497" ht="16.5" customHeight="1" s="220"/>
    <row r="498" ht="16.5" customHeight="1" s="220"/>
    <row r="499" ht="16.5" customHeight="1" s="220"/>
    <row r="500" ht="16.5" customHeight="1" s="220"/>
    <row r="501" ht="16.5" customHeight="1" s="220"/>
    <row r="502" ht="16.5" customHeight="1" s="220"/>
    <row r="503" ht="16.5" customHeight="1" s="220"/>
    <row r="504" ht="16.5" customHeight="1" s="220"/>
    <row r="505" ht="16.5" customHeight="1" s="220"/>
    <row r="506" ht="16.5" customHeight="1" s="220"/>
    <row r="507" ht="16.5" customHeight="1" s="220"/>
    <row r="508" ht="16.5" customHeight="1" s="220"/>
    <row r="509" ht="16.5" customHeight="1" s="220"/>
    <row r="510" ht="16.5" customHeight="1" s="220"/>
    <row r="511" ht="16.5" customHeight="1" s="220"/>
    <row r="512" ht="16.5" customHeight="1" s="220"/>
    <row r="513" ht="16.5" customHeight="1" s="220"/>
    <row r="514" ht="16.5" customHeight="1" s="220"/>
    <row r="515" ht="16.5" customHeight="1" s="220"/>
    <row r="516" ht="16.5" customHeight="1" s="220"/>
    <row r="517" ht="16.5" customHeight="1" s="220"/>
    <row r="518" ht="16.5" customHeight="1" s="220"/>
    <row r="519" ht="16.5" customHeight="1" s="220"/>
    <row r="520" ht="16.5" customHeight="1" s="220"/>
    <row r="521" ht="16.5" customHeight="1" s="220"/>
    <row r="522" ht="16.5" customHeight="1" s="220"/>
    <row r="523" ht="16.5" customHeight="1" s="220"/>
    <row r="524" ht="16.5" customHeight="1" s="220"/>
    <row r="525" ht="16.5" customHeight="1" s="220"/>
    <row r="526" ht="16.5" customHeight="1" s="220"/>
    <row r="527" ht="16.5" customHeight="1" s="220"/>
    <row r="528" ht="16.5" customHeight="1" s="220"/>
    <row r="529" ht="16.5" customHeight="1" s="220"/>
    <row r="530" ht="16.5" customHeight="1" s="220"/>
    <row r="531" ht="16.5" customHeight="1" s="220"/>
    <row r="532" ht="16.5" customHeight="1" s="220"/>
    <row r="533" ht="16.5" customHeight="1" s="220"/>
    <row r="534" ht="16.5" customHeight="1" s="220"/>
    <row r="535" ht="16.5" customHeight="1" s="220"/>
    <row r="536" ht="16.5" customHeight="1" s="220"/>
    <row r="537" ht="16.5" customHeight="1" s="220"/>
    <row r="538" ht="16.5" customHeight="1" s="220"/>
    <row r="539" ht="16.5" customHeight="1" s="220"/>
    <row r="540" ht="16.5" customHeight="1" s="220"/>
    <row r="541" ht="16.5" customHeight="1" s="220"/>
    <row r="542" ht="16.5" customHeight="1" s="220"/>
    <row r="543" ht="16.5" customHeight="1" s="220"/>
    <row r="544" ht="16.5" customHeight="1" s="220"/>
    <row r="545" ht="16.5" customHeight="1" s="220"/>
    <row r="546" ht="16.5" customHeight="1" s="220"/>
    <row r="547" ht="16.5" customHeight="1" s="220"/>
    <row r="548" ht="16.5" customHeight="1" s="220"/>
    <row r="549" ht="16.5" customHeight="1" s="220"/>
    <row r="550" ht="16.5" customHeight="1" s="220"/>
    <row r="551" ht="16.5" customHeight="1" s="220"/>
    <row r="552" ht="16.5" customHeight="1" s="220"/>
    <row r="553" ht="16.5" customHeight="1" s="220"/>
    <row r="554" ht="16.5" customHeight="1" s="220"/>
    <row r="555" ht="16.5" customHeight="1" s="220"/>
    <row r="556" ht="16.5" customHeight="1" s="220"/>
    <row r="557" ht="16.5" customHeight="1" s="220"/>
    <row r="558" ht="16.5" customHeight="1" s="220"/>
    <row r="559" ht="16.5" customHeight="1" s="220"/>
    <row r="560" ht="16.5" customHeight="1" s="220"/>
    <row r="561" ht="16.5" customHeight="1" s="220"/>
    <row r="562" ht="16.5" customHeight="1" s="220"/>
    <row r="563" ht="16.5" customHeight="1" s="220"/>
    <row r="564" ht="16.5" customHeight="1" s="220"/>
    <row r="565" ht="16.5" customHeight="1" s="220"/>
    <row r="566" ht="16.5" customHeight="1" s="220"/>
    <row r="567" ht="16.5" customHeight="1" s="220"/>
    <row r="568" ht="16.5" customHeight="1" s="220"/>
    <row r="569" ht="16.5" customHeight="1" s="220"/>
    <row r="570" ht="16.5" customHeight="1" s="220"/>
    <row r="571" ht="16.5" customHeight="1" s="220"/>
    <row r="572" ht="16.5" customHeight="1" s="220"/>
    <row r="573" ht="16.5" customHeight="1" s="220"/>
    <row r="574" ht="16.5" customHeight="1" s="220"/>
    <row r="575" ht="16.5" customHeight="1" s="220"/>
    <row r="576" ht="16.5" customHeight="1" s="220"/>
    <row r="577" ht="16.5" customHeight="1" s="220"/>
    <row r="578" ht="16.5" customHeight="1" s="220"/>
    <row r="579" ht="16.5" customHeight="1" s="220"/>
    <row r="580" ht="16.5" customHeight="1" s="220"/>
    <row r="581" ht="16.5" customHeight="1" s="220"/>
    <row r="582" ht="16.5" customHeight="1" s="220"/>
    <row r="583" ht="16.5" customHeight="1" s="220"/>
    <row r="584" ht="16.5" customHeight="1" s="220"/>
    <row r="585" ht="16.5" customHeight="1" s="220"/>
    <row r="586" ht="16.5" customHeight="1" s="220"/>
    <row r="587" ht="16.5" customHeight="1" s="220"/>
    <row r="588" ht="16.5" customHeight="1" s="220"/>
    <row r="589" ht="16.5" customHeight="1" s="220"/>
    <row r="590" ht="16.5" customHeight="1" s="220"/>
    <row r="591" ht="16.5" customHeight="1" s="220"/>
    <row r="592" ht="16.5" customHeight="1" s="220"/>
    <row r="593" ht="16.5" customHeight="1" s="220"/>
    <row r="594" ht="16.5" customHeight="1" s="220"/>
    <row r="595" ht="16.5" customHeight="1" s="220"/>
    <row r="596" ht="16.5" customHeight="1" s="220"/>
    <row r="597" ht="16.5" customHeight="1" s="220"/>
    <row r="598" ht="16.5" customHeight="1" s="220"/>
    <row r="599" ht="16.5" customHeight="1" s="220"/>
    <row r="600" ht="16.5" customHeight="1" s="220"/>
    <row r="601" ht="16.5" customHeight="1" s="220"/>
    <row r="602" ht="16.5" customHeight="1" s="220"/>
    <row r="603" ht="16.5" customHeight="1" s="220"/>
    <row r="604" ht="16.5" customHeight="1" s="220"/>
    <row r="605" ht="16.5" customHeight="1" s="220"/>
    <row r="606" ht="16.5" customHeight="1" s="220"/>
    <row r="607" ht="16.5" customHeight="1" s="220"/>
    <row r="608" ht="16.5" customHeight="1" s="220"/>
    <row r="609" ht="16.5" customHeight="1" s="220"/>
    <row r="610" ht="16.5" customHeight="1" s="220"/>
    <row r="611" ht="16.5" customHeight="1" s="220"/>
    <row r="612" ht="16.5" customHeight="1" s="220"/>
    <row r="613" ht="16.5" customHeight="1" s="220"/>
    <row r="614" ht="16.5" customHeight="1" s="220"/>
    <row r="615" ht="16.5" customHeight="1" s="220"/>
    <row r="616" ht="16.5" customHeight="1" s="220"/>
    <row r="617" ht="16.5" customHeight="1" s="220"/>
    <row r="618" ht="16.5" customHeight="1" s="220"/>
    <row r="619" ht="16.5" customHeight="1" s="220"/>
    <row r="620" ht="16.5" customHeight="1" s="220"/>
    <row r="621" ht="16.5" customHeight="1" s="220"/>
    <row r="622" ht="16.5" customHeight="1" s="220"/>
    <row r="623" ht="16.5" customHeight="1" s="220"/>
    <row r="624" ht="16.5" customHeight="1" s="220"/>
    <row r="625" ht="16.5" customHeight="1" s="220"/>
    <row r="626" ht="16.5" customHeight="1" s="220"/>
    <row r="627" ht="16.5" customHeight="1" s="220"/>
    <row r="628" ht="16.5" customHeight="1" s="220"/>
    <row r="629" ht="16.5" customHeight="1" s="220"/>
    <row r="630" ht="16.5" customHeight="1" s="220"/>
    <row r="631" ht="16.5" customHeight="1" s="220"/>
    <row r="632" ht="16.5" customHeight="1" s="220"/>
    <row r="633" ht="16.5" customHeight="1" s="220"/>
    <row r="634" ht="16.5" customHeight="1" s="220"/>
    <row r="635" ht="16.5" customHeight="1" s="220"/>
    <row r="636" ht="16.5" customHeight="1" s="220"/>
    <row r="637" ht="16.5" customHeight="1" s="220"/>
    <row r="638" ht="16.5" customHeight="1" s="220"/>
    <row r="639" ht="16.5" customHeight="1" s="220"/>
    <row r="640" ht="16.5" customHeight="1" s="220"/>
    <row r="641" ht="16.5" customHeight="1" s="220"/>
    <row r="642" ht="16.5" customHeight="1" s="220"/>
    <row r="643" ht="16.5" customHeight="1" s="220"/>
    <row r="644" ht="16.5" customHeight="1" s="220"/>
    <row r="645" ht="16.5" customHeight="1" s="220"/>
    <row r="646" ht="16.5" customHeight="1" s="220"/>
    <row r="647" ht="16.5" customHeight="1" s="220"/>
    <row r="648" ht="16.5" customHeight="1" s="220"/>
    <row r="649" ht="16.5" customHeight="1" s="220"/>
    <row r="650" ht="16.5" customHeight="1" s="220"/>
    <row r="651" ht="16.5" customHeight="1" s="220"/>
    <row r="652" ht="16.5" customHeight="1" s="220"/>
    <row r="653" ht="16.5" customHeight="1" s="220"/>
    <row r="654" ht="16.5" customHeight="1" s="220"/>
    <row r="655" ht="16.5" customHeight="1" s="220"/>
    <row r="656" ht="16.5" customHeight="1" s="220"/>
    <row r="657" ht="16.5" customHeight="1" s="220"/>
    <row r="658" ht="16.5" customHeight="1" s="220"/>
    <row r="659" ht="16.5" customHeight="1" s="220"/>
    <row r="660" ht="16.5" customHeight="1" s="220"/>
    <row r="661" ht="16.5" customHeight="1" s="220"/>
    <row r="662" ht="16.5" customHeight="1" s="220"/>
    <row r="663" ht="16.5" customHeight="1" s="220"/>
    <row r="664" ht="16.5" customHeight="1" s="220"/>
    <row r="665" ht="16.5" customHeight="1" s="220"/>
    <row r="666" ht="16.5" customHeight="1" s="220"/>
    <row r="667" ht="16.5" customHeight="1" s="220"/>
    <row r="668" ht="16.5" customHeight="1" s="220"/>
    <row r="669" ht="16.5" customHeight="1" s="220"/>
    <row r="670" ht="16.5" customHeight="1" s="220"/>
    <row r="671" ht="16.5" customHeight="1" s="220"/>
    <row r="672" ht="16.5" customHeight="1" s="220"/>
    <row r="673" ht="16.5" customHeight="1" s="220"/>
    <row r="674" ht="16.5" customHeight="1" s="220"/>
    <row r="675" ht="16.5" customHeight="1" s="220"/>
    <row r="676" ht="16.5" customHeight="1" s="220"/>
    <row r="677" ht="16.5" customHeight="1" s="220"/>
    <row r="678" ht="16.5" customHeight="1" s="220"/>
    <row r="679" ht="16.5" customHeight="1" s="220"/>
    <row r="680" ht="16.5" customHeight="1" s="220"/>
    <row r="681" ht="16.5" customHeight="1" s="220"/>
    <row r="682" ht="16.5" customHeight="1" s="220"/>
    <row r="683" ht="16.5" customHeight="1" s="220"/>
    <row r="684" ht="16.5" customHeight="1" s="220"/>
    <row r="685" ht="16.5" customHeight="1" s="220"/>
    <row r="686" ht="16.5" customHeight="1" s="220"/>
    <row r="687" ht="16.5" customHeight="1" s="220"/>
    <row r="688" ht="16.5" customHeight="1" s="220"/>
    <row r="689" ht="16.5" customHeight="1" s="220"/>
    <row r="690" ht="16.5" customHeight="1" s="220"/>
    <row r="691" ht="16.5" customHeight="1" s="220"/>
    <row r="692" ht="16.5" customHeight="1" s="220"/>
    <row r="693" ht="16.5" customHeight="1" s="220"/>
    <row r="694" ht="16.5" customHeight="1" s="220"/>
    <row r="695" ht="16.5" customHeight="1" s="220"/>
    <row r="696" ht="16.5" customHeight="1" s="220"/>
    <row r="697" ht="16.5" customHeight="1" s="220"/>
    <row r="698" ht="16.5" customHeight="1" s="220"/>
    <row r="699" ht="16.5" customHeight="1" s="220"/>
    <row r="700" ht="16.5" customHeight="1" s="220"/>
    <row r="701" ht="16.5" customHeight="1" s="220"/>
    <row r="702" ht="16.5" customHeight="1" s="220"/>
    <row r="703" ht="16.5" customHeight="1" s="220"/>
    <row r="704" ht="16.5" customHeight="1" s="220"/>
    <row r="705" ht="16.5" customHeight="1" s="220"/>
    <row r="706" ht="16.5" customHeight="1" s="220"/>
    <row r="707" ht="16.5" customHeight="1" s="220"/>
    <row r="708" ht="16.5" customHeight="1" s="220"/>
    <row r="709" ht="16.5" customHeight="1" s="220"/>
    <row r="710" ht="16.5" customHeight="1" s="220"/>
    <row r="711" ht="16.5" customHeight="1" s="220"/>
    <row r="712" ht="16.5" customHeight="1" s="220"/>
    <row r="713" ht="16.5" customHeight="1" s="220"/>
    <row r="714" ht="16.5" customHeight="1" s="220"/>
    <row r="715" ht="16.5" customHeight="1" s="220"/>
    <row r="716" ht="16.5" customHeight="1" s="220"/>
    <row r="717" ht="16.5" customHeight="1" s="220"/>
    <row r="718" ht="16.5" customHeight="1" s="220"/>
    <row r="719" ht="16.5" customHeight="1" s="220"/>
    <row r="720" ht="16.5" customHeight="1" s="220"/>
    <row r="721" ht="16.5" customHeight="1" s="220"/>
    <row r="722" ht="16.5" customHeight="1" s="220"/>
    <row r="723" ht="16.5" customHeight="1" s="220"/>
    <row r="724" ht="16.5" customHeight="1" s="220"/>
    <row r="725" ht="16.5" customHeight="1" s="220"/>
    <row r="726" ht="16.5" customHeight="1" s="220"/>
    <row r="727" ht="16.5" customHeight="1" s="220"/>
    <row r="728" ht="16.5" customHeight="1" s="220"/>
    <row r="729" ht="16.5" customHeight="1" s="220"/>
    <row r="730" ht="16.5" customHeight="1" s="220"/>
    <row r="731" ht="16.5" customHeight="1" s="220"/>
    <row r="732" ht="16.5" customHeight="1" s="220"/>
    <row r="733" ht="16.5" customHeight="1" s="220"/>
    <row r="734" ht="16.5" customHeight="1" s="220"/>
    <row r="735" ht="16.5" customHeight="1" s="220"/>
    <row r="736" ht="16.5" customHeight="1" s="220"/>
    <row r="737" ht="16.5" customHeight="1" s="220"/>
    <row r="738" ht="16.5" customHeight="1" s="220"/>
    <row r="739" ht="16.5" customHeight="1" s="220"/>
    <row r="740" ht="16.5" customHeight="1" s="220"/>
    <row r="741" ht="16.5" customHeight="1" s="220"/>
    <row r="742" ht="16.5" customHeight="1" s="220"/>
    <row r="743" ht="16.5" customHeight="1" s="220"/>
    <row r="744" ht="16.5" customHeight="1" s="220"/>
    <row r="745" ht="16.5" customHeight="1" s="220"/>
    <row r="746" ht="16.5" customHeight="1" s="220"/>
    <row r="747" ht="16.5" customHeight="1" s="220"/>
    <row r="748" ht="16.5" customHeight="1" s="220"/>
    <row r="749" ht="16.5" customHeight="1" s="220"/>
    <row r="750" ht="16.5" customHeight="1" s="220"/>
    <row r="751" ht="16.5" customHeight="1" s="220"/>
    <row r="752" ht="16.5" customHeight="1" s="220"/>
    <row r="753" ht="16.5" customHeight="1" s="220"/>
    <row r="754" ht="16.5" customHeight="1" s="220"/>
    <row r="755" ht="16.5" customHeight="1" s="220"/>
    <row r="756" ht="16.5" customHeight="1" s="220"/>
    <row r="757" ht="16.5" customHeight="1" s="220"/>
    <row r="758" ht="16.5" customHeight="1" s="220"/>
    <row r="759" ht="16.5" customHeight="1" s="220"/>
    <row r="760" ht="16.5" customHeight="1" s="220"/>
    <row r="761" ht="16.5" customHeight="1" s="220"/>
    <row r="762" ht="16.5" customHeight="1" s="220"/>
    <row r="763" ht="16.5" customHeight="1" s="220"/>
    <row r="764" ht="16.5" customHeight="1" s="220"/>
    <row r="765" ht="16.5" customHeight="1" s="220"/>
    <row r="766" ht="16.5" customHeight="1" s="220"/>
    <row r="767" ht="16.5" customHeight="1" s="220"/>
    <row r="768" ht="16.5" customHeight="1" s="220"/>
    <row r="769" ht="16.5" customHeight="1" s="220"/>
    <row r="770" ht="16.5" customHeight="1" s="220"/>
    <row r="771" ht="16.5" customHeight="1" s="220"/>
    <row r="772" ht="16.5" customHeight="1" s="220"/>
    <row r="773" ht="16.5" customHeight="1" s="220"/>
    <row r="774" ht="16.5" customHeight="1" s="220"/>
    <row r="775" ht="16.5" customHeight="1" s="220"/>
    <row r="776" ht="16.5" customHeight="1" s="220"/>
    <row r="777" ht="16.5" customHeight="1" s="220"/>
    <row r="778" ht="16.5" customHeight="1" s="220"/>
    <row r="779" ht="16.5" customHeight="1" s="220"/>
    <row r="780" ht="16.5" customHeight="1" s="220"/>
    <row r="781" ht="16.5" customHeight="1" s="220"/>
    <row r="782" ht="16.5" customHeight="1" s="220"/>
    <row r="783" ht="16.5" customHeight="1" s="220"/>
    <row r="784" ht="16.5" customHeight="1" s="220"/>
    <row r="785" ht="16.5" customHeight="1" s="220"/>
    <row r="786" ht="16.5" customHeight="1" s="220"/>
    <row r="787" ht="16.5" customHeight="1" s="220"/>
    <row r="788" ht="16.5" customHeight="1" s="220"/>
    <row r="789" ht="16.5" customHeight="1" s="220"/>
    <row r="790" ht="16.5" customHeight="1" s="220"/>
    <row r="791" ht="16.5" customHeight="1" s="220"/>
    <row r="792" ht="16.5" customHeight="1" s="220"/>
    <row r="793" ht="16.5" customHeight="1" s="220"/>
    <row r="794" ht="16.5" customHeight="1" s="220"/>
    <row r="795" ht="16.5" customHeight="1" s="220"/>
    <row r="796" ht="16.5" customHeight="1" s="220"/>
    <row r="797" ht="16.5" customHeight="1" s="220"/>
    <row r="798" ht="16.5" customHeight="1" s="220"/>
    <row r="799" ht="16.5" customHeight="1" s="220"/>
    <row r="800" ht="16.5" customHeight="1" s="220"/>
    <row r="801" ht="16.5" customHeight="1" s="220"/>
    <row r="802" ht="16.5" customHeight="1" s="220"/>
    <row r="803" ht="16.5" customHeight="1" s="220"/>
    <row r="804" ht="16.5" customHeight="1" s="220"/>
    <row r="805" ht="16.5" customHeight="1" s="220"/>
    <row r="806" ht="16.5" customHeight="1" s="220"/>
    <row r="807" ht="16.5" customHeight="1" s="220"/>
    <row r="808" ht="16.5" customHeight="1" s="220"/>
    <row r="809" ht="16.5" customHeight="1" s="220"/>
    <row r="810" ht="16.5" customHeight="1" s="220"/>
    <row r="811" ht="16.5" customHeight="1" s="220"/>
    <row r="812" ht="16.5" customHeight="1" s="220"/>
    <row r="813" ht="16.5" customHeight="1" s="220"/>
    <row r="814" ht="16.5" customHeight="1" s="220"/>
    <row r="815" ht="16.5" customHeight="1" s="220"/>
    <row r="816" ht="16.5" customHeight="1" s="220"/>
    <row r="817" ht="16.5" customHeight="1" s="220"/>
    <row r="818" ht="16.5" customHeight="1" s="220"/>
    <row r="819" ht="16.5" customHeight="1" s="220"/>
    <row r="820" ht="16.5" customHeight="1" s="220"/>
    <row r="821" ht="16.5" customHeight="1" s="220"/>
    <row r="822" ht="16.5" customHeight="1" s="220"/>
    <row r="823" ht="16.5" customHeight="1" s="220"/>
    <row r="824" ht="16.5" customHeight="1" s="220"/>
    <row r="825" ht="16.5" customHeight="1" s="220"/>
    <row r="826" ht="16.5" customHeight="1" s="220"/>
    <row r="827" ht="16.5" customHeight="1" s="220"/>
    <row r="828" ht="16.5" customHeight="1" s="220"/>
    <row r="829" ht="16.5" customHeight="1" s="220"/>
    <row r="830" ht="16.5" customHeight="1" s="220"/>
    <row r="831" ht="16.5" customHeight="1" s="220"/>
    <row r="832" ht="16.5" customHeight="1" s="220"/>
    <row r="833" ht="16.5" customHeight="1" s="220"/>
    <row r="834" ht="16.5" customHeight="1" s="220"/>
    <row r="835" ht="16.5" customHeight="1" s="220"/>
    <row r="836" ht="16.5" customHeight="1" s="220"/>
    <row r="837" ht="16.5" customHeight="1" s="220"/>
    <row r="838" ht="16.5" customHeight="1" s="220"/>
    <row r="839" ht="16.5" customHeight="1" s="220"/>
    <row r="840" ht="16.5" customHeight="1" s="220"/>
    <row r="841" ht="16.5" customHeight="1" s="220"/>
    <row r="842" ht="16.5" customHeight="1" s="220"/>
    <row r="843" ht="16.5" customHeight="1" s="220"/>
    <row r="844" ht="16.5" customHeight="1" s="220"/>
    <row r="845" ht="16.5" customHeight="1" s="220"/>
    <row r="846" ht="16.5" customHeight="1" s="220"/>
    <row r="847" ht="16.5" customHeight="1" s="220"/>
    <row r="848" ht="16.5" customHeight="1" s="220"/>
    <row r="849" ht="16.5" customHeight="1" s="220"/>
    <row r="850" ht="16.5" customHeight="1" s="220"/>
    <row r="851" ht="16.5" customHeight="1" s="220"/>
    <row r="852" ht="16.5" customHeight="1" s="220"/>
    <row r="853" ht="16.5" customHeight="1" s="220"/>
    <row r="854" ht="16.5" customHeight="1" s="220"/>
    <row r="855" ht="16.5" customHeight="1" s="220"/>
    <row r="856" ht="16.5" customHeight="1" s="220"/>
    <row r="857" ht="16.5" customHeight="1" s="220"/>
    <row r="858" ht="16.5" customHeight="1" s="220"/>
    <row r="859" ht="16.5" customHeight="1" s="220"/>
    <row r="860" ht="16.5" customHeight="1" s="220"/>
    <row r="861" ht="16.5" customHeight="1" s="220"/>
    <row r="862" ht="16.5" customHeight="1" s="220"/>
    <row r="863" ht="16.5" customHeight="1" s="220"/>
    <row r="864" ht="16.5" customHeight="1" s="220"/>
    <row r="865" ht="16.5" customHeight="1" s="220"/>
    <row r="866" ht="16.5" customHeight="1" s="220"/>
    <row r="867" ht="16.5" customHeight="1" s="220"/>
    <row r="868" ht="16.5" customHeight="1" s="220"/>
    <row r="869" ht="16.5" customHeight="1" s="220"/>
    <row r="870" ht="16.5" customHeight="1" s="220"/>
    <row r="871" ht="16.5" customHeight="1" s="220"/>
    <row r="872" ht="16.5" customHeight="1" s="220"/>
    <row r="873" ht="16.5" customHeight="1" s="220"/>
    <row r="874" ht="16.5" customHeight="1" s="220"/>
    <row r="875" ht="16.5" customHeight="1" s="220"/>
    <row r="876" ht="16.5" customHeight="1" s="220"/>
    <row r="877" ht="16.5" customHeight="1" s="220"/>
    <row r="878" ht="16.5" customHeight="1" s="220"/>
    <row r="879" ht="16.5" customHeight="1" s="220"/>
    <row r="880" ht="16.5" customHeight="1" s="220"/>
    <row r="881" ht="16.5" customHeight="1" s="220"/>
    <row r="882" ht="16.5" customHeight="1" s="220"/>
    <row r="883" ht="16.5" customHeight="1" s="220"/>
    <row r="884" ht="16.5" customHeight="1" s="220"/>
    <row r="885" ht="16.5" customHeight="1" s="220"/>
    <row r="886" ht="16.5" customHeight="1" s="220"/>
    <row r="887" ht="16.5" customHeight="1" s="220"/>
    <row r="888" ht="16.5" customHeight="1" s="220"/>
    <row r="889" ht="16.5" customHeight="1" s="220"/>
    <row r="890" ht="16.5" customHeight="1" s="220"/>
    <row r="891" ht="16.5" customHeight="1" s="220"/>
    <row r="892" ht="16.5" customHeight="1" s="220"/>
    <row r="893" ht="16.5" customHeight="1" s="220"/>
    <row r="894" ht="16.5" customHeight="1" s="220"/>
    <row r="895" ht="16.5" customHeight="1" s="220"/>
    <row r="896" ht="16.5" customHeight="1" s="220"/>
    <row r="897" ht="16.5" customHeight="1" s="220"/>
    <row r="898" ht="16.5" customHeight="1" s="220"/>
    <row r="899" ht="16.5" customHeight="1" s="220"/>
    <row r="900" ht="16.5" customHeight="1" s="220"/>
    <row r="901" ht="16.5" customHeight="1" s="220"/>
    <row r="902" ht="16.5" customHeight="1" s="220"/>
    <row r="903" ht="16.5" customHeight="1" s="220"/>
    <row r="904" ht="16.5" customHeight="1" s="220"/>
    <row r="905" ht="16.5" customHeight="1" s="220"/>
    <row r="906" ht="16.5" customHeight="1" s="220"/>
    <row r="907" ht="16.5" customHeight="1" s="220"/>
    <row r="908" ht="16.5" customHeight="1" s="220"/>
    <row r="909" ht="16.5" customHeight="1" s="220"/>
    <row r="910" ht="16.5" customHeight="1" s="220"/>
    <row r="911" ht="16.5" customHeight="1" s="220"/>
    <row r="912" ht="16.5" customHeight="1" s="220"/>
    <row r="913" ht="16.5" customHeight="1" s="220"/>
    <row r="914" ht="16.5" customHeight="1" s="220"/>
    <row r="915" ht="16.5" customHeight="1" s="220"/>
    <row r="916" ht="16.5" customHeight="1" s="220"/>
    <row r="917" ht="16.5" customHeight="1" s="220"/>
    <row r="918" ht="16.5" customHeight="1" s="220"/>
    <row r="919" ht="16.5" customHeight="1" s="220"/>
    <row r="920" ht="16.5" customHeight="1" s="220"/>
    <row r="921" ht="16.5" customHeight="1" s="220"/>
    <row r="922" ht="16.5" customHeight="1" s="220"/>
    <row r="923" ht="16.5" customHeight="1" s="220"/>
    <row r="924" ht="16.5" customHeight="1" s="220"/>
    <row r="925" ht="16.5" customHeight="1" s="220"/>
    <row r="926" ht="16.5" customHeight="1" s="220"/>
    <row r="927" ht="16.5" customHeight="1" s="220"/>
    <row r="928" ht="16.5" customHeight="1" s="220"/>
    <row r="929" ht="16.5" customHeight="1" s="220"/>
    <row r="930" ht="16.5" customHeight="1" s="220"/>
    <row r="931" ht="16.5" customHeight="1" s="220"/>
    <row r="932" ht="16.5" customHeight="1" s="220"/>
    <row r="933" ht="16.5" customHeight="1" s="220"/>
    <row r="934" ht="16.5" customHeight="1" s="220"/>
    <row r="935" ht="16.5" customHeight="1" s="220"/>
    <row r="936" ht="16.5" customHeight="1" s="220"/>
    <row r="937" ht="16.5" customHeight="1" s="220"/>
    <row r="938" ht="16.5" customHeight="1" s="220"/>
    <row r="939" ht="16.5" customHeight="1" s="220"/>
    <row r="940" ht="16.5" customHeight="1" s="220"/>
    <row r="941" ht="16.5" customHeight="1" s="220"/>
    <row r="942" ht="16.5" customHeight="1" s="220"/>
    <row r="943" ht="16.5" customHeight="1" s="220"/>
    <row r="944" ht="16.5" customHeight="1" s="220"/>
    <row r="945" ht="16.5" customHeight="1" s="220"/>
    <row r="946" ht="16.5" customHeight="1" s="220"/>
    <row r="947" ht="16.5" customHeight="1" s="220"/>
    <row r="948" ht="16.5" customHeight="1" s="220"/>
    <row r="949" ht="16.5" customHeight="1" s="220"/>
    <row r="950" ht="16.5" customHeight="1" s="220"/>
    <row r="951" ht="16.5" customHeight="1" s="220"/>
    <row r="952" ht="16.5" customHeight="1" s="220"/>
    <row r="953" ht="16.5" customHeight="1" s="220"/>
    <row r="954" ht="16.5" customHeight="1" s="220"/>
    <row r="955" ht="16.5" customHeight="1" s="220"/>
    <row r="956" ht="16.5" customHeight="1" s="220"/>
    <row r="957" ht="16.5" customHeight="1" s="220"/>
    <row r="958" ht="16.5" customHeight="1" s="220"/>
    <row r="959" ht="16.5" customHeight="1" s="220"/>
    <row r="960" ht="16.5" customHeight="1" s="220"/>
    <row r="961" ht="16.5" customHeight="1" s="220"/>
    <row r="962" ht="16.5" customHeight="1" s="220"/>
    <row r="963" ht="16.5" customHeight="1" s="220"/>
    <row r="964" ht="16.5" customHeight="1" s="220"/>
    <row r="965" ht="16.5" customHeight="1" s="220"/>
    <row r="966" ht="16.5" customHeight="1" s="220"/>
    <row r="967" ht="16.5" customHeight="1" s="220"/>
    <row r="968" ht="16.5" customHeight="1" s="220"/>
    <row r="969" ht="16.5" customHeight="1" s="220"/>
    <row r="970" ht="16.5" customHeight="1" s="220"/>
    <row r="971" ht="16.5" customHeight="1" s="220"/>
    <row r="972" ht="16.5" customHeight="1" s="220"/>
    <row r="973" ht="16.5" customHeight="1" s="220"/>
    <row r="974" ht="16.5" customHeight="1" s="220"/>
    <row r="975" ht="16.5" customHeight="1" s="220"/>
    <row r="976" ht="16.5" customHeight="1" s="220"/>
    <row r="977" ht="16.5" customHeight="1" s="220"/>
    <row r="978" ht="16.5" customHeight="1" s="220"/>
    <row r="979" ht="16.5" customHeight="1" s="220"/>
    <row r="980" ht="16.5" customHeight="1" s="220"/>
    <row r="981" ht="16.5" customHeight="1" s="220"/>
    <row r="982" ht="16.5" customHeight="1" s="220"/>
    <row r="983" ht="16.5" customHeight="1" s="220"/>
    <row r="984" ht="16.5" customHeight="1" s="220"/>
    <row r="985" ht="16.5" customHeight="1" s="220"/>
    <row r="986" ht="16.5" customHeight="1" s="220"/>
    <row r="987" ht="16.5" customHeight="1" s="220"/>
    <row r="988" ht="16.5" customHeight="1" s="220"/>
    <row r="989" ht="16.5" customHeight="1" s="220"/>
    <row r="990" ht="16.5" customHeight="1" s="220"/>
    <row r="991" ht="16.5" customHeight="1" s="220"/>
    <row r="992" ht="16.5" customHeight="1" s="220"/>
    <row r="993" ht="16.5" customHeight="1" s="220"/>
    <row r="994" ht="16.5" customHeight="1" s="220"/>
    <row r="995" ht="16.5" customHeight="1" s="220"/>
    <row r="996" ht="16.5" customHeight="1" s="220"/>
    <row r="997" ht="16.5" customHeight="1" s="220"/>
    <row r="998" ht="16.5" customHeight="1" s="220"/>
    <row r="999" ht="16.5" customHeight="1" s="220"/>
    <row r="1000" ht="16.5" customHeight="1" s="220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tabColor rgb="FFFFCC00"/>
    <outlinePr summaryBelow="1" summaryRight="1"/>
    <pageSetUpPr/>
  </sheetPr>
  <dimension ref="B1:D27"/>
  <sheetViews>
    <sheetView workbookViewId="0">
      <selection activeCell="A1" sqref="A1"/>
    </sheetView>
  </sheetViews>
  <sheetFormatPr baseColWidth="8" defaultColWidth="12.63" defaultRowHeight="15" customHeight="1"/>
  <cols>
    <col width="9" customWidth="1" style="220" min="1" max="1"/>
    <col width="19.5" customWidth="1" style="220" min="2" max="2"/>
    <col width="10.13" customWidth="1" style="220" min="3" max="3"/>
    <col width="7.63" customWidth="1" style="220" min="4" max="4"/>
    <col width="8" customWidth="1" style="220" min="5" max="26"/>
  </cols>
  <sheetData>
    <row r="1" ht="16.5" customHeight="1" s="220">
      <c r="B1" s="211" t="inlineStr">
        <is>
          <t>Range</t>
        </is>
      </c>
      <c r="C1" s="211" t="inlineStr">
        <is>
          <t>Tier</t>
        </is>
      </c>
      <c r="D1" s="211" t="inlineStr">
        <is>
          <t>Comm</t>
        </is>
      </c>
    </row>
    <row r="2" ht="16.5" customHeight="1" s="220">
      <c r="B2" s="216" t="inlineStr">
        <is>
          <t>$120,000 - $129,999</t>
        </is>
      </c>
      <c r="C2" s="217" t="n">
        <v>120000</v>
      </c>
      <c r="D2" s="218" t="n">
        <v>0.025</v>
      </c>
    </row>
    <row r="3" ht="16.5" customHeight="1" s="220">
      <c r="B3" s="212" t="inlineStr">
        <is>
          <t>$130,000 - $139,999</t>
        </is>
      </c>
      <c r="C3" s="213" t="n">
        <v>130000</v>
      </c>
      <c r="D3" s="214" t="n">
        <v>0.05</v>
      </c>
    </row>
    <row r="4" ht="16.5" customHeight="1" s="220">
      <c r="B4" s="212" t="inlineStr">
        <is>
          <t>$140,000 - $149,999</t>
        </is>
      </c>
      <c r="C4" s="213" t="n">
        <v>140000</v>
      </c>
      <c r="D4" s="218" t="n">
        <v>0.075</v>
      </c>
    </row>
    <row r="5" ht="16.5" customHeight="1" s="220">
      <c r="B5" s="212" t="inlineStr">
        <is>
          <t>$150,000 - $159,999</t>
        </is>
      </c>
      <c r="C5" s="213" t="n">
        <v>150000</v>
      </c>
      <c r="D5" s="214" t="n">
        <v>0.1</v>
      </c>
    </row>
    <row r="6" ht="16.5" customHeight="1" s="220">
      <c r="B6" s="212" t="inlineStr">
        <is>
          <t>$160,000 - $169,999</t>
        </is>
      </c>
      <c r="C6" s="213" t="n">
        <v>160000</v>
      </c>
      <c r="D6" s="218" t="n">
        <v>0.125</v>
      </c>
    </row>
    <row r="7" ht="16.5" customHeight="1" s="220">
      <c r="B7" s="212" t="inlineStr">
        <is>
          <t>$170,000 - $179,999</t>
        </is>
      </c>
      <c r="C7" s="213" t="n">
        <v>170000</v>
      </c>
      <c r="D7" s="214" t="n">
        <v>0.15</v>
      </c>
    </row>
    <row r="8" ht="16.5" customHeight="1" s="220">
      <c r="B8" s="212" t="inlineStr">
        <is>
          <t>$180,000 - $189,999</t>
        </is>
      </c>
      <c r="C8" s="213" t="n">
        <v>180000</v>
      </c>
      <c r="D8" s="219" t="n">
        <v>0.175</v>
      </c>
    </row>
    <row r="9" ht="16.5" customHeight="1" s="220">
      <c r="B9" s="212" t="inlineStr">
        <is>
          <t>$190,000 - $199,999</t>
        </is>
      </c>
      <c r="C9" s="213" t="n">
        <v>190000</v>
      </c>
      <c r="D9" s="214" t="n">
        <v>0.2</v>
      </c>
    </row>
    <row r="10" ht="16.5" customHeight="1" s="220">
      <c r="B10" s="212" t="inlineStr">
        <is>
          <t>$200,000 - $209,999</t>
        </is>
      </c>
      <c r="C10" s="213" t="n">
        <v>200000</v>
      </c>
      <c r="D10" s="218" t="n">
        <v>0.225</v>
      </c>
    </row>
    <row r="11" ht="16.5" customHeight="1" s="220">
      <c r="B11" s="212" t="inlineStr">
        <is>
          <t>$210,000 - $219,999</t>
        </is>
      </c>
      <c r="C11" s="213" t="n">
        <v>210000</v>
      </c>
      <c r="D11" s="214" t="n">
        <v>0.25</v>
      </c>
    </row>
    <row r="12" ht="16.5" customHeight="1" s="220">
      <c r="B12" s="212" t="inlineStr">
        <is>
          <t>$220,000 - $229,999</t>
        </is>
      </c>
      <c r="C12" s="213" t="n">
        <v>220000</v>
      </c>
      <c r="D12" s="218" t="n">
        <v>0.275</v>
      </c>
    </row>
    <row r="13" ht="16.5" customHeight="1" s="220">
      <c r="B13" s="212" t="inlineStr">
        <is>
          <t>$230,000 - $239,999</t>
        </is>
      </c>
      <c r="C13" s="213" t="n">
        <v>230000</v>
      </c>
      <c r="D13" s="214" t="n">
        <v>0.3</v>
      </c>
    </row>
    <row r="14" ht="16.5" customHeight="1" s="220">
      <c r="B14" s="212" t="inlineStr">
        <is>
          <t>$240,000 - $249,999</t>
        </is>
      </c>
      <c r="C14" s="213" t="n">
        <v>240000</v>
      </c>
      <c r="D14" s="218" t="n">
        <v>0.325</v>
      </c>
    </row>
    <row r="15" ht="16.5" customHeight="1" s="220">
      <c r="B15" s="212" t="inlineStr">
        <is>
          <t>$250,000 - $259,999</t>
        </is>
      </c>
      <c r="C15" s="215" t="n">
        <v>250000</v>
      </c>
      <c r="D15" s="214" t="n">
        <v>0.35</v>
      </c>
    </row>
    <row r="16" ht="16.5" customHeight="1" s="220">
      <c r="B16" s="212" t="inlineStr">
        <is>
          <t>$260,000 - $269,999</t>
        </is>
      </c>
      <c r="C16" s="215" t="n">
        <v>260000</v>
      </c>
      <c r="D16" s="218" t="n">
        <v>0.375</v>
      </c>
    </row>
    <row r="17" ht="16.5" customHeight="1" s="220">
      <c r="B17" s="212" t="inlineStr">
        <is>
          <t>$270,000 - $279,999</t>
        </is>
      </c>
      <c r="C17" s="215" t="n">
        <v>270000</v>
      </c>
      <c r="D17" s="214" t="n">
        <v>0.4</v>
      </c>
    </row>
    <row r="18" ht="16.5" customHeight="1" s="220">
      <c r="B18" s="212" t="inlineStr">
        <is>
          <t>$280,000 - $289,999</t>
        </is>
      </c>
      <c r="C18" s="215" t="n">
        <v>280000</v>
      </c>
      <c r="D18" s="218" t="n">
        <v>0.425</v>
      </c>
    </row>
    <row r="19" ht="16.5" customHeight="1" s="220">
      <c r="B19" s="212" t="inlineStr">
        <is>
          <t>$290,000 - $299,999</t>
        </is>
      </c>
      <c r="C19" s="215" t="n">
        <v>290000</v>
      </c>
      <c r="D19" s="214" t="n">
        <v>0.45</v>
      </c>
    </row>
    <row r="20" ht="16.5" customHeight="1" s="220">
      <c r="B20" s="212" t="inlineStr">
        <is>
          <t>$300,000 - $309,999</t>
        </is>
      </c>
      <c r="C20" s="215" t="n">
        <v>300000</v>
      </c>
      <c r="D20" s="218" t="n">
        <v>0.475</v>
      </c>
    </row>
    <row r="21" ht="16.5" customHeight="1" s="220">
      <c r="B21" s="212" t="inlineStr">
        <is>
          <t>$310,000 - $319,999</t>
        </is>
      </c>
      <c r="C21" s="215" t="n">
        <v>310000</v>
      </c>
      <c r="D21" s="214" t="n">
        <v>0.5</v>
      </c>
    </row>
    <row r="22" ht="16.5" customHeight="1" s="220">
      <c r="B22" s="212" t="inlineStr">
        <is>
          <t>$320,000 - $329,999</t>
        </is>
      </c>
      <c r="C22" s="215" t="n">
        <v>320000</v>
      </c>
      <c r="D22" s="218" t="n">
        <v>0.525</v>
      </c>
    </row>
    <row r="23" ht="16.5" customHeight="1" s="220">
      <c r="B23" s="212" t="inlineStr">
        <is>
          <t>$330,000 - $339,999</t>
        </is>
      </c>
      <c r="C23" s="215" t="n">
        <v>330000</v>
      </c>
      <c r="D23" s="214" t="n">
        <v>0.55</v>
      </c>
    </row>
    <row r="24" ht="16.5" customHeight="1" s="220">
      <c r="B24" s="212" t="inlineStr">
        <is>
          <t>$340,000 - $349,999</t>
        </is>
      </c>
      <c r="C24" s="215" t="n">
        <v>340000</v>
      </c>
      <c r="D24" s="218" t="n">
        <v>0.575</v>
      </c>
    </row>
    <row r="25" ht="16.5" customHeight="1" s="220">
      <c r="B25" s="212" t="inlineStr">
        <is>
          <t>$350,000 - $359,999</t>
        </is>
      </c>
      <c r="C25" s="215" t="n">
        <v>350000</v>
      </c>
      <c r="D25" s="214" t="n">
        <v>0.6</v>
      </c>
    </row>
    <row r="26" ht="16.5" customHeight="1" s="220">
      <c r="B26" s="212" t="n"/>
      <c r="C26" s="215" t="n"/>
      <c r="D26" s="214" t="n"/>
    </row>
    <row r="27" ht="16.5" customHeight="1" s="220">
      <c r="B27" s="216" t="n"/>
      <c r="C27" s="217" t="n"/>
    </row>
    <row r="28" ht="16.5" customHeight="1" s="220"/>
    <row r="29" ht="16.5" customHeight="1" s="220"/>
    <row r="30" ht="16.5" customHeight="1" s="220"/>
    <row r="31" ht="16.5" customHeight="1" s="220"/>
    <row r="32" ht="16.5" customHeight="1" s="220"/>
    <row r="33" ht="16.5" customHeight="1" s="220"/>
    <row r="34" ht="16.5" customHeight="1" s="220"/>
    <row r="35" ht="16.5" customHeight="1" s="220"/>
    <row r="36" ht="16.5" customHeight="1" s="220"/>
    <row r="37" ht="16.5" customHeight="1" s="220"/>
    <row r="38" ht="16.5" customHeight="1" s="220"/>
    <row r="39" ht="16.5" customHeight="1" s="220"/>
    <row r="40" ht="16.5" customHeight="1" s="220"/>
    <row r="41" ht="16.5" customHeight="1" s="220"/>
    <row r="42" ht="16.5" customHeight="1" s="220"/>
    <row r="43" ht="16.5" customHeight="1" s="220"/>
    <row r="44" ht="16.5" customHeight="1" s="220"/>
    <row r="45" ht="16.5" customHeight="1" s="220"/>
    <row r="46" ht="16.5" customHeight="1" s="220"/>
    <row r="47" ht="16.5" customHeight="1" s="220"/>
    <row r="48" ht="16.5" customHeight="1" s="220"/>
    <row r="49" ht="16.5" customHeight="1" s="220"/>
    <row r="50" ht="16.5" customHeight="1" s="220"/>
    <row r="51" ht="16.5" customHeight="1" s="220"/>
    <row r="52" ht="16.5" customHeight="1" s="220"/>
    <row r="53" ht="16.5" customHeight="1" s="220"/>
    <row r="54" ht="16.5" customHeight="1" s="220"/>
    <row r="55" ht="16.5" customHeight="1" s="220"/>
    <row r="56" ht="16.5" customHeight="1" s="220"/>
    <row r="57" ht="16.5" customHeight="1" s="220"/>
    <row r="58" ht="16.5" customHeight="1" s="220"/>
    <row r="59" ht="16.5" customHeight="1" s="220"/>
    <row r="60" ht="16.5" customHeight="1" s="220"/>
    <row r="61" ht="16.5" customHeight="1" s="220"/>
    <row r="62" ht="16.5" customHeight="1" s="220"/>
    <row r="63" ht="16.5" customHeight="1" s="220"/>
    <row r="64" ht="16.5" customHeight="1" s="220"/>
    <row r="65" ht="16.5" customHeight="1" s="220"/>
    <row r="66" ht="16.5" customHeight="1" s="220"/>
    <row r="67" ht="16.5" customHeight="1" s="220"/>
    <row r="68" ht="16.5" customHeight="1" s="220"/>
    <row r="69" ht="16.5" customHeight="1" s="220"/>
    <row r="70" ht="16.5" customHeight="1" s="220"/>
    <row r="71" ht="16.5" customHeight="1" s="220"/>
    <row r="72" ht="16.5" customHeight="1" s="220"/>
    <row r="73" ht="16.5" customHeight="1" s="220"/>
    <row r="74" ht="16.5" customHeight="1" s="220"/>
    <row r="75" ht="16.5" customHeight="1" s="220"/>
    <row r="76" ht="16.5" customHeight="1" s="220"/>
    <row r="77" ht="16.5" customHeight="1" s="220"/>
    <row r="78" ht="16.5" customHeight="1" s="220"/>
    <row r="79" ht="16.5" customHeight="1" s="220"/>
    <row r="80" ht="16.5" customHeight="1" s="220"/>
    <row r="81" ht="16.5" customHeight="1" s="220"/>
    <row r="82" ht="16.5" customHeight="1" s="220"/>
    <row r="83" ht="16.5" customHeight="1" s="220"/>
    <row r="84" ht="16.5" customHeight="1" s="220"/>
    <row r="85" ht="16.5" customHeight="1" s="220"/>
    <row r="86" ht="16.5" customHeight="1" s="220"/>
    <row r="87" ht="16.5" customHeight="1" s="220"/>
    <row r="88" ht="16.5" customHeight="1" s="220"/>
    <row r="89" ht="16.5" customHeight="1" s="220"/>
    <row r="90" ht="16.5" customHeight="1" s="220"/>
    <row r="91" ht="16.5" customHeight="1" s="220"/>
    <row r="92" ht="16.5" customHeight="1" s="220"/>
    <row r="93" ht="16.5" customHeight="1" s="220"/>
    <row r="94" ht="16.5" customHeight="1" s="220"/>
    <row r="95" ht="16.5" customHeight="1" s="220"/>
    <row r="96" ht="16.5" customHeight="1" s="220"/>
    <row r="97" ht="16.5" customHeight="1" s="220"/>
    <row r="98" ht="16.5" customHeight="1" s="220"/>
    <row r="99" ht="16.5" customHeight="1" s="220"/>
    <row r="100" ht="16.5" customHeight="1" s="220"/>
    <row r="101" ht="16.5" customHeight="1" s="220"/>
    <row r="102" ht="16.5" customHeight="1" s="220"/>
    <row r="103" ht="16.5" customHeight="1" s="220"/>
    <row r="104" ht="16.5" customHeight="1" s="220"/>
    <row r="105" ht="16.5" customHeight="1" s="220"/>
    <row r="106" ht="16.5" customHeight="1" s="220"/>
    <row r="107" ht="16.5" customHeight="1" s="220"/>
    <row r="108" ht="16.5" customHeight="1" s="220"/>
    <row r="109" ht="16.5" customHeight="1" s="220"/>
    <row r="110" ht="16.5" customHeight="1" s="220"/>
    <row r="111" ht="16.5" customHeight="1" s="220"/>
    <row r="112" ht="16.5" customHeight="1" s="220"/>
    <row r="113" ht="16.5" customHeight="1" s="220"/>
    <row r="114" ht="16.5" customHeight="1" s="220"/>
    <row r="115" ht="16.5" customHeight="1" s="220"/>
    <row r="116" ht="16.5" customHeight="1" s="220"/>
    <row r="117" ht="16.5" customHeight="1" s="220"/>
    <row r="118" ht="16.5" customHeight="1" s="220"/>
    <row r="119" ht="16.5" customHeight="1" s="220"/>
    <row r="120" ht="16.5" customHeight="1" s="220"/>
    <row r="121" ht="16.5" customHeight="1" s="220"/>
    <row r="122" ht="16.5" customHeight="1" s="220"/>
    <row r="123" ht="16.5" customHeight="1" s="220"/>
    <row r="124" ht="16.5" customHeight="1" s="220"/>
    <row r="125" ht="16.5" customHeight="1" s="220"/>
    <row r="126" ht="16.5" customHeight="1" s="220"/>
    <row r="127" ht="16.5" customHeight="1" s="220"/>
    <row r="128" ht="16.5" customHeight="1" s="220"/>
    <row r="129" ht="16.5" customHeight="1" s="220"/>
    <row r="130" ht="16.5" customHeight="1" s="220"/>
    <row r="131" ht="16.5" customHeight="1" s="220"/>
    <row r="132" ht="16.5" customHeight="1" s="220"/>
    <row r="133" ht="16.5" customHeight="1" s="220"/>
    <row r="134" ht="16.5" customHeight="1" s="220"/>
    <row r="135" ht="16.5" customHeight="1" s="220"/>
    <row r="136" ht="16.5" customHeight="1" s="220"/>
    <row r="137" ht="16.5" customHeight="1" s="220"/>
    <row r="138" ht="16.5" customHeight="1" s="220"/>
    <row r="139" ht="16.5" customHeight="1" s="220"/>
    <row r="140" ht="16.5" customHeight="1" s="220"/>
    <row r="141" ht="16.5" customHeight="1" s="220"/>
    <row r="142" ht="16.5" customHeight="1" s="220"/>
    <row r="143" ht="16.5" customHeight="1" s="220"/>
    <row r="144" ht="16.5" customHeight="1" s="220"/>
    <row r="145" ht="16.5" customHeight="1" s="220"/>
    <row r="146" ht="16.5" customHeight="1" s="220"/>
    <row r="147" ht="16.5" customHeight="1" s="220"/>
    <row r="148" ht="16.5" customHeight="1" s="220"/>
    <row r="149" ht="16.5" customHeight="1" s="220"/>
    <row r="150" ht="16.5" customHeight="1" s="220"/>
    <row r="151" ht="16.5" customHeight="1" s="220"/>
    <row r="152" ht="16.5" customHeight="1" s="220"/>
    <row r="153" ht="16.5" customHeight="1" s="220"/>
    <row r="154" ht="16.5" customHeight="1" s="220"/>
    <row r="155" ht="16.5" customHeight="1" s="220"/>
    <row r="156" ht="16.5" customHeight="1" s="220"/>
    <row r="157" ht="16.5" customHeight="1" s="220"/>
    <row r="158" ht="16.5" customHeight="1" s="220"/>
    <row r="159" ht="16.5" customHeight="1" s="220"/>
    <row r="160" ht="16.5" customHeight="1" s="220"/>
    <row r="161" ht="16.5" customHeight="1" s="220"/>
    <row r="162" ht="16.5" customHeight="1" s="220"/>
    <row r="163" ht="16.5" customHeight="1" s="220"/>
    <row r="164" ht="16.5" customHeight="1" s="220"/>
    <row r="165" ht="16.5" customHeight="1" s="220"/>
    <row r="166" ht="16.5" customHeight="1" s="220"/>
    <row r="167" ht="16.5" customHeight="1" s="220"/>
    <row r="168" ht="16.5" customHeight="1" s="220"/>
    <row r="169" ht="16.5" customHeight="1" s="220"/>
    <row r="170" ht="16.5" customHeight="1" s="220"/>
    <row r="171" ht="16.5" customHeight="1" s="220"/>
    <row r="172" ht="16.5" customHeight="1" s="220"/>
    <row r="173" ht="16.5" customHeight="1" s="220"/>
    <row r="174" ht="16.5" customHeight="1" s="220"/>
    <row r="175" ht="16.5" customHeight="1" s="220"/>
    <row r="176" ht="16.5" customHeight="1" s="220"/>
    <row r="177" ht="16.5" customHeight="1" s="220"/>
    <row r="178" ht="16.5" customHeight="1" s="220"/>
    <row r="179" ht="16.5" customHeight="1" s="220"/>
    <row r="180" ht="16.5" customHeight="1" s="220"/>
    <row r="181" ht="16.5" customHeight="1" s="220"/>
    <row r="182" ht="16.5" customHeight="1" s="220"/>
    <row r="183" ht="16.5" customHeight="1" s="220"/>
    <row r="184" ht="16.5" customHeight="1" s="220"/>
    <row r="185" ht="16.5" customHeight="1" s="220"/>
    <row r="186" ht="16.5" customHeight="1" s="220"/>
    <row r="187" ht="16.5" customHeight="1" s="220"/>
    <row r="188" ht="16.5" customHeight="1" s="220"/>
    <row r="189" ht="16.5" customHeight="1" s="220"/>
    <row r="190" ht="16.5" customHeight="1" s="220"/>
    <row r="191" ht="16.5" customHeight="1" s="220"/>
    <row r="192" ht="16.5" customHeight="1" s="220"/>
    <row r="193" ht="16.5" customHeight="1" s="220"/>
    <row r="194" ht="16.5" customHeight="1" s="220"/>
    <row r="195" ht="16.5" customHeight="1" s="220"/>
    <row r="196" ht="16.5" customHeight="1" s="220"/>
    <row r="197" ht="16.5" customHeight="1" s="220"/>
    <row r="198" ht="16.5" customHeight="1" s="220"/>
    <row r="199" ht="16.5" customHeight="1" s="220"/>
    <row r="200" ht="16.5" customHeight="1" s="220"/>
    <row r="201" ht="16.5" customHeight="1" s="220"/>
    <row r="202" ht="16.5" customHeight="1" s="220"/>
    <row r="203" ht="16.5" customHeight="1" s="220"/>
    <row r="204" ht="16.5" customHeight="1" s="220"/>
    <row r="205" ht="16.5" customHeight="1" s="220"/>
    <row r="206" ht="16.5" customHeight="1" s="220"/>
    <row r="207" ht="16.5" customHeight="1" s="220"/>
    <row r="208" ht="16.5" customHeight="1" s="220"/>
    <row r="209" ht="16.5" customHeight="1" s="220"/>
    <row r="210" ht="16.5" customHeight="1" s="220"/>
    <row r="211" ht="16.5" customHeight="1" s="220"/>
    <row r="212" ht="16.5" customHeight="1" s="220"/>
    <row r="213" ht="16.5" customHeight="1" s="220"/>
    <row r="214" ht="16.5" customHeight="1" s="220"/>
    <row r="215" ht="16.5" customHeight="1" s="220"/>
    <row r="216" ht="16.5" customHeight="1" s="220"/>
    <row r="217" ht="16.5" customHeight="1" s="220"/>
    <row r="218" ht="16.5" customHeight="1" s="220"/>
    <row r="219" ht="16.5" customHeight="1" s="220"/>
    <row r="220" ht="16.5" customHeight="1" s="220"/>
    <row r="221" ht="16.5" customHeight="1" s="220"/>
    <row r="222" ht="16.5" customHeight="1" s="220"/>
    <row r="223" ht="16.5" customHeight="1" s="220"/>
    <row r="224" ht="16.5" customHeight="1" s="220"/>
    <row r="225" ht="16.5" customHeight="1" s="220"/>
    <row r="226" ht="16.5" customHeight="1" s="220"/>
    <row r="227" ht="16.5" customHeight="1" s="220"/>
    <row r="228" ht="16.5" customHeight="1" s="220"/>
    <row r="229" ht="16.5" customHeight="1" s="220"/>
    <row r="230" ht="16.5" customHeight="1" s="220"/>
    <row r="231" ht="16.5" customHeight="1" s="220"/>
    <row r="232" ht="16.5" customHeight="1" s="220"/>
    <row r="233" ht="16.5" customHeight="1" s="220"/>
    <row r="234" ht="16.5" customHeight="1" s="220"/>
    <row r="235" ht="16.5" customHeight="1" s="220"/>
    <row r="236" ht="16.5" customHeight="1" s="220"/>
    <row r="237" ht="16.5" customHeight="1" s="220"/>
    <row r="238" ht="16.5" customHeight="1" s="220"/>
    <row r="239" ht="16.5" customHeight="1" s="220"/>
    <row r="240" ht="16.5" customHeight="1" s="220"/>
    <row r="241" ht="16.5" customHeight="1" s="220"/>
    <row r="242" ht="16.5" customHeight="1" s="220"/>
    <row r="243" ht="16.5" customHeight="1" s="220"/>
    <row r="244" ht="16.5" customHeight="1" s="220"/>
    <row r="245" ht="16.5" customHeight="1" s="220"/>
    <row r="246" ht="16.5" customHeight="1" s="220"/>
    <row r="247" ht="16.5" customHeight="1" s="220"/>
    <row r="248" ht="16.5" customHeight="1" s="220"/>
    <row r="249" ht="16.5" customHeight="1" s="220"/>
    <row r="250" ht="16.5" customHeight="1" s="220"/>
    <row r="251" ht="16.5" customHeight="1" s="220"/>
    <row r="252" ht="16.5" customHeight="1" s="220"/>
    <row r="253" ht="16.5" customHeight="1" s="220"/>
    <row r="254" ht="16.5" customHeight="1" s="220"/>
    <row r="255" ht="16.5" customHeight="1" s="220"/>
    <row r="256" ht="16.5" customHeight="1" s="220"/>
    <row r="257" ht="16.5" customHeight="1" s="220"/>
    <row r="258" ht="16.5" customHeight="1" s="220"/>
    <row r="259" ht="16.5" customHeight="1" s="220"/>
    <row r="260" ht="16.5" customHeight="1" s="220"/>
    <row r="261" ht="16.5" customHeight="1" s="220"/>
    <row r="262" ht="16.5" customHeight="1" s="220"/>
    <row r="263" ht="16.5" customHeight="1" s="220"/>
    <row r="264" ht="16.5" customHeight="1" s="220"/>
    <row r="265" ht="16.5" customHeight="1" s="220"/>
    <row r="266" ht="16.5" customHeight="1" s="220"/>
    <row r="267" ht="16.5" customHeight="1" s="220"/>
    <row r="268" ht="16.5" customHeight="1" s="220"/>
    <row r="269" ht="16.5" customHeight="1" s="220"/>
    <row r="270" ht="16.5" customHeight="1" s="220"/>
    <row r="271" ht="16.5" customHeight="1" s="220"/>
    <row r="272" ht="16.5" customHeight="1" s="220"/>
    <row r="273" ht="16.5" customHeight="1" s="220"/>
    <row r="274" ht="16.5" customHeight="1" s="220"/>
    <row r="275" ht="16.5" customHeight="1" s="220"/>
    <row r="276" ht="16.5" customHeight="1" s="220"/>
    <row r="277" ht="16.5" customHeight="1" s="220"/>
    <row r="278" ht="16.5" customHeight="1" s="220"/>
    <row r="279" ht="16.5" customHeight="1" s="220"/>
    <row r="280" ht="16.5" customHeight="1" s="220"/>
    <row r="281" ht="16.5" customHeight="1" s="220"/>
    <row r="282" ht="16.5" customHeight="1" s="220"/>
    <row r="283" ht="16.5" customHeight="1" s="220"/>
    <row r="284" ht="16.5" customHeight="1" s="220"/>
    <row r="285" ht="16.5" customHeight="1" s="220"/>
    <row r="286" ht="16.5" customHeight="1" s="220"/>
    <row r="287" ht="16.5" customHeight="1" s="220"/>
    <row r="288" ht="16.5" customHeight="1" s="220"/>
    <row r="289" ht="16.5" customHeight="1" s="220"/>
    <row r="290" ht="16.5" customHeight="1" s="220"/>
    <row r="291" ht="16.5" customHeight="1" s="220"/>
    <row r="292" ht="16.5" customHeight="1" s="220"/>
    <row r="293" ht="16.5" customHeight="1" s="220"/>
    <row r="294" ht="16.5" customHeight="1" s="220"/>
    <row r="295" ht="16.5" customHeight="1" s="220"/>
    <row r="296" ht="16.5" customHeight="1" s="220"/>
    <row r="297" ht="16.5" customHeight="1" s="220"/>
    <row r="298" ht="16.5" customHeight="1" s="220"/>
    <row r="299" ht="16.5" customHeight="1" s="220"/>
    <row r="300" ht="16.5" customHeight="1" s="220"/>
    <row r="301" ht="16.5" customHeight="1" s="220"/>
    <row r="302" ht="16.5" customHeight="1" s="220"/>
    <row r="303" ht="16.5" customHeight="1" s="220"/>
    <row r="304" ht="16.5" customHeight="1" s="220"/>
    <row r="305" ht="16.5" customHeight="1" s="220"/>
    <row r="306" ht="16.5" customHeight="1" s="220"/>
    <row r="307" ht="16.5" customHeight="1" s="220"/>
    <row r="308" ht="16.5" customHeight="1" s="220"/>
    <row r="309" ht="16.5" customHeight="1" s="220"/>
    <row r="310" ht="16.5" customHeight="1" s="220"/>
    <row r="311" ht="16.5" customHeight="1" s="220"/>
    <row r="312" ht="16.5" customHeight="1" s="220"/>
    <row r="313" ht="16.5" customHeight="1" s="220"/>
    <row r="314" ht="16.5" customHeight="1" s="220"/>
    <row r="315" ht="16.5" customHeight="1" s="220"/>
    <row r="316" ht="16.5" customHeight="1" s="220"/>
    <row r="317" ht="16.5" customHeight="1" s="220"/>
    <row r="318" ht="16.5" customHeight="1" s="220"/>
    <row r="319" ht="16.5" customHeight="1" s="220"/>
    <row r="320" ht="16.5" customHeight="1" s="220"/>
    <row r="321" ht="16.5" customHeight="1" s="220"/>
    <row r="322" ht="16.5" customHeight="1" s="220"/>
    <row r="323" ht="16.5" customHeight="1" s="220"/>
    <row r="324" ht="16.5" customHeight="1" s="220"/>
    <row r="325" ht="16.5" customHeight="1" s="220"/>
    <row r="326" ht="16.5" customHeight="1" s="220"/>
    <row r="327" ht="16.5" customHeight="1" s="220"/>
    <row r="328" ht="16.5" customHeight="1" s="220"/>
    <row r="329" ht="16.5" customHeight="1" s="220"/>
    <row r="330" ht="16.5" customHeight="1" s="220"/>
    <row r="331" ht="16.5" customHeight="1" s="220"/>
    <row r="332" ht="16.5" customHeight="1" s="220"/>
    <row r="333" ht="16.5" customHeight="1" s="220"/>
    <row r="334" ht="16.5" customHeight="1" s="220"/>
    <row r="335" ht="16.5" customHeight="1" s="220"/>
    <row r="336" ht="16.5" customHeight="1" s="220"/>
    <row r="337" ht="16.5" customHeight="1" s="220"/>
    <row r="338" ht="16.5" customHeight="1" s="220"/>
    <row r="339" ht="16.5" customHeight="1" s="220"/>
    <row r="340" ht="16.5" customHeight="1" s="220"/>
    <row r="341" ht="16.5" customHeight="1" s="220"/>
    <row r="342" ht="16.5" customHeight="1" s="220"/>
    <row r="343" ht="16.5" customHeight="1" s="220"/>
    <row r="344" ht="16.5" customHeight="1" s="220"/>
    <row r="345" ht="16.5" customHeight="1" s="220"/>
    <row r="346" ht="16.5" customHeight="1" s="220"/>
    <row r="347" ht="16.5" customHeight="1" s="220"/>
    <row r="348" ht="16.5" customHeight="1" s="220"/>
    <row r="349" ht="16.5" customHeight="1" s="220"/>
    <row r="350" ht="16.5" customHeight="1" s="220"/>
    <row r="351" ht="16.5" customHeight="1" s="220"/>
    <row r="352" ht="16.5" customHeight="1" s="220"/>
    <row r="353" ht="16.5" customHeight="1" s="220"/>
    <row r="354" ht="16.5" customHeight="1" s="220"/>
    <row r="355" ht="16.5" customHeight="1" s="220"/>
    <row r="356" ht="16.5" customHeight="1" s="220"/>
    <row r="357" ht="16.5" customHeight="1" s="220"/>
    <row r="358" ht="16.5" customHeight="1" s="220"/>
    <row r="359" ht="16.5" customHeight="1" s="220"/>
    <row r="360" ht="16.5" customHeight="1" s="220"/>
    <row r="361" ht="16.5" customHeight="1" s="220"/>
    <row r="362" ht="16.5" customHeight="1" s="220"/>
    <row r="363" ht="16.5" customHeight="1" s="220"/>
    <row r="364" ht="16.5" customHeight="1" s="220"/>
    <row r="365" ht="16.5" customHeight="1" s="220"/>
    <row r="366" ht="16.5" customHeight="1" s="220"/>
    <row r="367" ht="16.5" customHeight="1" s="220"/>
    <row r="368" ht="16.5" customHeight="1" s="220"/>
    <row r="369" ht="16.5" customHeight="1" s="220"/>
    <row r="370" ht="16.5" customHeight="1" s="220"/>
    <row r="371" ht="16.5" customHeight="1" s="220"/>
    <row r="372" ht="16.5" customHeight="1" s="220"/>
    <row r="373" ht="16.5" customHeight="1" s="220"/>
    <row r="374" ht="16.5" customHeight="1" s="220"/>
    <row r="375" ht="16.5" customHeight="1" s="220"/>
    <row r="376" ht="16.5" customHeight="1" s="220"/>
    <row r="377" ht="16.5" customHeight="1" s="220"/>
    <row r="378" ht="16.5" customHeight="1" s="220"/>
    <row r="379" ht="16.5" customHeight="1" s="220"/>
    <row r="380" ht="16.5" customHeight="1" s="220"/>
    <row r="381" ht="16.5" customHeight="1" s="220"/>
    <row r="382" ht="16.5" customHeight="1" s="220"/>
    <row r="383" ht="16.5" customHeight="1" s="220"/>
    <row r="384" ht="16.5" customHeight="1" s="220"/>
    <row r="385" ht="16.5" customHeight="1" s="220"/>
    <row r="386" ht="16.5" customHeight="1" s="220"/>
    <row r="387" ht="16.5" customHeight="1" s="220"/>
    <row r="388" ht="16.5" customHeight="1" s="220"/>
    <row r="389" ht="16.5" customHeight="1" s="220"/>
    <row r="390" ht="16.5" customHeight="1" s="220"/>
    <row r="391" ht="16.5" customHeight="1" s="220"/>
    <row r="392" ht="16.5" customHeight="1" s="220"/>
    <row r="393" ht="16.5" customHeight="1" s="220"/>
    <row r="394" ht="16.5" customHeight="1" s="220"/>
    <row r="395" ht="16.5" customHeight="1" s="220"/>
    <row r="396" ht="16.5" customHeight="1" s="220"/>
    <row r="397" ht="16.5" customHeight="1" s="220"/>
    <row r="398" ht="16.5" customHeight="1" s="220"/>
    <row r="399" ht="16.5" customHeight="1" s="220"/>
    <row r="400" ht="16.5" customHeight="1" s="220"/>
    <row r="401" ht="16.5" customHeight="1" s="220"/>
    <row r="402" ht="16.5" customHeight="1" s="220"/>
    <row r="403" ht="16.5" customHeight="1" s="220"/>
    <row r="404" ht="16.5" customHeight="1" s="220"/>
    <row r="405" ht="16.5" customHeight="1" s="220"/>
    <row r="406" ht="16.5" customHeight="1" s="220"/>
    <row r="407" ht="16.5" customHeight="1" s="220"/>
    <row r="408" ht="16.5" customHeight="1" s="220"/>
    <row r="409" ht="16.5" customHeight="1" s="220"/>
    <row r="410" ht="16.5" customHeight="1" s="220"/>
    <row r="411" ht="16.5" customHeight="1" s="220"/>
    <row r="412" ht="16.5" customHeight="1" s="220"/>
    <row r="413" ht="16.5" customHeight="1" s="220"/>
    <row r="414" ht="16.5" customHeight="1" s="220"/>
    <row r="415" ht="16.5" customHeight="1" s="220"/>
    <row r="416" ht="16.5" customHeight="1" s="220"/>
    <row r="417" ht="16.5" customHeight="1" s="220"/>
    <row r="418" ht="16.5" customHeight="1" s="220"/>
    <row r="419" ht="16.5" customHeight="1" s="220"/>
    <row r="420" ht="16.5" customHeight="1" s="220"/>
    <row r="421" ht="16.5" customHeight="1" s="220"/>
    <row r="422" ht="16.5" customHeight="1" s="220"/>
    <row r="423" ht="16.5" customHeight="1" s="220"/>
    <row r="424" ht="16.5" customHeight="1" s="220"/>
    <row r="425" ht="16.5" customHeight="1" s="220"/>
    <row r="426" ht="16.5" customHeight="1" s="220"/>
    <row r="427" ht="16.5" customHeight="1" s="220"/>
    <row r="428" ht="16.5" customHeight="1" s="220"/>
    <row r="429" ht="16.5" customHeight="1" s="220"/>
    <row r="430" ht="16.5" customHeight="1" s="220"/>
    <row r="431" ht="16.5" customHeight="1" s="220"/>
    <row r="432" ht="16.5" customHeight="1" s="220"/>
    <row r="433" ht="16.5" customHeight="1" s="220"/>
    <row r="434" ht="16.5" customHeight="1" s="220"/>
    <row r="435" ht="16.5" customHeight="1" s="220"/>
    <row r="436" ht="16.5" customHeight="1" s="220"/>
    <row r="437" ht="16.5" customHeight="1" s="220"/>
    <row r="438" ht="16.5" customHeight="1" s="220"/>
    <row r="439" ht="16.5" customHeight="1" s="220"/>
    <row r="440" ht="16.5" customHeight="1" s="220"/>
    <row r="441" ht="16.5" customHeight="1" s="220"/>
    <row r="442" ht="16.5" customHeight="1" s="220"/>
    <row r="443" ht="16.5" customHeight="1" s="220"/>
    <row r="444" ht="16.5" customHeight="1" s="220"/>
    <row r="445" ht="16.5" customHeight="1" s="220"/>
    <row r="446" ht="16.5" customHeight="1" s="220"/>
    <row r="447" ht="16.5" customHeight="1" s="220"/>
    <row r="448" ht="16.5" customHeight="1" s="220"/>
    <row r="449" ht="16.5" customHeight="1" s="220"/>
    <row r="450" ht="16.5" customHeight="1" s="220"/>
    <row r="451" ht="16.5" customHeight="1" s="220"/>
    <row r="452" ht="16.5" customHeight="1" s="220"/>
    <row r="453" ht="16.5" customHeight="1" s="220"/>
    <row r="454" ht="16.5" customHeight="1" s="220"/>
    <row r="455" ht="16.5" customHeight="1" s="220"/>
    <row r="456" ht="16.5" customHeight="1" s="220"/>
    <row r="457" ht="16.5" customHeight="1" s="220"/>
    <row r="458" ht="16.5" customHeight="1" s="220"/>
    <row r="459" ht="16.5" customHeight="1" s="220"/>
    <row r="460" ht="16.5" customHeight="1" s="220"/>
    <row r="461" ht="16.5" customHeight="1" s="220"/>
    <row r="462" ht="16.5" customHeight="1" s="220"/>
    <row r="463" ht="16.5" customHeight="1" s="220"/>
    <row r="464" ht="16.5" customHeight="1" s="220"/>
    <row r="465" ht="16.5" customHeight="1" s="220"/>
    <row r="466" ht="16.5" customHeight="1" s="220"/>
    <row r="467" ht="16.5" customHeight="1" s="220"/>
    <row r="468" ht="16.5" customHeight="1" s="220"/>
    <row r="469" ht="16.5" customHeight="1" s="220"/>
    <row r="470" ht="16.5" customHeight="1" s="220"/>
    <row r="471" ht="16.5" customHeight="1" s="220"/>
    <row r="472" ht="16.5" customHeight="1" s="220"/>
    <row r="473" ht="16.5" customHeight="1" s="220"/>
    <row r="474" ht="16.5" customHeight="1" s="220"/>
    <row r="475" ht="16.5" customHeight="1" s="220"/>
    <row r="476" ht="16.5" customHeight="1" s="220"/>
    <row r="477" ht="16.5" customHeight="1" s="220"/>
    <row r="478" ht="16.5" customHeight="1" s="220"/>
    <row r="479" ht="16.5" customHeight="1" s="220"/>
    <row r="480" ht="16.5" customHeight="1" s="220"/>
    <row r="481" ht="16.5" customHeight="1" s="220"/>
    <row r="482" ht="16.5" customHeight="1" s="220"/>
    <row r="483" ht="16.5" customHeight="1" s="220"/>
    <row r="484" ht="16.5" customHeight="1" s="220"/>
    <row r="485" ht="16.5" customHeight="1" s="220"/>
    <row r="486" ht="16.5" customHeight="1" s="220"/>
    <row r="487" ht="16.5" customHeight="1" s="220"/>
    <row r="488" ht="16.5" customHeight="1" s="220"/>
    <row r="489" ht="16.5" customHeight="1" s="220"/>
    <row r="490" ht="16.5" customHeight="1" s="220"/>
    <row r="491" ht="16.5" customHeight="1" s="220"/>
    <row r="492" ht="16.5" customHeight="1" s="220"/>
    <row r="493" ht="16.5" customHeight="1" s="220"/>
    <row r="494" ht="16.5" customHeight="1" s="220"/>
    <row r="495" ht="16.5" customHeight="1" s="220"/>
    <row r="496" ht="16.5" customHeight="1" s="220"/>
    <row r="497" ht="16.5" customHeight="1" s="220"/>
    <row r="498" ht="16.5" customHeight="1" s="220"/>
    <row r="499" ht="16.5" customHeight="1" s="220"/>
    <row r="500" ht="16.5" customHeight="1" s="220"/>
    <row r="501" ht="16.5" customHeight="1" s="220"/>
    <row r="502" ht="16.5" customHeight="1" s="220"/>
    <row r="503" ht="16.5" customHeight="1" s="220"/>
    <row r="504" ht="16.5" customHeight="1" s="220"/>
    <row r="505" ht="16.5" customHeight="1" s="220"/>
    <row r="506" ht="16.5" customHeight="1" s="220"/>
    <row r="507" ht="16.5" customHeight="1" s="220"/>
    <row r="508" ht="16.5" customHeight="1" s="220"/>
    <row r="509" ht="16.5" customHeight="1" s="220"/>
    <row r="510" ht="16.5" customHeight="1" s="220"/>
    <row r="511" ht="16.5" customHeight="1" s="220"/>
    <row r="512" ht="16.5" customHeight="1" s="220"/>
    <row r="513" ht="16.5" customHeight="1" s="220"/>
    <row r="514" ht="16.5" customHeight="1" s="220"/>
    <row r="515" ht="16.5" customHeight="1" s="220"/>
    <row r="516" ht="16.5" customHeight="1" s="220"/>
    <row r="517" ht="16.5" customHeight="1" s="220"/>
    <row r="518" ht="16.5" customHeight="1" s="220"/>
    <row r="519" ht="16.5" customHeight="1" s="220"/>
    <row r="520" ht="16.5" customHeight="1" s="220"/>
    <row r="521" ht="16.5" customHeight="1" s="220"/>
    <row r="522" ht="16.5" customHeight="1" s="220"/>
    <row r="523" ht="16.5" customHeight="1" s="220"/>
    <row r="524" ht="16.5" customHeight="1" s="220"/>
    <row r="525" ht="16.5" customHeight="1" s="220"/>
    <row r="526" ht="16.5" customHeight="1" s="220"/>
    <row r="527" ht="16.5" customHeight="1" s="220"/>
    <row r="528" ht="16.5" customHeight="1" s="220"/>
    <row r="529" ht="16.5" customHeight="1" s="220"/>
    <row r="530" ht="16.5" customHeight="1" s="220"/>
    <row r="531" ht="16.5" customHeight="1" s="220"/>
    <row r="532" ht="16.5" customHeight="1" s="220"/>
    <row r="533" ht="16.5" customHeight="1" s="220"/>
    <row r="534" ht="16.5" customHeight="1" s="220"/>
    <row r="535" ht="16.5" customHeight="1" s="220"/>
    <row r="536" ht="16.5" customHeight="1" s="220"/>
    <row r="537" ht="16.5" customHeight="1" s="220"/>
    <row r="538" ht="16.5" customHeight="1" s="220"/>
    <row r="539" ht="16.5" customHeight="1" s="220"/>
    <row r="540" ht="16.5" customHeight="1" s="220"/>
    <row r="541" ht="16.5" customHeight="1" s="220"/>
    <row r="542" ht="16.5" customHeight="1" s="220"/>
    <row r="543" ht="16.5" customHeight="1" s="220"/>
    <row r="544" ht="16.5" customHeight="1" s="220"/>
    <row r="545" ht="16.5" customHeight="1" s="220"/>
    <row r="546" ht="16.5" customHeight="1" s="220"/>
    <row r="547" ht="16.5" customHeight="1" s="220"/>
    <row r="548" ht="16.5" customHeight="1" s="220"/>
    <row r="549" ht="16.5" customHeight="1" s="220"/>
    <row r="550" ht="16.5" customHeight="1" s="220"/>
    <row r="551" ht="16.5" customHeight="1" s="220"/>
    <row r="552" ht="16.5" customHeight="1" s="220"/>
    <row r="553" ht="16.5" customHeight="1" s="220"/>
    <row r="554" ht="16.5" customHeight="1" s="220"/>
    <row r="555" ht="16.5" customHeight="1" s="220"/>
    <row r="556" ht="16.5" customHeight="1" s="220"/>
    <row r="557" ht="16.5" customHeight="1" s="220"/>
    <row r="558" ht="16.5" customHeight="1" s="220"/>
    <row r="559" ht="16.5" customHeight="1" s="220"/>
    <row r="560" ht="16.5" customHeight="1" s="220"/>
    <row r="561" ht="16.5" customHeight="1" s="220"/>
    <row r="562" ht="16.5" customHeight="1" s="220"/>
    <row r="563" ht="16.5" customHeight="1" s="220"/>
    <row r="564" ht="16.5" customHeight="1" s="220"/>
    <row r="565" ht="16.5" customHeight="1" s="220"/>
    <row r="566" ht="16.5" customHeight="1" s="220"/>
    <row r="567" ht="16.5" customHeight="1" s="220"/>
    <row r="568" ht="16.5" customHeight="1" s="220"/>
    <row r="569" ht="16.5" customHeight="1" s="220"/>
    <row r="570" ht="16.5" customHeight="1" s="220"/>
    <row r="571" ht="16.5" customHeight="1" s="220"/>
    <row r="572" ht="16.5" customHeight="1" s="220"/>
    <row r="573" ht="16.5" customHeight="1" s="220"/>
    <row r="574" ht="16.5" customHeight="1" s="220"/>
    <row r="575" ht="16.5" customHeight="1" s="220"/>
    <row r="576" ht="16.5" customHeight="1" s="220"/>
    <row r="577" ht="16.5" customHeight="1" s="220"/>
    <row r="578" ht="16.5" customHeight="1" s="220"/>
    <row r="579" ht="16.5" customHeight="1" s="220"/>
    <row r="580" ht="16.5" customHeight="1" s="220"/>
    <row r="581" ht="16.5" customHeight="1" s="220"/>
    <row r="582" ht="16.5" customHeight="1" s="220"/>
    <row r="583" ht="16.5" customHeight="1" s="220"/>
    <row r="584" ht="16.5" customHeight="1" s="220"/>
    <row r="585" ht="16.5" customHeight="1" s="220"/>
    <row r="586" ht="16.5" customHeight="1" s="220"/>
    <row r="587" ht="16.5" customHeight="1" s="220"/>
    <row r="588" ht="16.5" customHeight="1" s="220"/>
    <row r="589" ht="16.5" customHeight="1" s="220"/>
    <row r="590" ht="16.5" customHeight="1" s="220"/>
    <row r="591" ht="16.5" customHeight="1" s="220"/>
    <row r="592" ht="16.5" customHeight="1" s="220"/>
    <row r="593" ht="16.5" customHeight="1" s="220"/>
    <row r="594" ht="16.5" customHeight="1" s="220"/>
    <row r="595" ht="16.5" customHeight="1" s="220"/>
    <row r="596" ht="16.5" customHeight="1" s="220"/>
    <row r="597" ht="16.5" customHeight="1" s="220"/>
    <row r="598" ht="16.5" customHeight="1" s="220"/>
    <row r="599" ht="16.5" customHeight="1" s="220"/>
    <row r="600" ht="16.5" customHeight="1" s="220"/>
    <row r="601" ht="16.5" customHeight="1" s="220"/>
    <row r="602" ht="16.5" customHeight="1" s="220"/>
    <row r="603" ht="16.5" customHeight="1" s="220"/>
    <row r="604" ht="16.5" customHeight="1" s="220"/>
    <row r="605" ht="16.5" customHeight="1" s="220"/>
    <row r="606" ht="16.5" customHeight="1" s="220"/>
    <row r="607" ht="16.5" customHeight="1" s="220"/>
    <row r="608" ht="16.5" customHeight="1" s="220"/>
    <row r="609" ht="16.5" customHeight="1" s="220"/>
    <row r="610" ht="16.5" customHeight="1" s="220"/>
    <row r="611" ht="16.5" customHeight="1" s="220"/>
    <row r="612" ht="16.5" customHeight="1" s="220"/>
    <row r="613" ht="16.5" customHeight="1" s="220"/>
    <row r="614" ht="16.5" customHeight="1" s="220"/>
    <row r="615" ht="16.5" customHeight="1" s="220"/>
    <row r="616" ht="16.5" customHeight="1" s="220"/>
    <row r="617" ht="16.5" customHeight="1" s="220"/>
    <row r="618" ht="16.5" customHeight="1" s="220"/>
    <row r="619" ht="16.5" customHeight="1" s="220"/>
    <row r="620" ht="16.5" customHeight="1" s="220"/>
    <row r="621" ht="16.5" customHeight="1" s="220"/>
    <row r="622" ht="16.5" customHeight="1" s="220"/>
    <row r="623" ht="16.5" customHeight="1" s="220"/>
    <row r="624" ht="16.5" customHeight="1" s="220"/>
    <row r="625" ht="16.5" customHeight="1" s="220"/>
    <row r="626" ht="16.5" customHeight="1" s="220"/>
    <row r="627" ht="16.5" customHeight="1" s="220"/>
    <row r="628" ht="16.5" customHeight="1" s="220"/>
    <row r="629" ht="16.5" customHeight="1" s="220"/>
    <row r="630" ht="16.5" customHeight="1" s="220"/>
    <row r="631" ht="16.5" customHeight="1" s="220"/>
    <row r="632" ht="16.5" customHeight="1" s="220"/>
    <row r="633" ht="16.5" customHeight="1" s="220"/>
    <row r="634" ht="16.5" customHeight="1" s="220"/>
    <row r="635" ht="16.5" customHeight="1" s="220"/>
    <row r="636" ht="16.5" customHeight="1" s="220"/>
    <row r="637" ht="16.5" customHeight="1" s="220"/>
    <row r="638" ht="16.5" customHeight="1" s="220"/>
    <row r="639" ht="16.5" customHeight="1" s="220"/>
    <row r="640" ht="16.5" customHeight="1" s="220"/>
    <row r="641" ht="16.5" customHeight="1" s="220"/>
    <row r="642" ht="16.5" customHeight="1" s="220"/>
    <row r="643" ht="16.5" customHeight="1" s="220"/>
    <row r="644" ht="16.5" customHeight="1" s="220"/>
    <row r="645" ht="16.5" customHeight="1" s="220"/>
    <row r="646" ht="16.5" customHeight="1" s="220"/>
    <row r="647" ht="16.5" customHeight="1" s="220"/>
    <row r="648" ht="16.5" customHeight="1" s="220"/>
    <row r="649" ht="16.5" customHeight="1" s="220"/>
    <row r="650" ht="16.5" customHeight="1" s="220"/>
    <row r="651" ht="16.5" customHeight="1" s="220"/>
    <row r="652" ht="16.5" customHeight="1" s="220"/>
    <row r="653" ht="16.5" customHeight="1" s="220"/>
    <row r="654" ht="16.5" customHeight="1" s="220"/>
    <row r="655" ht="16.5" customHeight="1" s="220"/>
    <row r="656" ht="16.5" customHeight="1" s="220"/>
    <row r="657" ht="16.5" customHeight="1" s="220"/>
    <row r="658" ht="16.5" customHeight="1" s="220"/>
    <row r="659" ht="16.5" customHeight="1" s="220"/>
    <row r="660" ht="16.5" customHeight="1" s="220"/>
    <row r="661" ht="16.5" customHeight="1" s="220"/>
    <row r="662" ht="16.5" customHeight="1" s="220"/>
    <row r="663" ht="16.5" customHeight="1" s="220"/>
    <row r="664" ht="16.5" customHeight="1" s="220"/>
    <row r="665" ht="16.5" customHeight="1" s="220"/>
    <row r="666" ht="16.5" customHeight="1" s="220"/>
    <row r="667" ht="16.5" customHeight="1" s="220"/>
    <row r="668" ht="16.5" customHeight="1" s="220"/>
    <row r="669" ht="16.5" customHeight="1" s="220"/>
    <row r="670" ht="16.5" customHeight="1" s="220"/>
    <row r="671" ht="16.5" customHeight="1" s="220"/>
    <row r="672" ht="16.5" customHeight="1" s="220"/>
    <row r="673" ht="16.5" customHeight="1" s="220"/>
    <row r="674" ht="16.5" customHeight="1" s="220"/>
    <row r="675" ht="16.5" customHeight="1" s="220"/>
    <row r="676" ht="16.5" customHeight="1" s="220"/>
    <row r="677" ht="16.5" customHeight="1" s="220"/>
    <row r="678" ht="16.5" customHeight="1" s="220"/>
    <row r="679" ht="16.5" customHeight="1" s="220"/>
    <row r="680" ht="16.5" customHeight="1" s="220"/>
    <row r="681" ht="16.5" customHeight="1" s="220"/>
    <row r="682" ht="16.5" customHeight="1" s="220"/>
    <row r="683" ht="16.5" customHeight="1" s="220"/>
    <row r="684" ht="16.5" customHeight="1" s="220"/>
    <row r="685" ht="16.5" customHeight="1" s="220"/>
    <row r="686" ht="16.5" customHeight="1" s="220"/>
    <row r="687" ht="16.5" customHeight="1" s="220"/>
    <row r="688" ht="16.5" customHeight="1" s="220"/>
    <row r="689" ht="16.5" customHeight="1" s="220"/>
    <row r="690" ht="16.5" customHeight="1" s="220"/>
    <row r="691" ht="16.5" customHeight="1" s="220"/>
    <row r="692" ht="16.5" customHeight="1" s="220"/>
    <row r="693" ht="16.5" customHeight="1" s="220"/>
    <row r="694" ht="16.5" customHeight="1" s="220"/>
    <row r="695" ht="16.5" customHeight="1" s="220"/>
    <row r="696" ht="16.5" customHeight="1" s="220"/>
    <row r="697" ht="16.5" customHeight="1" s="220"/>
    <row r="698" ht="16.5" customHeight="1" s="220"/>
    <row r="699" ht="16.5" customHeight="1" s="220"/>
    <row r="700" ht="16.5" customHeight="1" s="220"/>
    <row r="701" ht="16.5" customHeight="1" s="220"/>
    <row r="702" ht="16.5" customHeight="1" s="220"/>
    <row r="703" ht="16.5" customHeight="1" s="220"/>
    <row r="704" ht="16.5" customHeight="1" s="220"/>
    <row r="705" ht="16.5" customHeight="1" s="220"/>
    <row r="706" ht="16.5" customHeight="1" s="220"/>
    <row r="707" ht="16.5" customHeight="1" s="220"/>
    <row r="708" ht="16.5" customHeight="1" s="220"/>
    <row r="709" ht="16.5" customHeight="1" s="220"/>
    <row r="710" ht="16.5" customHeight="1" s="220"/>
    <row r="711" ht="16.5" customHeight="1" s="220"/>
    <row r="712" ht="16.5" customHeight="1" s="220"/>
    <row r="713" ht="16.5" customHeight="1" s="220"/>
    <row r="714" ht="16.5" customHeight="1" s="220"/>
    <row r="715" ht="16.5" customHeight="1" s="220"/>
    <row r="716" ht="16.5" customHeight="1" s="220"/>
    <row r="717" ht="16.5" customHeight="1" s="220"/>
    <row r="718" ht="16.5" customHeight="1" s="220"/>
    <row r="719" ht="16.5" customHeight="1" s="220"/>
    <row r="720" ht="16.5" customHeight="1" s="220"/>
    <row r="721" ht="16.5" customHeight="1" s="220"/>
    <row r="722" ht="16.5" customHeight="1" s="220"/>
    <row r="723" ht="16.5" customHeight="1" s="220"/>
    <row r="724" ht="16.5" customHeight="1" s="220"/>
    <row r="725" ht="16.5" customHeight="1" s="220"/>
    <row r="726" ht="16.5" customHeight="1" s="220"/>
    <row r="727" ht="16.5" customHeight="1" s="220"/>
    <row r="728" ht="16.5" customHeight="1" s="220"/>
    <row r="729" ht="16.5" customHeight="1" s="220"/>
    <row r="730" ht="16.5" customHeight="1" s="220"/>
    <row r="731" ht="16.5" customHeight="1" s="220"/>
    <row r="732" ht="16.5" customHeight="1" s="220"/>
    <row r="733" ht="16.5" customHeight="1" s="220"/>
    <row r="734" ht="16.5" customHeight="1" s="220"/>
    <row r="735" ht="16.5" customHeight="1" s="220"/>
    <row r="736" ht="16.5" customHeight="1" s="220"/>
    <row r="737" ht="16.5" customHeight="1" s="220"/>
    <row r="738" ht="16.5" customHeight="1" s="220"/>
    <row r="739" ht="16.5" customHeight="1" s="220"/>
    <row r="740" ht="16.5" customHeight="1" s="220"/>
    <row r="741" ht="16.5" customHeight="1" s="220"/>
    <row r="742" ht="16.5" customHeight="1" s="220"/>
    <row r="743" ht="16.5" customHeight="1" s="220"/>
    <row r="744" ht="16.5" customHeight="1" s="220"/>
    <row r="745" ht="16.5" customHeight="1" s="220"/>
    <row r="746" ht="16.5" customHeight="1" s="220"/>
    <row r="747" ht="16.5" customHeight="1" s="220"/>
    <row r="748" ht="16.5" customHeight="1" s="220"/>
    <row r="749" ht="16.5" customHeight="1" s="220"/>
    <row r="750" ht="16.5" customHeight="1" s="220"/>
    <row r="751" ht="16.5" customHeight="1" s="220"/>
    <row r="752" ht="16.5" customHeight="1" s="220"/>
    <row r="753" ht="16.5" customHeight="1" s="220"/>
    <row r="754" ht="16.5" customHeight="1" s="220"/>
    <row r="755" ht="16.5" customHeight="1" s="220"/>
    <row r="756" ht="16.5" customHeight="1" s="220"/>
    <row r="757" ht="16.5" customHeight="1" s="220"/>
    <row r="758" ht="16.5" customHeight="1" s="220"/>
    <row r="759" ht="16.5" customHeight="1" s="220"/>
    <row r="760" ht="16.5" customHeight="1" s="220"/>
    <row r="761" ht="16.5" customHeight="1" s="220"/>
    <row r="762" ht="16.5" customHeight="1" s="220"/>
    <row r="763" ht="16.5" customHeight="1" s="220"/>
    <row r="764" ht="16.5" customHeight="1" s="220"/>
    <row r="765" ht="16.5" customHeight="1" s="220"/>
    <row r="766" ht="16.5" customHeight="1" s="220"/>
    <row r="767" ht="16.5" customHeight="1" s="220"/>
    <row r="768" ht="16.5" customHeight="1" s="220"/>
    <row r="769" ht="16.5" customHeight="1" s="220"/>
    <row r="770" ht="16.5" customHeight="1" s="220"/>
    <row r="771" ht="16.5" customHeight="1" s="220"/>
    <row r="772" ht="16.5" customHeight="1" s="220"/>
    <row r="773" ht="16.5" customHeight="1" s="220"/>
    <row r="774" ht="16.5" customHeight="1" s="220"/>
    <row r="775" ht="16.5" customHeight="1" s="220"/>
    <row r="776" ht="16.5" customHeight="1" s="220"/>
    <row r="777" ht="16.5" customHeight="1" s="220"/>
    <row r="778" ht="16.5" customHeight="1" s="220"/>
    <row r="779" ht="16.5" customHeight="1" s="220"/>
    <row r="780" ht="16.5" customHeight="1" s="220"/>
    <row r="781" ht="16.5" customHeight="1" s="220"/>
    <row r="782" ht="16.5" customHeight="1" s="220"/>
    <row r="783" ht="16.5" customHeight="1" s="220"/>
    <row r="784" ht="16.5" customHeight="1" s="220"/>
    <row r="785" ht="16.5" customHeight="1" s="220"/>
    <row r="786" ht="16.5" customHeight="1" s="220"/>
    <row r="787" ht="16.5" customHeight="1" s="220"/>
    <row r="788" ht="16.5" customHeight="1" s="220"/>
    <row r="789" ht="16.5" customHeight="1" s="220"/>
    <row r="790" ht="16.5" customHeight="1" s="220"/>
    <row r="791" ht="16.5" customHeight="1" s="220"/>
    <row r="792" ht="16.5" customHeight="1" s="220"/>
    <row r="793" ht="16.5" customHeight="1" s="220"/>
    <row r="794" ht="16.5" customHeight="1" s="220"/>
    <row r="795" ht="16.5" customHeight="1" s="220"/>
    <row r="796" ht="16.5" customHeight="1" s="220"/>
    <row r="797" ht="16.5" customHeight="1" s="220"/>
    <row r="798" ht="16.5" customHeight="1" s="220"/>
    <row r="799" ht="16.5" customHeight="1" s="220"/>
    <row r="800" ht="16.5" customHeight="1" s="220"/>
    <row r="801" ht="16.5" customHeight="1" s="220"/>
    <row r="802" ht="16.5" customHeight="1" s="220"/>
    <row r="803" ht="16.5" customHeight="1" s="220"/>
    <row r="804" ht="16.5" customHeight="1" s="220"/>
    <row r="805" ht="16.5" customHeight="1" s="220"/>
    <row r="806" ht="16.5" customHeight="1" s="220"/>
    <row r="807" ht="16.5" customHeight="1" s="220"/>
    <row r="808" ht="16.5" customHeight="1" s="220"/>
    <row r="809" ht="16.5" customHeight="1" s="220"/>
    <row r="810" ht="16.5" customHeight="1" s="220"/>
    <row r="811" ht="16.5" customHeight="1" s="220"/>
    <row r="812" ht="16.5" customHeight="1" s="220"/>
    <row r="813" ht="16.5" customHeight="1" s="220"/>
    <row r="814" ht="16.5" customHeight="1" s="220"/>
    <row r="815" ht="16.5" customHeight="1" s="220"/>
    <row r="816" ht="16.5" customHeight="1" s="220"/>
    <row r="817" ht="16.5" customHeight="1" s="220"/>
    <row r="818" ht="16.5" customHeight="1" s="220"/>
    <row r="819" ht="16.5" customHeight="1" s="220"/>
    <row r="820" ht="16.5" customHeight="1" s="220"/>
    <row r="821" ht="16.5" customHeight="1" s="220"/>
    <row r="822" ht="16.5" customHeight="1" s="220"/>
    <row r="823" ht="16.5" customHeight="1" s="220"/>
    <row r="824" ht="16.5" customHeight="1" s="220"/>
    <row r="825" ht="16.5" customHeight="1" s="220"/>
    <row r="826" ht="16.5" customHeight="1" s="220"/>
    <row r="827" ht="16.5" customHeight="1" s="220"/>
    <row r="828" ht="16.5" customHeight="1" s="220"/>
    <row r="829" ht="16.5" customHeight="1" s="220"/>
    <row r="830" ht="16.5" customHeight="1" s="220"/>
    <row r="831" ht="16.5" customHeight="1" s="220"/>
    <row r="832" ht="16.5" customHeight="1" s="220"/>
    <row r="833" ht="16.5" customHeight="1" s="220"/>
    <row r="834" ht="16.5" customHeight="1" s="220"/>
    <row r="835" ht="16.5" customHeight="1" s="220"/>
    <row r="836" ht="16.5" customHeight="1" s="220"/>
    <row r="837" ht="16.5" customHeight="1" s="220"/>
    <row r="838" ht="16.5" customHeight="1" s="220"/>
    <row r="839" ht="16.5" customHeight="1" s="220"/>
    <row r="840" ht="16.5" customHeight="1" s="220"/>
    <row r="841" ht="16.5" customHeight="1" s="220"/>
    <row r="842" ht="16.5" customHeight="1" s="220"/>
    <row r="843" ht="16.5" customHeight="1" s="220"/>
    <row r="844" ht="16.5" customHeight="1" s="220"/>
    <row r="845" ht="16.5" customHeight="1" s="220"/>
    <row r="846" ht="16.5" customHeight="1" s="220"/>
    <row r="847" ht="16.5" customHeight="1" s="220"/>
    <row r="848" ht="16.5" customHeight="1" s="220"/>
    <row r="849" ht="16.5" customHeight="1" s="220"/>
    <row r="850" ht="16.5" customHeight="1" s="220"/>
    <row r="851" ht="16.5" customHeight="1" s="220"/>
    <row r="852" ht="16.5" customHeight="1" s="220"/>
    <row r="853" ht="16.5" customHeight="1" s="220"/>
    <row r="854" ht="16.5" customHeight="1" s="220"/>
    <row r="855" ht="16.5" customHeight="1" s="220"/>
    <row r="856" ht="16.5" customHeight="1" s="220"/>
    <row r="857" ht="16.5" customHeight="1" s="220"/>
    <row r="858" ht="16.5" customHeight="1" s="220"/>
    <row r="859" ht="16.5" customHeight="1" s="220"/>
    <row r="860" ht="16.5" customHeight="1" s="220"/>
    <row r="861" ht="16.5" customHeight="1" s="220"/>
    <row r="862" ht="16.5" customHeight="1" s="220"/>
    <row r="863" ht="16.5" customHeight="1" s="220"/>
    <row r="864" ht="16.5" customHeight="1" s="220"/>
    <row r="865" ht="16.5" customHeight="1" s="220"/>
    <row r="866" ht="16.5" customHeight="1" s="220"/>
    <row r="867" ht="16.5" customHeight="1" s="220"/>
    <row r="868" ht="16.5" customHeight="1" s="220"/>
    <row r="869" ht="16.5" customHeight="1" s="220"/>
    <row r="870" ht="16.5" customHeight="1" s="220"/>
    <row r="871" ht="16.5" customHeight="1" s="220"/>
    <row r="872" ht="16.5" customHeight="1" s="220"/>
    <row r="873" ht="16.5" customHeight="1" s="220"/>
    <row r="874" ht="16.5" customHeight="1" s="220"/>
    <row r="875" ht="16.5" customHeight="1" s="220"/>
    <row r="876" ht="16.5" customHeight="1" s="220"/>
    <row r="877" ht="16.5" customHeight="1" s="220"/>
    <row r="878" ht="16.5" customHeight="1" s="220"/>
    <row r="879" ht="16.5" customHeight="1" s="220"/>
    <row r="880" ht="16.5" customHeight="1" s="220"/>
    <row r="881" ht="16.5" customHeight="1" s="220"/>
    <row r="882" ht="16.5" customHeight="1" s="220"/>
    <row r="883" ht="16.5" customHeight="1" s="220"/>
    <row r="884" ht="16.5" customHeight="1" s="220"/>
    <row r="885" ht="16.5" customHeight="1" s="220"/>
    <row r="886" ht="16.5" customHeight="1" s="220"/>
    <row r="887" ht="16.5" customHeight="1" s="220"/>
    <row r="888" ht="16.5" customHeight="1" s="220"/>
    <row r="889" ht="16.5" customHeight="1" s="220"/>
    <row r="890" ht="16.5" customHeight="1" s="220"/>
    <row r="891" ht="16.5" customHeight="1" s="220"/>
    <row r="892" ht="16.5" customHeight="1" s="220"/>
    <row r="893" ht="16.5" customHeight="1" s="220"/>
    <row r="894" ht="16.5" customHeight="1" s="220"/>
    <row r="895" ht="16.5" customHeight="1" s="220"/>
    <row r="896" ht="16.5" customHeight="1" s="220"/>
    <row r="897" ht="16.5" customHeight="1" s="220"/>
    <row r="898" ht="16.5" customHeight="1" s="220"/>
    <row r="899" ht="16.5" customHeight="1" s="220"/>
    <row r="900" ht="16.5" customHeight="1" s="220"/>
    <row r="901" ht="16.5" customHeight="1" s="220"/>
    <row r="902" ht="16.5" customHeight="1" s="220"/>
    <row r="903" ht="16.5" customHeight="1" s="220"/>
    <row r="904" ht="16.5" customHeight="1" s="220"/>
    <row r="905" ht="16.5" customHeight="1" s="220"/>
    <row r="906" ht="16.5" customHeight="1" s="220"/>
    <row r="907" ht="16.5" customHeight="1" s="220"/>
    <row r="908" ht="16.5" customHeight="1" s="220"/>
    <row r="909" ht="16.5" customHeight="1" s="220"/>
    <row r="910" ht="16.5" customHeight="1" s="220"/>
    <row r="911" ht="16.5" customHeight="1" s="220"/>
    <row r="912" ht="16.5" customHeight="1" s="220"/>
    <row r="913" ht="16.5" customHeight="1" s="220"/>
    <row r="914" ht="16.5" customHeight="1" s="220"/>
    <row r="915" ht="16.5" customHeight="1" s="220"/>
    <row r="916" ht="16.5" customHeight="1" s="220"/>
    <row r="917" ht="16.5" customHeight="1" s="220"/>
    <row r="918" ht="16.5" customHeight="1" s="220"/>
    <row r="919" ht="16.5" customHeight="1" s="220"/>
    <row r="920" ht="16.5" customHeight="1" s="220"/>
    <row r="921" ht="16.5" customHeight="1" s="220"/>
    <row r="922" ht="16.5" customHeight="1" s="220"/>
    <row r="923" ht="16.5" customHeight="1" s="220"/>
    <row r="924" ht="16.5" customHeight="1" s="220"/>
    <row r="925" ht="16.5" customHeight="1" s="220"/>
    <row r="926" ht="16.5" customHeight="1" s="220"/>
    <row r="927" ht="16.5" customHeight="1" s="220"/>
    <row r="928" ht="16.5" customHeight="1" s="220"/>
    <row r="929" ht="16.5" customHeight="1" s="220"/>
    <row r="930" ht="16.5" customHeight="1" s="220"/>
    <row r="931" ht="16.5" customHeight="1" s="220"/>
    <row r="932" ht="16.5" customHeight="1" s="220"/>
    <row r="933" ht="16.5" customHeight="1" s="220"/>
    <row r="934" ht="16.5" customHeight="1" s="220"/>
    <row r="935" ht="16.5" customHeight="1" s="220"/>
    <row r="936" ht="16.5" customHeight="1" s="220"/>
    <row r="937" ht="16.5" customHeight="1" s="220"/>
    <row r="938" ht="16.5" customHeight="1" s="220"/>
    <row r="939" ht="16.5" customHeight="1" s="220"/>
    <row r="940" ht="16.5" customHeight="1" s="220"/>
    <row r="941" ht="16.5" customHeight="1" s="220"/>
    <row r="942" ht="16.5" customHeight="1" s="220"/>
    <row r="943" ht="16.5" customHeight="1" s="220"/>
    <row r="944" ht="16.5" customHeight="1" s="220"/>
    <row r="945" ht="16.5" customHeight="1" s="220"/>
    <row r="946" ht="16.5" customHeight="1" s="220"/>
    <row r="947" ht="16.5" customHeight="1" s="220"/>
    <row r="948" ht="16.5" customHeight="1" s="220"/>
    <row r="949" ht="16.5" customHeight="1" s="220"/>
    <row r="950" ht="16.5" customHeight="1" s="220"/>
    <row r="951" ht="16.5" customHeight="1" s="220"/>
    <row r="952" ht="16.5" customHeight="1" s="220"/>
    <row r="953" ht="16.5" customHeight="1" s="220"/>
    <row r="954" ht="16.5" customHeight="1" s="220"/>
    <row r="955" ht="16.5" customHeight="1" s="220"/>
    <row r="956" ht="16.5" customHeight="1" s="220"/>
    <row r="957" ht="16.5" customHeight="1" s="220"/>
    <row r="958" ht="16.5" customHeight="1" s="220"/>
    <row r="959" ht="16.5" customHeight="1" s="220"/>
    <row r="960" ht="16.5" customHeight="1" s="220"/>
    <row r="961" ht="16.5" customHeight="1" s="220"/>
    <row r="962" ht="16.5" customHeight="1" s="220"/>
    <row r="963" ht="16.5" customHeight="1" s="220"/>
    <row r="964" ht="16.5" customHeight="1" s="220"/>
    <row r="965" ht="16.5" customHeight="1" s="220"/>
    <row r="966" ht="16.5" customHeight="1" s="220"/>
    <row r="967" ht="16.5" customHeight="1" s="220"/>
    <row r="968" ht="16.5" customHeight="1" s="220"/>
    <row r="969" ht="16.5" customHeight="1" s="220"/>
    <row r="970" ht="16.5" customHeight="1" s="220"/>
    <row r="971" ht="16.5" customHeight="1" s="220"/>
    <row r="972" ht="16.5" customHeight="1" s="220"/>
    <row r="973" ht="16.5" customHeight="1" s="220"/>
    <row r="974" ht="16.5" customHeight="1" s="220"/>
    <row r="975" ht="16.5" customHeight="1" s="220"/>
    <row r="976" ht="16.5" customHeight="1" s="220"/>
    <row r="977" ht="16.5" customHeight="1" s="220"/>
    <row r="978" ht="16.5" customHeight="1" s="220"/>
    <row r="979" ht="16.5" customHeight="1" s="220"/>
    <row r="980" ht="16.5" customHeight="1" s="220"/>
    <row r="981" ht="16.5" customHeight="1" s="220"/>
    <row r="982" ht="16.5" customHeight="1" s="220"/>
    <row r="983" ht="16.5" customHeight="1" s="220"/>
    <row r="984" ht="16.5" customHeight="1" s="220"/>
    <row r="985" ht="16.5" customHeight="1" s="220"/>
    <row r="986" ht="16.5" customHeight="1" s="220"/>
    <row r="987" ht="16.5" customHeight="1" s="220"/>
    <row r="988" ht="16.5" customHeight="1" s="220"/>
    <row r="989" ht="16.5" customHeight="1" s="220"/>
    <row r="990" ht="16.5" customHeight="1" s="220"/>
    <row r="991" ht="16.5" customHeight="1" s="220"/>
    <row r="992" ht="16.5" customHeight="1" s="220"/>
    <row r="993" ht="16.5" customHeight="1" s="220"/>
    <row r="994" ht="16.5" customHeight="1" s="220"/>
    <row r="995" ht="16.5" customHeight="1" s="220"/>
    <row r="996" ht="16.5" customHeight="1" s="220"/>
    <row r="997" ht="16.5" customHeight="1" s="220"/>
    <row r="998" ht="16.5" customHeight="1" s="220"/>
    <row r="999" ht="16.5" customHeight="1" s="220"/>
    <row r="1000" ht="16.5" customHeight="1" s="220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2026-04-30T03:37:53Z</dcterms:created>
  <dcterms:modified xsi:type="dcterms:W3CDTF">2026-04-30T03:37:56Z</dcterms:modified>
</cp:coreProperties>
</file>